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blaec-my.sharepoint.com/personal/f_shaikh_mbl_com_sa/Documents/Documents/Automation Folder/Weekly Report/"/>
    </mc:Choice>
  </mc:AlternateContent>
  <xr:revisionPtr revIDLastSave="0" documentId="8_{C6F34D6C-F139-49AE-B9C0-BEAACB6F778B}" xr6:coauthVersionLast="47" xr6:coauthVersionMax="47" xr10:uidLastSave="{00000000-0000-0000-0000-000000000000}"/>
  <bookViews>
    <workbookView xWindow="28680" yWindow="-120" windowWidth="29040" windowHeight="15720" firstSheet="4" activeTab="11" xr2:uid="{1189BF7F-FB82-43E5-B71E-0D3563E73DA4}"/>
  </bookViews>
  <sheets>
    <sheet name="Main" sheetId="26" state="hidden" r:id="rId1"/>
    <sheet name="PQ-Detailed_report" sheetId="3" state="hidden" r:id="rId2"/>
    <sheet name="PQ-Due Dates" sheetId="7" state="hidden" r:id="rId3"/>
    <sheet name="PQ-FacilitySpace_Under Process" sheetId="23" state="hidden" r:id="rId4"/>
    <sheet name="V_Summary" sheetId="17" r:id="rId5"/>
    <sheet name="PT-Facility Space" sheetId="25" state="hidden" r:id="rId6"/>
    <sheet name="M_Facility Space" sheetId="24" r:id="rId7"/>
    <sheet name="PT-Required Facility Space" sheetId="22" state="hidden" r:id="rId8"/>
    <sheet name="PQ-Facility_Space" sheetId="21" state="hidden" r:id="rId9"/>
    <sheet name="PT_Due Date_Bankwise" sheetId="13" state="hidden" r:id="rId10"/>
    <sheet name="V_Due Date_Bankwise" sheetId="20" r:id="rId11"/>
    <sheet name="M_Loans" sheetId="16" r:id="rId12"/>
    <sheet name="PT_Detailed Report" sheetId="4" state="hidden" r:id="rId13"/>
    <sheet name="V_Detailed_Report" sheetId="19" r:id="rId14"/>
    <sheet name="PT-Project-wise Summary" sheetId="2" state="hidden" r:id="rId15"/>
    <sheet name="V_Project-wise Summary" sheetId="18" r:id="rId16"/>
    <sheet name="PT-Bankwise-Credit" sheetId="5" state="hidden" r:id="rId17"/>
    <sheet name="M_LC Summary" sheetId="1" r:id="rId18"/>
  </sheets>
  <definedNames>
    <definedName name="_xlnm._FilterDatabase" localSheetId="10" hidden="1">'V_Due Date_Bankwise'!$B$4:$N$74</definedName>
    <definedName name="ExternalData_1" localSheetId="17" hidden="1">'M_LC Summary'!$A$3:$R$156</definedName>
    <definedName name="ExternalData_1" localSheetId="2" hidden="1">'PQ-Due Dates'!$A$1:$O$61</definedName>
    <definedName name="ExternalData_1" localSheetId="8" hidden="1">'PQ-Facility_Space'!$A$1:$T$154</definedName>
    <definedName name="ExternalData_2" localSheetId="1" hidden="1">'PQ-Detailed_report'!$A$1:$L$162</definedName>
    <definedName name="ExternalData_2" localSheetId="7" hidden="1">'PT-Required Facility Space'!$A$1:$B$21</definedName>
    <definedName name="ExternalData_3" localSheetId="3" hidden="1">'PQ-FacilitySpace_Under Process'!$A$1:$X$6</definedName>
  </definedNames>
  <calcPr calcId="191029"/>
  <pivotCaches>
    <pivotCache cacheId="77" r:id="rId19"/>
    <pivotCache cacheId="78" r:id="rId20"/>
    <pivotCache cacheId="79" r:id="rId21"/>
    <pivotCache cacheId="80" r:id="rId22"/>
    <pivotCache cacheId="81" r:id="rId23"/>
    <pivotCache cacheId="82" r:id="rId2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4" i="16" l="1"/>
  <c r="H54" i="16"/>
  <c r="J46" i="16"/>
  <c r="I23" i="20"/>
  <c r="J23" i="20"/>
  <c r="K23" i="20"/>
  <c r="L23" i="20"/>
  <c r="I20" i="20"/>
  <c r="L74" i="20"/>
  <c r="J74" i="20"/>
  <c r="I74" i="20"/>
  <c r="L73" i="20"/>
  <c r="J73" i="20"/>
  <c r="I73" i="20"/>
  <c r="L72" i="20"/>
  <c r="J72" i="20"/>
  <c r="I72" i="20"/>
  <c r="L71" i="20"/>
  <c r="J71" i="20"/>
  <c r="J75" i="20" s="1"/>
  <c r="I71" i="20"/>
  <c r="L69" i="20"/>
  <c r="L75" i="20" s="1"/>
  <c r="J69" i="20"/>
  <c r="I69" i="20"/>
  <c r="I75" i="20" s="1"/>
  <c r="L65" i="20"/>
  <c r="J65" i="20"/>
  <c r="I65" i="20"/>
  <c r="L64" i="20"/>
  <c r="J64" i="20"/>
  <c r="I64" i="20"/>
  <c r="L63" i="20"/>
  <c r="J63" i="20"/>
  <c r="I63" i="20"/>
  <c r="L62" i="20"/>
  <c r="J62" i="20"/>
  <c r="I62" i="20"/>
  <c r="L61" i="20"/>
  <c r="J61" i="20"/>
  <c r="I61" i="20"/>
  <c r="L59" i="20"/>
  <c r="J59" i="20"/>
  <c r="I59" i="20"/>
  <c r="L58" i="20"/>
  <c r="J58" i="20"/>
  <c r="I58" i="20"/>
  <c r="L57" i="20"/>
  <c r="J57" i="20"/>
  <c r="I57" i="20"/>
  <c r="L56" i="20"/>
  <c r="J56" i="20"/>
  <c r="I56" i="20"/>
  <c r="L55" i="20"/>
  <c r="J55" i="20"/>
  <c r="I55" i="20"/>
  <c r="L54" i="20"/>
  <c r="J54" i="20"/>
  <c r="I54" i="20"/>
  <c r="L53" i="20"/>
  <c r="J53" i="20"/>
  <c r="I53" i="20"/>
  <c r="L52" i="20"/>
  <c r="J52" i="20"/>
  <c r="I52" i="20"/>
  <c r="L51" i="20"/>
  <c r="J51" i="20"/>
  <c r="I51" i="20"/>
  <c r="L50" i="20"/>
  <c r="J50" i="20"/>
  <c r="I50" i="20"/>
  <c r="L49" i="20"/>
  <c r="J49" i="20"/>
  <c r="I49" i="20"/>
  <c r="L48" i="20"/>
  <c r="J48" i="20"/>
  <c r="I48" i="20"/>
  <c r="L47" i="20"/>
  <c r="J47" i="20"/>
  <c r="I47" i="20"/>
  <c r="L45" i="20"/>
  <c r="J45" i="20"/>
  <c r="I45" i="20"/>
  <c r="L44" i="20"/>
  <c r="J44" i="20"/>
  <c r="I44" i="20"/>
  <c r="L43" i="20"/>
  <c r="J43" i="20"/>
  <c r="I43" i="20"/>
  <c r="L42" i="20"/>
  <c r="J42" i="20"/>
  <c r="I42" i="20"/>
  <c r="L41" i="20"/>
  <c r="J41" i="20"/>
  <c r="I41" i="20"/>
  <c r="L40" i="20"/>
  <c r="J40" i="20"/>
  <c r="I40" i="20"/>
  <c r="L39" i="20"/>
  <c r="J39" i="20"/>
  <c r="I39" i="20"/>
  <c r="L38" i="20"/>
  <c r="J38" i="20"/>
  <c r="J67" i="20" s="1"/>
  <c r="I38" i="20"/>
  <c r="I67" i="20" s="1"/>
  <c r="L37" i="20"/>
  <c r="L67" i="20" s="1"/>
  <c r="J37" i="20"/>
  <c r="I37" i="20"/>
  <c r="L34" i="20"/>
  <c r="J34" i="20"/>
  <c r="I34" i="20"/>
  <c r="L33" i="20"/>
  <c r="J33" i="20"/>
  <c r="I33" i="20"/>
  <c r="L32" i="20"/>
  <c r="J32" i="20"/>
  <c r="I32" i="20"/>
  <c r="L31" i="20"/>
  <c r="J31" i="20"/>
  <c r="I31" i="20"/>
  <c r="L30" i="20"/>
  <c r="J30" i="20"/>
  <c r="I30" i="20"/>
  <c r="L29" i="20"/>
  <c r="L35" i="20" s="1"/>
  <c r="J29" i="20"/>
  <c r="I29" i="20"/>
  <c r="L27" i="20"/>
  <c r="J27" i="20"/>
  <c r="I27" i="20"/>
  <c r="L26" i="20"/>
  <c r="J26" i="20"/>
  <c r="I26" i="20"/>
  <c r="L25" i="20"/>
  <c r="J25" i="20"/>
  <c r="J35" i="20" s="1"/>
  <c r="I25" i="20"/>
  <c r="I35" i="20" s="1"/>
  <c r="L22" i="20"/>
  <c r="J22" i="20"/>
  <c r="I22" i="20"/>
  <c r="L19" i="20"/>
  <c r="J19" i="20"/>
  <c r="I19" i="20"/>
  <c r="L18" i="20"/>
  <c r="J18" i="20"/>
  <c r="I18" i="20"/>
  <c r="L17" i="20"/>
  <c r="L20" i="20" s="1"/>
  <c r="J17" i="20"/>
  <c r="J20" i="20" s="1"/>
  <c r="I17" i="20"/>
  <c r="L13" i="20"/>
  <c r="J13" i="20"/>
  <c r="I13" i="20"/>
  <c r="L12" i="20"/>
  <c r="J12" i="20"/>
  <c r="I12" i="20"/>
  <c r="L11" i="20"/>
  <c r="J11" i="20"/>
  <c r="I11" i="20"/>
  <c r="L8" i="20"/>
  <c r="J8" i="20"/>
  <c r="I8" i="20"/>
  <c r="L7" i="20"/>
  <c r="J7" i="20"/>
  <c r="I7" i="20"/>
  <c r="L6" i="20"/>
  <c r="J6" i="20"/>
  <c r="J15" i="20" s="1"/>
  <c r="I6" i="20"/>
  <c r="L5" i="20"/>
  <c r="L15" i="20" s="1"/>
  <c r="J5" i="20"/>
  <c r="I5" i="20"/>
  <c r="I15" i="20" s="1"/>
  <c r="K5" i="20"/>
  <c r="K6" i="20"/>
  <c r="K7" i="20"/>
  <c r="K15" i="20" s="1"/>
  <c r="K8" i="20"/>
  <c r="K9" i="20"/>
  <c r="K10" i="20"/>
  <c r="K11" i="20"/>
  <c r="K12" i="20"/>
  <c r="K13" i="20"/>
  <c r="K14" i="20"/>
  <c r="K17" i="20"/>
  <c r="K20" i="20" s="1"/>
  <c r="K18" i="20"/>
  <c r="K19" i="20"/>
  <c r="K22" i="20"/>
  <c r="K25" i="20"/>
  <c r="K35" i="20" s="1"/>
  <c r="K26" i="20"/>
  <c r="K27" i="20"/>
  <c r="K28" i="20"/>
  <c r="K29" i="20"/>
  <c r="K30" i="20"/>
  <c r="K31" i="20"/>
  <c r="K32" i="20"/>
  <c r="K33" i="20"/>
  <c r="K34" i="20"/>
  <c r="K37" i="20"/>
  <c r="K38" i="20"/>
  <c r="K39" i="20"/>
  <c r="K67" i="20" s="1"/>
  <c r="K40" i="20"/>
  <c r="K41" i="20"/>
  <c r="K42" i="20"/>
  <c r="K43" i="20"/>
  <c r="K44" i="20"/>
  <c r="K45" i="20"/>
  <c r="K46" i="20"/>
  <c r="K47" i="20"/>
  <c r="K48" i="20"/>
  <c r="K49" i="20"/>
  <c r="K50" i="20"/>
  <c r="K51" i="20"/>
  <c r="K52" i="20"/>
  <c r="K53" i="20"/>
  <c r="K54" i="20"/>
  <c r="K55" i="20"/>
  <c r="K56" i="20"/>
  <c r="K57" i="20"/>
  <c r="K58" i="20"/>
  <c r="K59" i="20"/>
  <c r="K60" i="20"/>
  <c r="K61" i="20"/>
  <c r="K62" i="20"/>
  <c r="K63" i="20"/>
  <c r="K64" i="20"/>
  <c r="K65" i="20"/>
  <c r="K66" i="20"/>
  <c r="K69" i="20"/>
  <c r="K75" i="20" s="1"/>
  <c r="K70" i="20"/>
  <c r="K71" i="20"/>
  <c r="K72" i="20"/>
  <c r="K73" i="20"/>
  <c r="K74" i="20"/>
  <c r="H5" i="20"/>
  <c r="H6" i="20"/>
  <c r="H7" i="20"/>
  <c r="H8" i="20"/>
  <c r="H9" i="20"/>
  <c r="H10" i="20"/>
  <c r="H11" i="20"/>
  <c r="H12" i="20"/>
  <c r="H13" i="20"/>
  <c r="H14" i="20"/>
  <c r="H17" i="20"/>
  <c r="H18" i="20"/>
  <c r="H19" i="20"/>
  <c r="H22" i="20"/>
  <c r="H25" i="20"/>
  <c r="H26" i="20"/>
  <c r="H27" i="20"/>
  <c r="H28" i="20"/>
  <c r="H29" i="20"/>
  <c r="H30" i="20"/>
  <c r="H31" i="20"/>
  <c r="H32" i="20"/>
  <c r="H33" i="20"/>
  <c r="H34" i="20"/>
  <c r="H37" i="20"/>
  <c r="H38" i="20"/>
  <c r="H39" i="20"/>
  <c r="H40" i="20"/>
  <c r="H41" i="20"/>
  <c r="H42" i="20"/>
  <c r="H43" i="20"/>
  <c r="H44" i="20"/>
  <c r="H45" i="20"/>
  <c r="H46" i="20"/>
  <c r="H47" i="20"/>
  <c r="H48" i="20"/>
  <c r="H49" i="20"/>
  <c r="H50" i="20"/>
  <c r="H51" i="20"/>
  <c r="H52" i="20"/>
  <c r="H53" i="20"/>
  <c r="H54" i="20"/>
  <c r="H55" i="20"/>
  <c r="H56" i="20"/>
  <c r="H57" i="20"/>
  <c r="H58" i="20"/>
  <c r="H59" i="20"/>
  <c r="H60" i="20"/>
  <c r="H61" i="20"/>
  <c r="H62" i="20"/>
  <c r="H63" i="20"/>
  <c r="H64" i="20"/>
  <c r="H65" i="20"/>
  <c r="H66" i="20"/>
  <c r="H69" i="20"/>
  <c r="H70" i="20"/>
  <c r="H71" i="20"/>
  <c r="H72" i="20"/>
  <c r="H73" i="20"/>
  <c r="H74" i="20"/>
  <c r="G5" i="20"/>
  <c r="G6" i="20"/>
  <c r="G7" i="20"/>
  <c r="G8" i="20"/>
  <c r="G9" i="20"/>
  <c r="G10" i="20"/>
  <c r="G11" i="20"/>
  <c r="G12" i="20"/>
  <c r="G13" i="20"/>
  <c r="G14" i="20"/>
  <c r="G17" i="20"/>
  <c r="G18" i="20"/>
  <c r="G19" i="20"/>
  <c r="G22" i="20"/>
  <c r="G25" i="20"/>
  <c r="G26" i="20"/>
  <c r="G27" i="20"/>
  <c r="G28" i="20"/>
  <c r="G29" i="20"/>
  <c r="G30" i="20"/>
  <c r="G31" i="20"/>
  <c r="G32" i="20"/>
  <c r="G33" i="20"/>
  <c r="G34" i="20"/>
  <c r="G37" i="20"/>
  <c r="G38" i="20"/>
  <c r="G39" i="20"/>
  <c r="G40" i="20"/>
  <c r="G41" i="20"/>
  <c r="G42" i="20"/>
  <c r="G43" i="20"/>
  <c r="G44" i="20"/>
  <c r="G45" i="20"/>
  <c r="G46" i="20"/>
  <c r="G47" i="20"/>
  <c r="G48" i="20"/>
  <c r="G49" i="20"/>
  <c r="G50" i="20"/>
  <c r="G51" i="20"/>
  <c r="G52" i="20"/>
  <c r="G53" i="20"/>
  <c r="G54" i="20"/>
  <c r="G55" i="20"/>
  <c r="G56" i="20"/>
  <c r="G57" i="20"/>
  <c r="G58" i="20"/>
  <c r="G59" i="20"/>
  <c r="G60" i="20"/>
  <c r="G61" i="20"/>
  <c r="G62" i="20"/>
  <c r="G63" i="20"/>
  <c r="G64" i="20"/>
  <c r="G65" i="20"/>
  <c r="G66" i="20"/>
  <c r="G69" i="20"/>
  <c r="G70" i="20"/>
  <c r="G71" i="20"/>
  <c r="G72" i="20"/>
  <c r="G73" i="20"/>
  <c r="G74" i="20"/>
  <c r="F5" i="20"/>
  <c r="F6" i="20"/>
  <c r="F7" i="20"/>
  <c r="F8" i="20"/>
  <c r="F9" i="20"/>
  <c r="F10" i="20"/>
  <c r="F11" i="20"/>
  <c r="F12" i="20"/>
  <c r="F13" i="20"/>
  <c r="F14" i="20"/>
  <c r="F17" i="20"/>
  <c r="F18" i="20"/>
  <c r="F19" i="20"/>
  <c r="F22" i="20"/>
  <c r="F25" i="20"/>
  <c r="F26" i="20"/>
  <c r="F27" i="20"/>
  <c r="F28" i="20"/>
  <c r="F29" i="20"/>
  <c r="F30" i="20"/>
  <c r="F31" i="20"/>
  <c r="F32" i="20"/>
  <c r="F33" i="20"/>
  <c r="F34" i="20"/>
  <c r="F37" i="20"/>
  <c r="F38" i="20"/>
  <c r="F39" i="20"/>
  <c r="F40" i="20"/>
  <c r="F41" i="20"/>
  <c r="F42" i="20"/>
  <c r="F43" i="20"/>
  <c r="F44" i="20"/>
  <c r="F45" i="20"/>
  <c r="F46" i="20"/>
  <c r="F47" i="20"/>
  <c r="F48" i="20"/>
  <c r="F49" i="20"/>
  <c r="F50" i="20"/>
  <c r="F51" i="20"/>
  <c r="F52" i="20"/>
  <c r="F53" i="20"/>
  <c r="F54" i="20"/>
  <c r="F55" i="20"/>
  <c r="F56" i="20"/>
  <c r="F57" i="20"/>
  <c r="F58" i="20"/>
  <c r="F59" i="20"/>
  <c r="F60" i="20"/>
  <c r="F61" i="20"/>
  <c r="F62" i="20"/>
  <c r="F63" i="20"/>
  <c r="F64" i="20"/>
  <c r="F65" i="20"/>
  <c r="F66" i="20"/>
  <c r="F69" i="20"/>
  <c r="F70" i="20"/>
  <c r="F71" i="20"/>
  <c r="F72" i="20"/>
  <c r="F73" i="20"/>
  <c r="F74" i="20"/>
  <c r="F183" i="19"/>
  <c r="I183" i="19"/>
  <c r="J183" i="19"/>
  <c r="T183" i="19"/>
  <c r="F164" i="19"/>
  <c r="J164" i="19"/>
  <c r="K164" i="19"/>
  <c r="L164" i="19"/>
  <c r="M164" i="19"/>
  <c r="N164" i="19"/>
  <c r="F161" i="19"/>
  <c r="G161" i="19"/>
  <c r="M161" i="19"/>
  <c r="N161" i="19"/>
  <c r="P161" i="19"/>
  <c r="Q161" i="19"/>
  <c r="F52" i="19"/>
  <c r="S47" i="19"/>
  <c r="F29" i="19"/>
  <c r="J29" i="19"/>
  <c r="J11" i="19"/>
  <c r="U9" i="19"/>
  <c r="U59" i="19"/>
  <c r="U124" i="19"/>
  <c r="U125" i="19"/>
  <c r="I6" i="19"/>
  <c r="J6" i="19"/>
  <c r="K6" i="19"/>
  <c r="L6" i="19"/>
  <c r="M6" i="19"/>
  <c r="N6" i="19"/>
  <c r="O6" i="19"/>
  <c r="P6" i="19"/>
  <c r="Q6" i="19"/>
  <c r="R6" i="19"/>
  <c r="R11" i="19" s="1"/>
  <c r="S6" i="19"/>
  <c r="T6" i="19"/>
  <c r="T11" i="19" s="1"/>
  <c r="I7" i="19"/>
  <c r="I11" i="19" s="1"/>
  <c r="J7" i="19"/>
  <c r="K7" i="19"/>
  <c r="L7" i="19"/>
  <c r="M7" i="19"/>
  <c r="N7" i="19"/>
  <c r="O7" i="19"/>
  <c r="P7" i="19"/>
  <c r="Q7" i="19"/>
  <c r="R7" i="19"/>
  <c r="S7" i="19"/>
  <c r="T7" i="19"/>
  <c r="I8" i="19"/>
  <c r="J8" i="19"/>
  <c r="K8" i="19"/>
  <c r="L8" i="19"/>
  <c r="M8" i="19"/>
  <c r="N8" i="19"/>
  <c r="N11" i="19" s="1"/>
  <c r="O8" i="19"/>
  <c r="O11" i="19" s="1"/>
  <c r="P8" i="19"/>
  <c r="Q8" i="19"/>
  <c r="R8" i="19"/>
  <c r="S8" i="19"/>
  <c r="T8" i="19"/>
  <c r="I9" i="19"/>
  <c r="J9" i="19"/>
  <c r="K9" i="19"/>
  <c r="L9" i="19"/>
  <c r="M9" i="19"/>
  <c r="N9" i="19"/>
  <c r="O9" i="19"/>
  <c r="P9" i="19"/>
  <c r="Q9" i="19"/>
  <c r="R9" i="19"/>
  <c r="S9" i="19"/>
  <c r="T9" i="19"/>
  <c r="I10" i="19"/>
  <c r="J10" i="19"/>
  <c r="K10" i="19"/>
  <c r="K11" i="19" s="1"/>
  <c r="L10" i="19"/>
  <c r="L11" i="19" s="1"/>
  <c r="M10" i="19"/>
  <c r="N10" i="19"/>
  <c r="O10" i="19"/>
  <c r="P10" i="19"/>
  <c r="Q10" i="19"/>
  <c r="R10" i="19"/>
  <c r="S10" i="19"/>
  <c r="T10" i="19"/>
  <c r="I13" i="19"/>
  <c r="J13" i="19"/>
  <c r="K13" i="19"/>
  <c r="L13" i="19"/>
  <c r="M13" i="19"/>
  <c r="N13" i="19"/>
  <c r="O13" i="19"/>
  <c r="P13" i="19"/>
  <c r="Q13" i="19"/>
  <c r="R13" i="19"/>
  <c r="S13" i="19"/>
  <c r="S20" i="19" s="1"/>
  <c r="T13" i="19"/>
  <c r="T20" i="19" s="1"/>
  <c r="I14" i="19"/>
  <c r="J14" i="19"/>
  <c r="K14" i="19"/>
  <c r="L14" i="19"/>
  <c r="M14" i="19"/>
  <c r="N14" i="19"/>
  <c r="O14" i="19"/>
  <c r="P14" i="19"/>
  <c r="Q14" i="19"/>
  <c r="R14" i="19"/>
  <c r="S14" i="19"/>
  <c r="T14" i="19"/>
  <c r="I15" i="19"/>
  <c r="J15" i="19"/>
  <c r="K15" i="19"/>
  <c r="L15" i="19"/>
  <c r="M15" i="19"/>
  <c r="N15" i="19"/>
  <c r="O15" i="19"/>
  <c r="P15" i="19"/>
  <c r="Q15" i="19"/>
  <c r="R15" i="19"/>
  <c r="S15" i="19"/>
  <c r="T15" i="19"/>
  <c r="I16" i="19"/>
  <c r="U16" i="19" s="1"/>
  <c r="J16" i="19"/>
  <c r="K16" i="19"/>
  <c r="L16" i="19"/>
  <c r="M16" i="19"/>
  <c r="N16" i="19"/>
  <c r="O16" i="19"/>
  <c r="P16" i="19"/>
  <c r="Q16" i="19"/>
  <c r="R16" i="19"/>
  <c r="S16" i="19"/>
  <c r="T16" i="19"/>
  <c r="I17" i="19"/>
  <c r="J17" i="19"/>
  <c r="J20" i="19" s="1"/>
  <c r="K17" i="19"/>
  <c r="K20" i="19" s="1"/>
  <c r="L17" i="19"/>
  <c r="M17" i="19"/>
  <c r="N17" i="19"/>
  <c r="O17" i="19"/>
  <c r="P17" i="19"/>
  <c r="Q17" i="19"/>
  <c r="R17" i="19"/>
  <c r="S17" i="19"/>
  <c r="T17" i="19"/>
  <c r="I18" i="19"/>
  <c r="J18" i="19"/>
  <c r="K18" i="19"/>
  <c r="L18" i="19"/>
  <c r="M18" i="19"/>
  <c r="N18" i="19"/>
  <c r="O18" i="19"/>
  <c r="P18" i="19"/>
  <c r="Q18" i="19"/>
  <c r="R18" i="19"/>
  <c r="S18" i="19"/>
  <c r="T18" i="19"/>
  <c r="I19" i="19"/>
  <c r="U19" i="19" s="1"/>
  <c r="J19" i="19"/>
  <c r="K19" i="19"/>
  <c r="L19" i="19"/>
  <c r="M19" i="19"/>
  <c r="N19" i="19"/>
  <c r="O19" i="19"/>
  <c r="P19" i="19"/>
  <c r="Q19" i="19"/>
  <c r="R19" i="19"/>
  <c r="S19" i="19"/>
  <c r="T19" i="19"/>
  <c r="I22" i="19"/>
  <c r="J22" i="19"/>
  <c r="K22" i="19"/>
  <c r="L22" i="19"/>
  <c r="M22" i="19"/>
  <c r="N22" i="19"/>
  <c r="O22" i="19"/>
  <c r="O29" i="19" s="1"/>
  <c r="P22" i="19"/>
  <c r="Q22" i="19"/>
  <c r="R22" i="19"/>
  <c r="S22" i="19"/>
  <c r="T22" i="19"/>
  <c r="I23" i="19"/>
  <c r="U23" i="19" s="1"/>
  <c r="J23" i="19"/>
  <c r="K23" i="19"/>
  <c r="L23" i="19"/>
  <c r="M23" i="19"/>
  <c r="N23" i="19"/>
  <c r="O23" i="19"/>
  <c r="P23" i="19"/>
  <c r="Q23" i="19"/>
  <c r="R23" i="19"/>
  <c r="S23" i="19"/>
  <c r="T23" i="19"/>
  <c r="I24" i="19"/>
  <c r="J24" i="19"/>
  <c r="K24" i="19"/>
  <c r="K29" i="19" s="1"/>
  <c r="L24" i="19"/>
  <c r="M24" i="19"/>
  <c r="N24" i="19"/>
  <c r="O24" i="19"/>
  <c r="P24" i="19"/>
  <c r="Q24" i="19"/>
  <c r="R24" i="19"/>
  <c r="S24" i="19"/>
  <c r="T24" i="19"/>
  <c r="I25" i="19"/>
  <c r="J25" i="19"/>
  <c r="K25" i="19"/>
  <c r="L25" i="19"/>
  <c r="M25" i="19"/>
  <c r="N25" i="19"/>
  <c r="O25" i="19"/>
  <c r="P25" i="19"/>
  <c r="Q25" i="19"/>
  <c r="R25" i="19"/>
  <c r="S25" i="19"/>
  <c r="T25" i="19"/>
  <c r="I26" i="19"/>
  <c r="J26" i="19"/>
  <c r="K26" i="19"/>
  <c r="L26" i="19"/>
  <c r="M26" i="19"/>
  <c r="N26" i="19"/>
  <c r="O26" i="19"/>
  <c r="P26" i="19"/>
  <c r="Q26" i="19"/>
  <c r="R26" i="19"/>
  <c r="S26" i="19"/>
  <c r="T26" i="19"/>
  <c r="I27" i="19"/>
  <c r="J27" i="19"/>
  <c r="K27" i="19"/>
  <c r="L27" i="19"/>
  <c r="M27" i="19"/>
  <c r="N27" i="19"/>
  <c r="O27" i="19"/>
  <c r="P27" i="19"/>
  <c r="Q27" i="19"/>
  <c r="R27" i="19"/>
  <c r="S27" i="19"/>
  <c r="T27" i="19"/>
  <c r="I28" i="19"/>
  <c r="J28" i="19"/>
  <c r="K28" i="19"/>
  <c r="L28" i="19"/>
  <c r="M28" i="19"/>
  <c r="N28" i="19"/>
  <c r="U28" i="19" s="1"/>
  <c r="O28" i="19"/>
  <c r="P28" i="19"/>
  <c r="Q28" i="19"/>
  <c r="R28" i="19"/>
  <c r="S28" i="19"/>
  <c r="T28" i="19"/>
  <c r="I31" i="19"/>
  <c r="J31" i="19"/>
  <c r="K31" i="19"/>
  <c r="L31" i="19"/>
  <c r="M31" i="19"/>
  <c r="N31" i="19"/>
  <c r="O31" i="19"/>
  <c r="P31" i="19"/>
  <c r="Q31" i="19"/>
  <c r="R31" i="19"/>
  <c r="S31" i="19"/>
  <c r="T31" i="19"/>
  <c r="I32" i="19"/>
  <c r="J32" i="19"/>
  <c r="K32" i="19"/>
  <c r="L32" i="19"/>
  <c r="M32" i="19"/>
  <c r="N32" i="19"/>
  <c r="O32" i="19"/>
  <c r="P32" i="19"/>
  <c r="Q32" i="19"/>
  <c r="R32" i="19"/>
  <c r="S32" i="19"/>
  <c r="T32" i="19"/>
  <c r="I33" i="19"/>
  <c r="U33" i="19" s="1"/>
  <c r="J33" i="19"/>
  <c r="K33" i="19"/>
  <c r="L33" i="19"/>
  <c r="M33" i="19"/>
  <c r="N33" i="19"/>
  <c r="O33" i="19"/>
  <c r="P33" i="19"/>
  <c r="Q33" i="19"/>
  <c r="R33" i="19"/>
  <c r="S33" i="19"/>
  <c r="T33" i="19"/>
  <c r="I34" i="19"/>
  <c r="J34" i="19"/>
  <c r="K34" i="19"/>
  <c r="L34" i="19"/>
  <c r="M34" i="19"/>
  <c r="N34" i="19"/>
  <c r="O34" i="19"/>
  <c r="P34" i="19"/>
  <c r="Q34" i="19"/>
  <c r="R34" i="19"/>
  <c r="S34" i="19"/>
  <c r="T34" i="19"/>
  <c r="I35" i="19"/>
  <c r="J35" i="19"/>
  <c r="K35" i="19"/>
  <c r="L35" i="19"/>
  <c r="M35" i="19"/>
  <c r="N35" i="19"/>
  <c r="O35" i="19"/>
  <c r="P35" i="19"/>
  <c r="Q35" i="19"/>
  <c r="R35" i="19"/>
  <c r="S35" i="19"/>
  <c r="T35" i="19"/>
  <c r="U35" i="19" s="1"/>
  <c r="I36" i="19"/>
  <c r="J36" i="19"/>
  <c r="K36" i="19"/>
  <c r="U36" i="19" s="1"/>
  <c r="L36" i="19"/>
  <c r="M36" i="19"/>
  <c r="N36" i="19"/>
  <c r="O36" i="19"/>
  <c r="P36" i="19"/>
  <c r="Q36" i="19"/>
  <c r="R36" i="19"/>
  <c r="S36" i="19"/>
  <c r="T36" i="19"/>
  <c r="I37" i="19"/>
  <c r="J37" i="19"/>
  <c r="K37" i="19"/>
  <c r="L37" i="19"/>
  <c r="M37" i="19"/>
  <c r="N37" i="19"/>
  <c r="O37" i="19"/>
  <c r="P37" i="19"/>
  <c r="Q37" i="19"/>
  <c r="R37" i="19"/>
  <c r="S37" i="19"/>
  <c r="U37" i="19" s="1"/>
  <c r="T37" i="19"/>
  <c r="I38" i="19"/>
  <c r="U38" i="19" s="1"/>
  <c r="J38" i="19"/>
  <c r="K38" i="19"/>
  <c r="L38" i="19"/>
  <c r="M38" i="19"/>
  <c r="N38" i="19"/>
  <c r="O38" i="19"/>
  <c r="P38" i="19"/>
  <c r="Q38" i="19"/>
  <c r="R38" i="19"/>
  <c r="S38" i="19"/>
  <c r="T38" i="19"/>
  <c r="I39" i="19"/>
  <c r="J39" i="19"/>
  <c r="K39" i="19"/>
  <c r="L39" i="19"/>
  <c r="M39" i="19"/>
  <c r="N39" i="19"/>
  <c r="O39" i="19"/>
  <c r="P39" i="19"/>
  <c r="Q39" i="19"/>
  <c r="R39" i="19"/>
  <c r="S39" i="19"/>
  <c r="T39" i="19"/>
  <c r="I40" i="19"/>
  <c r="U40" i="19" s="1"/>
  <c r="J40" i="19"/>
  <c r="K40" i="19"/>
  <c r="L40" i="19"/>
  <c r="M40" i="19"/>
  <c r="N40" i="19"/>
  <c r="O40" i="19"/>
  <c r="P40" i="19"/>
  <c r="Q40" i="19"/>
  <c r="R40" i="19"/>
  <c r="S40" i="19"/>
  <c r="T40" i="19"/>
  <c r="I41" i="19"/>
  <c r="J41" i="19"/>
  <c r="K41" i="19"/>
  <c r="L41" i="19"/>
  <c r="M41" i="19"/>
  <c r="N41" i="19"/>
  <c r="O41" i="19"/>
  <c r="P41" i="19"/>
  <c r="Q41" i="19"/>
  <c r="R41" i="19"/>
  <c r="S41" i="19"/>
  <c r="T41" i="19"/>
  <c r="I42" i="19"/>
  <c r="J42" i="19"/>
  <c r="K42" i="19"/>
  <c r="L42" i="19"/>
  <c r="M42" i="19"/>
  <c r="N42" i="19"/>
  <c r="O42" i="19"/>
  <c r="P42" i="19"/>
  <c r="Q42" i="19"/>
  <c r="R42" i="19"/>
  <c r="S42" i="19"/>
  <c r="T42" i="19"/>
  <c r="I43" i="19"/>
  <c r="U43" i="19" s="1"/>
  <c r="J43" i="19"/>
  <c r="K43" i="19"/>
  <c r="L43" i="19"/>
  <c r="M43" i="19"/>
  <c r="N43" i="19"/>
  <c r="O43" i="19"/>
  <c r="P43" i="19"/>
  <c r="Q43" i="19"/>
  <c r="R43" i="19"/>
  <c r="S43" i="19"/>
  <c r="T43" i="19"/>
  <c r="I44" i="19"/>
  <c r="J44" i="19"/>
  <c r="K44" i="19"/>
  <c r="L44" i="19"/>
  <c r="M44" i="19"/>
  <c r="N44" i="19"/>
  <c r="O44" i="19"/>
  <c r="P44" i="19"/>
  <c r="Q44" i="19"/>
  <c r="R44" i="19"/>
  <c r="S44" i="19"/>
  <c r="T44" i="19"/>
  <c r="I45" i="19"/>
  <c r="U45" i="19" s="1"/>
  <c r="J45" i="19"/>
  <c r="K45" i="19"/>
  <c r="L45" i="19"/>
  <c r="M45" i="19"/>
  <c r="N45" i="19"/>
  <c r="O45" i="19"/>
  <c r="P45" i="19"/>
  <c r="Q45" i="19"/>
  <c r="R45" i="19"/>
  <c r="S45" i="19"/>
  <c r="T45" i="19"/>
  <c r="I46" i="19"/>
  <c r="J46" i="19"/>
  <c r="K46" i="19"/>
  <c r="L46" i="19"/>
  <c r="M46" i="19"/>
  <c r="N46" i="19"/>
  <c r="O46" i="19"/>
  <c r="P46" i="19"/>
  <c r="Q46" i="19"/>
  <c r="R46" i="19"/>
  <c r="S46" i="19"/>
  <c r="T46" i="19"/>
  <c r="I49" i="19"/>
  <c r="J49" i="19"/>
  <c r="J52" i="19" s="1"/>
  <c r="K49" i="19"/>
  <c r="K52" i="19" s="1"/>
  <c r="L49" i="19"/>
  <c r="M49" i="19"/>
  <c r="N49" i="19"/>
  <c r="O49" i="19"/>
  <c r="P49" i="19"/>
  <c r="Q49" i="19"/>
  <c r="R49" i="19"/>
  <c r="R52" i="19" s="1"/>
  <c r="S49" i="19"/>
  <c r="S52" i="19" s="1"/>
  <c r="T49" i="19"/>
  <c r="T52" i="19" s="1"/>
  <c r="I50" i="19"/>
  <c r="U50" i="19" s="1"/>
  <c r="J50" i="19"/>
  <c r="K50" i="19"/>
  <c r="L50" i="19"/>
  <c r="M50" i="19"/>
  <c r="N50" i="19"/>
  <c r="O50" i="19"/>
  <c r="P50" i="19"/>
  <c r="Q50" i="19"/>
  <c r="R50" i="19"/>
  <c r="S50" i="19"/>
  <c r="T50" i="19"/>
  <c r="I51" i="19"/>
  <c r="J51" i="19"/>
  <c r="K51" i="19"/>
  <c r="L51" i="19"/>
  <c r="M51" i="19"/>
  <c r="N51" i="19"/>
  <c r="O51" i="19"/>
  <c r="P51" i="19"/>
  <c r="Q51" i="19"/>
  <c r="R51" i="19"/>
  <c r="S51" i="19"/>
  <c r="T51" i="19"/>
  <c r="I54" i="19"/>
  <c r="J54" i="19"/>
  <c r="J60" i="19" s="1"/>
  <c r="K54" i="19"/>
  <c r="L54" i="19"/>
  <c r="M54" i="19"/>
  <c r="N54" i="19"/>
  <c r="N60" i="19" s="1"/>
  <c r="O54" i="19"/>
  <c r="P54" i="19"/>
  <c r="Q54" i="19"/>
  <c r="R54" i="19"/>
  <c r="S54" i="19"/>
  <c r="T54" i="19"/>
  <c r="I55" i="19"/>
  <c r="J55" i="19"/>
  <c r="K55" i="19"/>
  <c r="L55" i="19"/>
  <c r="M55" i="19"/>
  <c r="N55" i="19"/>
  <c r="O55" i="19"/>
  <c r="P55" i="19"/>
  <c r="Q55" i="19"/>
  <c r="R55" i="19"/>
  <c r="S55" i="19"/>
  <c r="T55" i="19"/>
  <c r="I56" i="19"/>
  <c r="J56" i="19"/>
  <c r="K56" i="19"/>
  <c r="L56" i="19"/>
  <c r="M56" i="19"/>
  <c r="N56" i="19"/>
  <c r="O56" i="19"/>
  <c r="P56" i="19"/>
  <c r="Q56" i="19"/>
  <c r="R56" i="19"/>
  <c r="S56" i="19"/>
  <c r="T56" i="19"/>
  <c r="T60" i="19" s="1"/>
  <c r="I57" i="19"/>
  <c r="U57" i="19" s="1"/>
  <c r="J57" i="19"/>
  <c r="K57" i="19"/>
  <c r="L57" i="19"/>
  <c r="M57" i="19"/>
  <c r="N57" i="19"/>
  <c r="O57" i="19"/>
  <c r="P57" i="19"/>
  <c r="Q57" i="19"/>
  <c r="R57" i="19"/>
  <c r="S57" i="19"/>
  <c r="T57" i="19"/>
  <c r="I58" i="19"/>
  <c r="J58" i="19"/>
  <c r="K58" i="19"/>
  <c r="L58" i="19"/>
  <c r="M58" i="19"/>
  <c r="N58" i="19"/>
  <c r="O58" i="19"/>
  <c r="O60" i="19" s="1"/>
  <c r="P58" i="19"/>
  <c r="P60" i="19" s="1"/>
  <c r="Q58" i="19"/>
  <c r="R58" i="19"/>
  <c r="S58" i="19"/>
  <c r="T58" i="19"/>
  <c r="I59" i="19"/>
  <c r="J59" i="19"/>
  <c r="K59" i="19"/>
  <c r="L59" i="19"/>
  <c r="M59" i="19"/>
  <c r="N59" i="19"/>
  <c r="O59" i="19"/>
  <c r="P59" i="19"/>
  <c r="Q59" i="19"/>
  <c r="R59" i="19"/>
  <c r="S59" i="19"/>
  <c r="T59" i="19"/>
  <c r="I62" i="19"/>
  <c r="J62" i="19"/>
  <c r="K62" i="19"/>
  <c r="L62" i="19"/>
  <c r="L69" i="19" s="1"/>
  <c r="M62" i="19"/>
  <c r="M69" i="19" s="1"/>
  <c r="N62" i="19"/>
  <c r="O62" i="19"/>
  <c r="P62" i="19"/>
  <c r="Q62" i="19"/>
  <c r="R62" i="19"/>
  <c r="S62" i="19"/>
  <c r="T62" i="19"/>
  <c r="I63" i="19"/>
  <c r="J63" i="19"/>
  <c r="K63" i="19"/>
  <c r="L63" i="19"/>
  <c r="M63" i="19"/>
  <c r="N63" i="19"/>
  <c r="O63" i="19"/>
  <c r="P63" i="19"/>
  <c r="Q63" i="19"/>
  <c r="R63" i="19"/>
  <c r="S63" i="19"/>
  <c r="S69" i="19" s="1"/>
  <c r="T63" i="19"/>
  <c r="T69" i="19" s="1"/>
  <c r="I64" i="19"/>
  <c r="U64" i="19" s="1"/>
  <c r="J64" i="19"/>
  <c r="K64" i="19"/>
  <c r="L64" i="19"/>
  <c r="M64" i="19"/>
  <c r="N64" i="19"/>
  <c r="O64" i="19"/>
  <c r="P64" i="19"/>
  <c r="Q64" i="19"/>
  <c r="R64" i="19"/>
  <c r="R69" i="19" s="1"/>
  <c r="S64" i="19"/>
  <c r="T64" i="19"/>
  <c r="I65" i="19"/>
  <c r="J65" i="19"/>
  <c r="K65" i="19"/>
  <c r="L65" i="19"/>
  <c r="M65" i="19"/>
  <c r="N65" i="19"/>
  <c r="N69" i="19" s="1"/>
  <c r="O65" i="19"/>
  <c r="P65" i="19"/>
  <c r="Q65" i="19"/>
  <c r="R65" i="19"/>
  <c r="S65" i="19"/>
  <c r="T65" i="19"/>
  <c r="I66" i="19"/>
  <c r="J66" i="19"/>
  <c r="K66" i="19"/>
  <c r="L66" i="19"/>
  <c r="M66" i="19"/>
  <c r="N66" i="19"/>
  <c r="O66" i="19"/>
  <c r="P66" i="19"/>
  <c r="Q66" i="19"/>
  <c r="R66" i="19"/>
  <c r="S66" i="19"/>
  <c r="T66" i="19"/>
  <c r="I67" i="19"/>
  <c r="J67" i="19"/>
  <c r="K67" i="19"/>
  <c r="L67" i="19"/>
  <c r="M67" i="19"/>
  <c r="N67" i="19"/>
  <c r="O67" i="19"/>
  <c r="P67" i="19"/>
  <c r="Q67" i="19"/>
  <c r="R67" i="19"/>
  <c r="S67" i="19"/>
  <c r="T67" i="19"/>
  <c r="I68" i="19"/>
  <c r="J68" i="19"/>
  <c r="K68" i="19"/>
  <c r="L68" i="19"/>
  <c r="M68" i="19"/>
  <c r="N68" i="19"/>
  <c r="O68" i="19"/>
  <c r="P68" i="19"/>
  <c r="Q68" i="19"/>
  <c r="R68" i="19"/>
  <c r="S68" i="19"/>
  <c r="T68" i="19"/>
  <c r="I71" i="19"/>
  <c r="J71" i="19"/>
  <c r="K71" i="19"/>
  <c r="L71" i="19"/>
  <c r="M71" i="19"/>
  <c r="N71" i="19"/>
  <c r="O71" i="19"/>
  <c r="P71" i="19"/>
  <c r="Q71" i="19"/>
  <c r="R71" i="19"/>
  <c r="S71" i="19"/>
  <c r="T71" i="19"/>
  <c r="I72" i="19"/>
  <c r="J72" i="19"/>
  <c r="K72" i="19"/>
  <c r="L72" i="19"/>
  <c r="M72" i="19"/>
  <c r="N72" i="19"/>
  <c r="O72" i="19"/>
  <c r="P72" i="19"/>
  <c r="Q72" i="19"/>
  <c r="R72" i="19"/>
  <c r="S72" i="19"/>
  <c r="T72" i="19"/>
  <c r="I73" i="19"/>
  <c r="J73" i="19"/>
  <c r="K73" i="19"/>
  <c r="L73" i="19"/>
  <c r="M73" i="19"/>
  <c r="N73" i="19"/>
  <c r="O73" i="19"/>
  <c r="P73" i="19"/>
  <c r="Q73" i="19"/>
  <c r="R73" i="19"/>
  <c r="S73" i="19"/>
  <c r="T73" i="19"/>
  <c r="I74" i="19"/>
  <c r="J74" i="19"/>
  <c r="K74" i="19"/>
  <c r="K87" i="19" s="1"/>
  <c r="L74" i="19"/>
  <c r="L87" i="19" s="1"/>
  <c r="M74" i="19"/>
  <c r="N74" i="19"/>
  <c r="O74" i="19"/>
  <c r="P74" i="19"/>
  <c r="Q74" i="19"/>
  <c r="R74" i="19"/>
  <c r="S74" i="19"/>
  <c r="T74" i="19"/>
  <c r="I75" i="19"/>
  <c r="J75" i="19"/>
  <c r="U75" i="19" s="1"/>
  <c r="K75" i="19"/>
  <c r="L75" i="19"/>
  <c r="M75" i="19"/>
  <c r="N75" i="19"/>
  <c r="O75" i="19"/>
  <c r="P75" i="19"/>
  <c r="Q75" i="19"/>
  <c r="R75" i="19"/>
  <c r="S75" i="19"/>
  <c r="T75" i="19"/>
  <c r="I76" i="19"/>
  <c r="U76" i="19" s="1"/>
  <c r="J76" i="19"/>
  <c r="K76" i="19"/>
  <c r="L76" i="19"/>
  <c r="M76" i="19"/>
  <c r="N76" i="19"/>
  <c r="O76" i="19"/>
  <c r="P76" i="19"/>
  <c r="Q76" i="19"/>
  <c r="R76" i="19"/>
  <c r="S76" i="19"/>
  <c r="T76" i="19"/>
  <c r="I77" i="19"/>
  <c r="J77" i="19"/>
  <c r="K77" i="19"/>
  <c r="L77" i="19"/>
  <c r="M77" i="19"/>
  <c r="N77" i="19"/>
  <c r="O77" i="19"/>
  <c r="P77" i="19"/>
  <c r="Q77" i="19"/>
  <c r="R77" i="19"/>
  <c r="S77" i="19"/>
  <c r="T77" i="19"/>
  <c r="I78" i="19"/>
  <c r="J78" i="19"/>
  <c r="K78" i="19"/>
  <c r="L78" i="19"/>
  <c r="M78" i="19"/>
  <c r="N78" i="19"/>
  <c r="O78" i="19"/>
  <c r="P78" i="19"/>
  <c r="Q78" i="19"/>
  <c r="R78" i="19"/>
  <c r="S78" i="19"/>
  <c r="T78" i="19"/>
  <c r="I79" i="19"/>
  <c r="J79" i="19"/>
  <c r="K79" i="19"/>
  <c r="L79" i="19"/>
  <c r="M79" i="19"/>
  <c r="N79" i="19"/>
  <c r="O79" i="19"/>
  <c r="P79" i="19"/>
  <c r="Q79" i="19"/>
  <c r="R79" i="19"/>
  <c r="S79" i="19"/>
  <c r="T79" i="19"/>
  <c r="I80" i="19"/>
  <c r="J80" i="19"/>
  <c r="K80" i="19"/>
  <c r="L80" i="19"/>
  <c r="M80" i="19"/>
  <c r="N80" i="19"/>
  <c r="O80" i="19"/>
  <c r="P80" i="19"/>
  <c r="Q80" i="19"/>
  <c r="R80" i="19"/>
  <c r="S80" i="19"/>
  <c r="T80" i="19"/>
  <c r="I81" i="19"/>
  <c r="U81" i="19" s="1"/>
  <c r="J81" i="19"/>
  <c r="K81" i="19"/>
  <c r="L81" i="19"/>
  <c r="M81" i="19"/>
  <c r="N81" i="19"/>
  <c r="O81" i="19"/>
  <c r="P81" i="19"/>
  <c r="Q81" i="19"/>
  <c r="R81" i="19"/>
  <c r="S81" i="19"/>
  <c r="T81" i="19"/>
  <c r="I82" i="19"/>
  <c r="J82" i="19"/>
  <c r="K82" i="19"/>
  <c r="L82" i="19"/>
  <c r="M82" i="19"/>
  <c r="N82" i="19"/>
  <c r="O82" i="19"/>
  <c r="P82" i="19"/>
  <c r="Q82" i="19"/>
  <c r="R82" i="19"/>
  <c r="S82" i="19"/>
  <c r="T82" i="19"/>
  <c r="I83" i="19"/>
  <c r="J83" i="19"/>
  <c r="K83" i="19"/>
  <c r="L83" i="19"/>
  <c r="M83" i="19"/>
  <c r="N83" i="19"/>
  <c r="U83" i="19" s="1"/>
  <c r="O83" i="19"/>
  <c r="P83" i="19"/>
  <c r="Q83" i="19"/>
  <c r="R83" i="19"/>
  <c r="S83" i="19"/>
  <c r="T83" i="19"/>
  <c r="I84" i="19"/>
  <c r="J84" i="19"/>
  <c r="K84" i="19"/>
  <c r="L84" i="19"/>
  <c r="M84" i="19"/>
  <c r="N84" i="19"/>
  <c r="O84" i="19"/>
  <c r="P84" i="19"/>
  <c r="Q84" i="19"/>
  <c r="R84" i="19"/>
  <c r="S84" i="19"/>
  <c r="T84" i="19"/>
  <c r="I85" i="19"/>
  <c r="J85" i="19"/>
  <c r="K85" i="19"/>
  <c r="L85" i="19"/>
  <c r="M85" i="19"/>
  <c r="N85" i="19"/>
  <c r="O85" i="19"/>
  <c r="P85" i="19"/>
  <c r="Q85" i="19"/>
  <c r="R85" i="19"/>
  <c r="S85" i="19"/>
  <c r="T85" i="19"/>
  <c r="I86" i="19"/>
  <c r="U86" i="19" s="1"/>
  <c r="J86" i="19"/>
  <c r="K86" i="19"/>
  <c r="L86" i="19"/>
  <c r="M86" i="19"/>
  <c r="N86" i="19"/>
  <c r="O86" i="19"/>
  <c r="P86" i="19"/>
  <c r="Q86" i="19"/>
  <c r="R86" i="19"/>
  <c r="S86" i="19"/>
  <c r="T86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I92" i="19"/>
  <c r="J92" i="19"/>
  <c r="K92" i="19"/>
  <c r="L92" i="19"/>
  <c r="M92" i="19"/>
  <c r="N92" i="19"/>
  <c r="O92" i="19"/>
  <c r="P92" i="19"/>
  <c r="Q92" i="19"/>
  <c r="R92" i="19"/>
  <c r="S92" i="19"/>
  <c r="S157" i="19" s="1"/>
  <c r="T92" i="19"/>
  <c r="I93" i="19"/>
  <c r="U93" i="19" s="1"/>
  <c r="J93" i="19"/>
  <c r="K93" i="19"/>
  <c r="L93" i="19"/>
  <c r="M93" i="19"/>
  <c r="N93" i="19"/>
  <c r="O93" i="19"/>
  <c r="P93" i="19"/>
  <c r="Q93" i="19"/>
  <c r="R93" i="19"/>
  <c r="S93" i="19"/>
  <c r="T93" i="19"/>
  <c r="I94" i="19"/>
  <c r="J94" i="19"/>
  <c r="K94" i="19"/>
  <c r="L94" i="19"/>
  <c r="M94" i="19"/>
  <c r="N94" i="19"/>
  <c r="O94" i="19"/>
  <c r="P94" i="19"/>
  <c r="Q94" i="19"/>
  <c r="R94" i="19"/>
  <c r="S94" i="19"/>
  <c r="T94" i="19"/>
  <c r="I95" i="19"/>
  <c r="J95" i="19"/>
  <c r="K95" i="19"/>
  <c r="L95" i="19"/>
  <c r="M95" i="19"/>
  <c r="N95" i="19"/>
  <c r="O95" i="19"/>
  <c r="P95" i="19"/>
  <c r="Q95" i="19"/>
  <c r="R95" i="19"/>
  <c r="S95" i="19"/>
  <c r="T95" i="19"/>
  <c r="I96" i="19"/>
  <c r="J96" i="19"/>
  <c r="K96" i="19"/>
  <c r="L96" i="19"/>
  <c r="M96" i="19"/>
  <c r="N96" i="19"/>
  <c r="O96" i="19"/>
  <c r="P96" i="19"/>
  <c r="Q96" i="19"/>
  <c r="R96" i="19"/>
  <c r="S96" i="19"/>
  <c r="T96" i="19"/>
  <c r="I97" i="19"/>
  <c r="J97" i="19"/>
  <c r="K97" i="19"/>
  <c r="L97" i="19"/>
  <c r="M97" i="19"/>
  <c r="N97" i="19"/>
  <c r="O97" i="19"/>
  <c r="P97" i="19"/>
  <c r="Q97" i="19"/>
  <c r="R97" i="19"/>
  <c r="S97" i="19"/>
  <c r="T97" i="19"/>
  <c r="I98" i="19"/>
  <c r="U98" i="19" s="1"/>
  <c r="J98" i="19"/>
  <c r="K98" i="19"/>
  <c r="L98" i="19"/>
  <c r="M98" i="19"/>
  <c r="N98" i="19"/>
  <c r="O98" i="19"/>
  <c r="P98" i="19"/>
  <c r="Q98" i="19"/>
  <c r="R98" i="19"/>
  <c r="S98" i="19"/>
  <c r="T98" i="19"/>
  <c r="I99" i="19"/>
  <c r="J99" i="19"/>
  <c r="K99" i="19"/>
  <c r="L99" i="19"/>
  <c r="M99" i="19"/>
  <c r="N99" i="19"/>
  <c r="O99" i="19"/>
  <c r="P99" i="19"/>
  <c r="Q99" i="19"/>
  <c r="R99" i="19"/>
  <c r="S99" i="19"/>
  <c r="T99" i="19"/>
  <c r="I100" i="19"/>
  <c r="J100" i="19"/>
  <c r="K100" i="19"/>
  <c r="L100" i="19"/>
  <c r="M100" i="19"/>
  <c r="N100" i="19"/>
  <c r="O100" i="19"/>
  <c r="P100" i="19"/>
  <c r="Q100" i="19"/>
  <c r="R100" i="19"/>
  <c r="S100" i="19"/>
  <c r="T100" i="19"/>
  <c r="I101" i="19"/>
  <c r="J101" i="19"/>
  <c r="K101" i="19"/>
  <c r="L101" i="19"/>
  <c r="M101" i="19"/>
  <c r="N101" i="19"/>
  <c r="O101" i="19"/>
  <c r="P101" i="19"/>
  <c r="Q101" i="19"/>
  <c r="R101" i="19"/>
  <c r="S101" i="19"/>
  <c r="T101" i="19"/>
  <c r="I102" i="19"/>
  <c r="J102" i="19"/>
  <c r="U102" i="19" s="1"/>
  <c r="K102" i="19"/>
  <c r="L102" i="19"/>
  <c r="M102" i="19"/>
  <c r="N102" i="19"/>
  <c r="O102" i="19"/>
  <c r="P102" i="19"/>
  <c r="Q102" i="19"/>
  <c r="R102" i="19"/>
  <c r="S102" i="19"/>
  <c r="T102" i="19"/>
  <c r="I103" i="19"/>
  <c r="U103" i="19" s="1"/>
  <c r="J103" i="19"/>
  <c r="K103" i="19"/>
  <c r="L103" i="19"/>
  <c r="M103" i="19"/>
  <c r="N103" i="19"/>
  <c r="O103" i="19"/>
  <c r="P103" i="19"/>
  <c r="Q103" i="19"/>
  <c r="R103" i="19"/>
  <c r="S103" i="19"/>
  <c r="T103" i="19"/>
  <c r="I104" i="19"/>
  <c r="J104" i="19"/>
  <c r="K104" i="19"/>
  <c r="L104" i="19"/>
  <c r="M104" i="19"/>
  <c r="N104" i="19"/>
  <c r="O104" i="19"/>
  <c r="U104" i="19" s="1"/>
  <c r="P104" i="19"/>
  <c r="Q104" i="19"/>
  <c r="R104" i="19"/>
  <c r="S104" i="19"/>
  <c r="T104" i="19"/>
  <c r="I105" i="19"/>
  <c r="J105" i="19"/>
  <c r="K105" i="19"/>
  <c r="L105" i="19"/>
  <c r="M105" i="19"/>
  <c r="N105" i="19"/>
  <c r="U105" i="19" s="1"/>
  <c r="O105" i="19"/>
  <c r="P105" i="19"/>
  <c r="Q105" i="19"/>
  <c r="R105" i="19"/>
  <c r="S105" i="19"/>
  <c r="T105" i="19"/>
  <c r="I106" i="19"/>
  <c r="J106" i="19"/>
  <c r="K106" i="19"/>
  <c r="L106" i="19"/>
  <c r="M106" i="19"/>
  <c r="N106" i="19"/>
  <c r="O106" i="19"/>
  <c r="P106" i="19"/>
  <c r="Q106" i="19"/>
  <c r="R106" i="19"/>
  <c r="S106" i="19"/>
  <c r="T106" i="19"/>
  <c r="I107" i="19"/>
  <c r="J107" i="19"/>
  <c r="K107" i="19"/>
  <c r="L107" i="19"/>
  <c r="M107" i="19"/>
  <c r="N107" i="19"/>
  <c r="O107" i="19"/>
  <c r="P107" i="19"/>
  <c r="Q107" i="19"/>
  <c r="R107" i="19"/>
  <c r="S107" i="19"/>
  <c r="T107" i="19"/>
  <c r="I108" i="19"/>
  <c r="U108" i="19" s="1"/>
  <c r="J108" i="19"/>
  <c r="K108" i="19"/>
  <c r="L108" i="19"/>
  <c r="M108" i="19"/>
  <c r="N108" i="19"/>
  <c r="O108" i="19"/>
  <c r="P108" i="19"/>
  <c r="Q108" i="19"/>
  <c r="R108" i="19"/>
  <c r="S108" i="19"/>
  <c r="T108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I110" i="19"/>
  <c r="J110" i="19"/>
  <c r="K110" i="19"/>
  <c r="L110" i="19"/>
  <c r="M110" i="19"/>
  <c r="N110" i="19"/>
  <c r="O110" i="19"/>
  <c r="P110" i="19"/>
  <c r="Q110" i="19"/>
  <c r="R110" i="19"/>
  <c r="S110" i="19"/>
  <c r="T110" i="19"/>
  <c r="I111" i="19"/>
  <c r="J111" i="19"/>
  <c r="K111" i="19"/>
  <c r="L111" i="19"/>
  <c r="M111" i="19"/>
  <c r="N111" i="19"/>
  <c r="O111" i="19"/>
  <c r="P111" i="19"/>
  <c r="Q111" i="19"/>
  <c r="R111" i="19"/>
  <c r="S111" i="19"/>
  <c r="T111" i="19"/>
  <c r="I112" i="19"/>
  <c r="J112" i="19"/>
  <c r="K112" i="19"/>
  <c r="L112" i="19"/>
  <c r="M112" i="19"/>
  <c r="N112" i="19"/>
  <c r="O112" i="19"/>
  <c r="P112" i="19"/>
  <c r="Q112" i="19"/>
  <c r="R112" i="19"/>
  <c r="S112" i="19"/>
  <c r="T112" i="19"/>
  <c r="I113" i="19"/>
  <c r="U113" i="19" s="1"/>
  <c r="J113" i="19"/>
  <c r="K113" i="19"/>
  <c r="L113" i="19"/>
  <c r="M113" i="19"/>
  <c r="N113" i="19"/>
  <c r="O113" i="19"/>
  <c r="P113" i="19"/>
  <c r="Q113" i="19"/>
  <c r="R113" i="19"/>
  <c r="S113" i="19"/>
  <c r="T113" i="19"/>
  <c r="I114" i="19"/>
  <c r="J114" i="19"/>
  <c r="K114" i="19"/>
  <c r="L114" i="19"/>
  <c r="M114" i="19"/>
  <c r="N114" i="19"/>
  <c r="O114" i="19"/>
  <c r="P114" i="19"/>
  <c r="Q114" i="19"/>
  <c r="R114" i="19"/>
  <c r="S114" i="19"/>
  <c r="T114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I116" i="19"/>
  <c r="J116" i="19"/>
  <c r="K116" i="19"/>
  <c r="L116" i="19"/>
  <c r="M116" i="19"/>
  <c r="N116" i="19"/>
  <c r="O116" i="19"/>
  <c r="P116" i="19"/>
  <c r="Q116" i="19"/>
  <c r="R116" i="19"/>
  <c r="S116" i="19"/>
  <c r="T116" i="19"/>
  <c r="I117" i="19"/>
  <c r="J117" i="19"/>
  <c r="K117" i="19"/>
  <c r="L117" i="19"/>
  <c r="M117" i="19"/>
  <c r="N117" i="19"/>
  <c r="O117" i="19"/>
  <c r="P117" i="19"/>
  <c r="Q117" i="19"/>
  <c r="R117" i="19"/>
  <c r="S117" i="19"/>
  <c r="T117" i="19"/>
  <c r="I118" i="19"/>
  <c r="U118" i="19" s="1"/>
  <c r="J118" i="19"/>
  <c r="K118" i="19"/>
  <c r="L118" i="19"/>
  <c r="M118" i="19"/>
  <c r="N118" i="19"/>
  <c r="O118" i="19"/>
  <c r="P118" i="19"/>
  <c r="Q118" i="19"/>
  <c r="R118" i="19"/>
  <c r="S118" i="19"/>
  <c r="T118" i="19"/>
  <c r="I119" i="19"/>
  <c r="J119" i="19"/>
  <c r="K119" i="19"/>
  <c r="L119" i="19"/>
  <c r="M119" i="19"/>
  <c r="N119" i="19"/>
  <c r="O119" i="19"/>
  <c r="P119" i="19"/>
  <c r="Q119" i="19"/>
  <c r="R119" i="19"/>
  <c r="S119" i="19"/>
  <c r="T119" i="19"/>
  <c r="I120" i="19"/>
  <c r="J120" i="19"/>
  <c r="K120" i="19"/>
  <c r="L120" i="19"/>
  <c r="M120" i="19"/>
  <c r="N120" i="19"/>
  <c r="O120" i="19"/>
  <c r="P120" i="19"/>
  <c r="Q120" i="19"/>
  <c r="R120" i="19"/>
  <c r="S120" i="19"/>
  <c r="T120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I122" i="19"/>
  <c r="J122" i="19"/>
  <c r="K122" i="19"/>
  <c r="L122" i="19"/>
  <c r="M122" i="19"/>
  <c r="N122" i="19"/>
  <c r="O122" i="19"/>
  <c r="P122" i="19"/>
  <c r="Q122" i="19"/>
  <c r="R122" i="19"/>
  <c r="S122" i="19"/>
  <c r="T122" i="19"/>
  <c r="U122" i="19" s="1"/>
  <c r="I123" i="19"/>
  <c r="U123" i="19" s="1"/>
  <c r="J123" i="19"/>
  <c r="K123" i="19"/>
  <c r="L123" i="19"/>
  <c r="M123" i="19"/>
  <c r="N123" i="19"/>
  <c r="O123" i="19"/>
  <c r="P123" i="19"/>
  <c r="Q123" i="19"/>
  <c r="R123" i="19"/>
  <c r="S123" i="19"/>
  <c r="T123" i="19"/>
  <c r="I124" i="19"/>
  <c r="J124" i="19"/>
  <c r="K124" i="19"/>
  <c r="L124" i="19"/>
  <c r="M124" i="19"/>
  <c r="N124" i="19"/>
  <c r="O124" i="19"/>
  <c r="P124" i="19"/>
  <c r="Q124" i="19"/>
  <c r="R124" i="19"/>
  <c r="S124" i="19"/>
  <c r="T124" i="19"/>
  <c r="I125" i="19"/>
  <c r="J125" i="19"/>
  <c r="K125" i="19"/>
  <c r="L125" i="19"/>
  <c r="M125" i="19"/>
  <c r="N125" i="19"/>
  <c r="O125" i="19"/>
  <c r="P125" i="19"/>
  <c r="Q125" i="19"/>
  <c r="R125" i="19"/>
  <c r="S125" i="19"/>
  <c r="T125" i="19"/>
  <c r="I126" i="19"/>
  <c r="J126" i="19"/>
  <c r="K126" i="19"/>
  <c r="L126" i="19"/>
  <c r="M126" i="19"/>
  <c r="N126" i="19"/>
  <c r="O126" i="19"/>
  <c r="P126" i="19"/>
  <c r="Q126" i="19"/>
  <c r="R126" i="19"/>
  <c r="S126" i="19"/>
  <c r="T126" i="19"/>
  <c r="I127" i="19"/>
  <c r="J127" i="19"/>
  <c r="K127" i="19"/>
  <c r="L127" i="19"/>
  <c r="M127" i="19"/>
  <c r="N127" i="19"/>
  <c r="O127" i="19"/>
  <c r="P127" i="19"/>
  <c r="Q127" i="19"/>
  <c r="R127" i="19"/>
  <c r="S127" i="19"/>
  <c r="T127" i="19"/>
  <c r="I128" i="19"/>
  <c r="U128" i="19" s="1"/>
  <c r="J128" i="19"/>
  <c r="K128" i="19"/>
  <c r="L128" i="19"/>
  <c r="M128" i="19"/>
  <c r="N128" i="19"/>
  <c r="O128" i="19"/>
  <c r="P128" i="19"/>
  <c r="Q128" i="19"/>
  <c r="R128" i="19"/>
  <c r="S128" i="19"/>
  <c r="T128" i="19"/>
  <c r="I129" i="19"/>
  <c r="J129" i="19"/>
  <c r="K129" i="19"/>
  <c r="L129" i="19"/>
  <c r="M129" i="19"/>
  <c r="N129" i="19"/>
  <c r="O129" i="19"/>
  <c r="P129" i="19"/>
  <c r="Q129" i="19"/>
  <c r="R129" i="19"/>
  <c r="S129" i="19"/>
  <c r="T129" i="19"/>
  <c r="I130" i="19"/>
  <c r="J130" i="19"/>
  <c r="K130" i="19"/>
  <c r="L130" i="19"/>
  <c r="M130" i="19"/>
  <c r="N130" i="19"/>
  <c r="O130" i="19"/>
  <c r="P130" i="19"/>
  <c r="Q130" i="19"/>
  <c r="R130" i="19"/>
  <c r="S130" i="19"/>
  <c r="T130" i="19"/>
  <c r="I131" i="19"/>
  <c r="J131" i="19"/>
  <c r="K131" i="19"/>
  <c r="L131" i="19"/>
  <c r="M131" i="19"/>
  <c r="N131" i="19"/>
  <c r="O131" i="19"/>
  <c r="P131" i="19"/>
  <c r="Q131" i="19"/>
  <c r="R131" i="19"/>
  <c r="S131" i="19"/>
  <c r="T131" i="19"/>
  <c r="I132" i="19"/>
  <c r="J132" i="19"/>
  <c r="K132" i="19"/>
  <c r="L132" i="19"/>
  <c r="M132" i="19"/>
  <c r="N132" i="19"/>
  <c r="O132" i="19"/>
  <c r="P132" i="19"/>
  <c r="Q132" i="19"/>
  <c r="R132" i="19"/>
  <c r="S132" i="19"/>
  <c r="T132" i="19"/>
  <c r="I133" i="19"/>
  <c r="U133" i="19" s="1"/>
  <c r="J133" i="19"/>
  <c r="K133" i="19"/>
  <c r="L133" i="19"/>
  <c r="M133" i="19"/>
  <c r="N133" i="19"/>
  <c r="O133" i="19"/>
  <c r="P133" i="19"/>
  <c r="Q133" i="19"/>
  <c r="R133" i="19"/>
  <c r="S133" i="19"/>
  <c r="T133" i="19"/>
  <c r="I134" i="19"/>
  <c r="J134" i="19"/>
  <c r="K134" i="19"/>
  <c r="L134" i="19"/>
  <c r="M134" i="19"/>
  <c r="N134" i="19"/>
  <c r="O134" i="19"/>
  <c r="P134" i="19"/>
  <c r="Q134" i="19"/>
  <c r="R134" i="19"/>
  <c r="S134" i="19"/>
  <c r="T134" i="19"/>
  <c r="I135" i="19"/>
  <c r="J135" i="19"/>
  <c r="K135" i="19"/>
  <c r="L135" i="19"/>
  <c r="M135" i="19"/>
  <c r="N135" i="19"/>
  <c r="O135" i="19"/>
  <c r="P135" i="19"/>
  <c r="Q135" i="19"/>
  <c r="R135" i="19"/>
  <c r="S135" i="19"/>
  <c r="T135" i="19"/>
  <c r="I136" i="19"/>
  <c r="J136" i="19"/>
  <c r="K136" i="19"/>
  <c r="L136" i="19"/>
  <c r="M136" i="19"/>
  <c r="N136" i="19"/>
  <c r="O136" i="19"/>
  <c r="P136" i="19"/>
  <c r="Q136" i="19"/>
  <c r="R136" i="19"/>
  <c r="S136" i="19"/>
  <c r="T136" i="19"/>
  <c r="I137" i="19"/>
  <c r="J137" i="19"/>
  <c r="K137" i="19"/>
  <c r="L137" i="19"/>
  <c r="M137" i="19"/>
  <c r="N137" i="19"/>
  <c r="O137" i="19"/>
  <c r="P137" i="19"/>
  <c r="Q137" i="19"/>
  <c r="R137" i="19"/>
  <c r="S137" i="19"/>
  <c r="T137" i="19"/>
  <c r="I138" i="19"/>
  <c r="U138" i="19" s="1"/>
  <c r="J138" i="19"/>
  <c r="K138" i="19"/>
  <c r="L138" i="19"/>
  <c r="M138" i="19"/>
  <c r="N138" i="19"/>
  <c r="O138" i="19"/>
  <c r="P138" i="19"/>
  <c r="Q138" i="19"/>
  <c r="R138" i="19"/>
  <c r="S138" i="19"/>
  <c r="T138" i="19"/>
  <c r="I139" i="19"/>
  <c r="J139" i="19"/>
  <c r="K139" i="19"/>
  <c r="L139" i="19"/>
  <c r="M139" i="19"/>
  <c r="N139" i="19"/>
  <c r="O139" i="19"/>
  <c r="P139" i="19"/>
  <c r="Q139" i="19"/>
  <c r="R139" i="19"/>
  <c r="S139" i="19"/>
  <c r="T139" i="19"/>
  <c r="I140" i="19"/>
  <c r="J140" i="19"/>
  <c r="K140" i="19"/>
  <c r="L140" i="19"/>
  <c r="M140" i="19"/>
  <c r="N140" i="19"/>
  <c r="O140" i="19"/>
  <c r="P140" i="19"/>
  <c r="Q140" i="19"/>
  <c r="R140" i="19"/>
  <c r="S140" i="19"/>
  <c r="T140" i="19"/>
  <c r="I141" i="19"/>
  <c r="J141" i="19"/>
  <c r="K141" i="19"/>
  <c r="L141" i="19"/>
  <c r="M141" i="19"/>
  <c r="N141" i="19"/>
  <c r="O141" i="19"/>
  <c r="P141" i="19"/>
  <c r="Q141" i="19"/>
  <c r="R141" i="19"/>
  <c r="S141" i="19"/>
  <c r="T141" i="19"/>
  <c r="I142" i="19"/>
  <c r="J142" i="19"/>
  <c r="K142" i="19"/>
  <c r="L142" i="19"/>
  <c r="M142" i="19"/>
  <c r="N142" i="19"/>
  <c r="O142" i="19"/>
  <c r="P142" i="19"/>
  <c r="Q142" i="19"/>
  <c r="R142" i="19"/>
  <c r="S142" i="19"/>
  <c r="T142" i="19"/>
  <c r="I143" i="19"/>
  <c r="U143" i="19" s="1"/>
  <c r="J143" i="19"/>
  <c r="K143" i="19"/>
  <c r="L143" i="19"/>
  <c r="M143" i="19"/>
  <c r="N143" i="19"/>
  <c r="O143" i="19"/>
  <c r="P143" i="19"/>
  <c r="Q143" i="19"/>
  <c r="R143" i="19"/>
  <c r="S143" i="19"/>
  <c r="T143" i="19"/>
  <c r="I144" i="19"/>
  <c r="J144" i="19"/>
  <c r="K144" i="19"/>
  <c r="L144" i="19"/>
  <c r="M144" i="19"/>
  <c r="N144" i="19"/>
  <c r="O144" i="19"/>
  <c r="P144" i="19"/>
  <c r="Q144" i="19"/>
  <c r="R144" i="19"/>
  <c r="S144" i="19"/>
  <c r="T144" i="19"/>
  <c r="I145" i="19"/>
  <c r="J145" i="19"/>
  <c r="K145" i="19"/>
  <c r="L145" i="19"/>
  <c r="M145" i="19"/>
  <c r="N145" i="19"/>
  <c r="U145" i="19" s="1"/>
  <c r="O145" i="19"/>
  <c r="P145" i="19"/>
  <c r="Q145" i="19"/>
  <c r="R145" i="19"/>
  <c r="S145" i="19"/>
  <c r="T145" i="19"/>
  <c r="I146" i="19"/>
  <c r="J146" i="19"/>
  <c r="U146" i="19" s="1"/>
  <c r="K146" i="19"/>
  <c r="L146" i="19"/>
  <c r="M146" i="19"/>
  <c r="N146" i="19"/>
  <c r="O146" i="19"/>
  <c r="P146" i="19"/>
  <c r="Q146" i="19"/>
  <c r="R146" i="19"/>
  <c r="S146" i="19"/>
  <c r="T146" i="19"/>
  <c r="I147" i="19"/>
  <c r="J147" i="19"/>
  <c r="U147" i="19" s="1"/>
  <c r="K147" i="19"/>
  <c r="L147" i="19"/>
  <c r="M147" i="19"/>
  <c r="N147" i="19"/>
  <c r="O147" i="19"/>
  <c r="P147" i="19"/>
  <c r="Q147" i="19"/>
  <c r="R147" i="19"/>
  <c r="S147" i="19"/>
  <c r="T147" i="19"/>
  <c r="I148" i="19"/>
  <c r="U148" i="19" s="1"/>
  <c r="J148" i="19"/>
  <c r="K148" i="19"/>
  <c r="L148" i="19"/>
  <c r="M148" i="19"/>
  <c r="N148" i="19"/>
  <c r="O148" i="19"/>
  <c r="P148" i="19"/>
  <c r="Q148" i="19"/>
  <c r="R148" i="19"/>
  <c r="S148" i="19"/>
  <c r="T148" i="19"/>
  <c r="I149" i="19"/>
  <c r="J149" i="19"/>
  <c r="K149" i="19"/>
  <c r="L149" i="19"/>
  <c r="M149" i="19"/>
  <c r="N149" i="19"/>
  <c r="O149" i="19"/>
  <c r="P149" i="19"/>
  <c r="Q149" i="19"/>
  <c r="R149" i="19"/>
  <c r="S149" i="19"/>
  <c r="T149" i="19"/>
  <c r="I150" i="19"/>
  <c r="J150" i="19"/>
  <c r="K150" i="19"/>
  <c r="L150" i="19"/>
  <c r="M150" i="19"/>
  <c r="N150" i="19"/>
  <c r="O150" i="19"/>
  <c r="P150" i="19"/>
  <c r="Q150" i="19"/>
  <c r="R150" i="19"/>
  <c r="S150" i="19"/>
  <c r="T150" i="19"/>
  <c r="I151" i="19"/>
  <c r="J151" i="19"/>
  <c r="K151" i="19"/>
  <c r="L151" i="19"/>
  <c r="M151" i="19"/>
  <c r="N151" i="19"/>
  <c r="O151" i="19"/>
  <c r="P151" i="19"/>
  <c r="Q151" i="19"/>
  <c r="R151" i="19"/>
  <c r="S151" i="19"/>
  <c r="T151" i="19"/>
  <c r="I152" i="19"/>
  <c r="J152" i="19"/>
  <c r="K152" i="19"/>
  <c r="L152" i="19"/>
  <c r="M152" i="19"/>
  <c r="N152" i="19"/>
  <c r="O152" i="19"/>
  <c r="P152" i="19"/>
  <c r="Q152" i="19"/>
  <c r="R152" i="19"/>
  <c r="S152" i="19"/>
  <c r="T152" i="19"/>
  <c r="I153" i="19"/>
  <c r="U153" i="19" s="1"/>
  <c r="J153" i="19"/>
  <c r="K153" i="19"/>
  <c r="L153" i="19"/>
  <c r="M153" i="19"/>
  <c r="N153" i="19"/>
  <c r="O153" i="19"/>
  <c r="P153" i="19"/>
  <c r="Q153" i="19"/>
  <c r="R153" i="19"/>
  <c r="S153" i="19"/>
  <c r="T153" i="19"/>
  <c r="I154" i="19"/>
  <c r="J154" i="19"/>
  <c r="K154" i="19"/>
  <c r="L154" i="19"/>
  <c r="M154" i="19"/>
  <c r="N154" i="19"/>
  <c r="O154" i="19"/>
  <c r="P154" i="19"/>
  <c r="Q154" i="19"/>
  <c r="R154" i="19"/>
  <c r="S154" i="19"/>
  <c r="T154" i="19"/>
  <c r="I155" i="19"/>
  <c r="J155" i="19"/>
  <c r="K155" i="19"/>
  <c r="L155" i="19"/>
  <c r="M155" i="19"/>
  <c r="N155" i="19"/>
  <c r="O155" i="19"/>
  <c r="P155" i="19"/>
  <c r="Q155" i="19"/>
  <c r="R155" i="19"/>
  <c r="S155" i="19"/>
  <c r="T155" i="19"/>
  <c r="I156" i="19"/>
  <c r="J156" i="19"/>
  <c r="K156" i="19"/>
  <c r="L156" i="19"/>
  <c r="M156" i="19"/>
  <c r="N156" i="19"/>
  <c r="O156" i="19"/>
  <c r="P156" i="19"/>
  <c r="Q156" i="19"/>
  <c r="R156" i="19"/>
  <c r="S156" i="19"/>
  <c r="T156" i="19"/>
  <c r="I159" i="19"/>
  <c r="J159" i="19"/>
  <c r="J161" i="19" s="1"/>
  <c r="K159" i="19"/>
  <c r="K161" i="19" s="1"/>
  <c r="L159" i="19"/>
  <c r="L161" i="19" s="1"/>
  <c r="M159" i="19"/>
  <c r="N159" i="19"/>
  <c r="O159" i="19"/>
  <c r="O161" i="19" s="1"/>
  <c r="P159" i="19"/>
  <c r="Q159" i="19"/>
  <c r="R159" i="19"/>
  <c r="R161" i="19" s="1"/>
  <c r="S159" i="19"/>
  <c r="S161" i="19" s="1"/>
  <c r="T159" i="19"/>
  <c r="T161" i="19" s="1"/>
  <c r="I160" i="19"/>
  <c r="U160" i="19" s="1"/>
  <c r="J160" i="19"/>
  <c r="K160" i="19"/>
  <c r="L160" i="19"/>
  <c r="M160" i="19"/>
  <c r="N160" i="19"/>
  <c r="O160" i="19"/>
  <c r="P160" i="19"/>
  <c r="Q160" i="19"/>
  <c r="R160" i="19"/>
  <c r="S160" i="19"/>
  <c r="T160" i="19"/>
  <c r="I163" i="19"/>
  <c r="J163" i="19"/>
  <c r="K163" i="19"/>
  <c r="L163" i="19"/>
  <c r="M163" i="19"/>
  <c r="N163" i="19"/>
  <c r="O163" i="19"/>
  <c r="O164" i="19" s="1"/>
  <c r="P163" i="19"/>
  <c r="P164" i="19" s="1"/>
  <c r="Q163" i="19"/>
  <c r="Q164" i="19" s="1"/>
  <c r="R163" i="19"/>
  <c r="R164" i="19" s="1"/>
  <c r="S163" i="19"/>
  <c r="S164" i="19" s="1"/>
  <c r="T163" i="19"/>
  <c r="T164" i="19" s="1"/>
  <c r="I166" i="19"/>
  <c r="J166" i="19"/>
  <c r="K166" i="19"/>
  <c r="L166" i="19"/>
  <c r="M166" i="19"/>
  <c r="N166" i="19"/>
  <c r="O166" i="19"/>
  <c r="P166" i="19"/>
  <c r="Q166" i="19"/>
  <c r="R166" i="19"/>
  <c r="S166" i="19"/>
  <c r="T166" i="19"/>
  <c r="I167" i="19"/>
  <c r="J167" i="19"/>
  <c r="J180" i="19" s="1"/>
  <c r="K167" i="19"/>
  <c r="K180" i="19" s="1"/>
  <c r="L167" i="19"/>
  <c r="L180" i="19" s="1"/>
  <c r="M167" i="19"/>
  <c r="N167" i="19"/>
  <c r="O167" i="19"/>
  <c r="P167" i="19"/>
  <c r="Q167" i="19"/>
  <c r="R167" i="19"/>
  <c r="S167" i="19"/>
  <c r="T167" i="19"/>
  <c r="I168" i="19"/>
  <c r="J168" i="19"/>
  <c r="K168" i="19"/>
  <c r="L168" i="19"/>
  <c r="M168" i="19"/>
  <c r="N168" i="19"/>
  <c r="O168" i="19"/>
  <c r="P168" i="19"/>
  <c r="Q168" i="19"/>
  <c r="R168" i="19"/>
  <c r="S168" i="19"/>
  <c r="T168" i="19"/>
  <c r="I169" i="19"/>
  <c r="U169" i="19" s="1"/>
  <c r="J169" i="19"/>
  <c r="K169" i="19"/>
  <c r="L169" i="19"/>
  <c r="M169" i="19"/>
  <c r="N169" i="19"/>
  <c r="O169" i="19"/>
  <c r="P169" i="19"/>
  <c r="Q169" i="19"/>
  <c r="R169" i="19"/>
  <c r="S169" i="19"/>
  <c r="T169" i="19"/>
  <c r="I170" i="19"/>
  <c r="J170" i="19"/>
  <c r="K170" i="19"/>
  <c r="L170" i="19"/>
  <c r="M170" i="19"/>
  <c r="N170" i="19"/>
  <c r="O170" i="19"/>
  <c r="P170" i="19"/>
  <c r="Q170" i="19"/>
  <c r="R170" i="19"/>
  <c r="S170" i="19"/>
  <c r="T170" i="19"/>
  <c r="I171" i="19"/>
  <c r="J171" i="19"/>
  <c r="K171" i="19"/>
  <c r="L171" i="19"/>
  <c r="M171" i="19"/>
  <c r="N171" i="19"/>
  <c r="U171" i="19" s="1"/>
  <c r="O171" i="19"/>
  <c r="P171" i="19"/>
  <c r="Q171" i="19"/>
  <c r="R171" i="19"/>
  <c r="S171" i="19"/>
  <c r="T171" i="19"/>
  <c r="I172" i="19"/>
  <c r="J172" i="19"/>
  <c r="U172" i="19" s="1"/>
  <c r="K172" i="19"/>
  <c r="L172" i="19"/>
  <c r="M172" i="19"/>
  <c r="N172" i="19"/>
  <c r="O172" i="19"/>
  <c r="P172" i="19"/>
  <c r="Q172" i="19"/>
  <c r="R172" i="19"/>
  <c r="S172" i="19"/>
  <c r="T172" i="19"/>
  <c r="I173" i="19"/>
  <c r="J173" i="19"/>
  <c r="U173" i="19" s="1"/>
  <c r="K173" i="19"/>
  <c r="L173" i="19"/>
  <c r="M173" i="19"/>
  <c r="N173" i="19"/>
  <c r="O173" i="19"/>
  <c r="P173" i="19"/>
  <c r="Q173" i="19"/>
  <c r="R173" i="19"/>
  <c r="S173" i="19"/>
  <c r="T173" i="19"/>
  <c r="I174" i="19"/>
  <c r="U174" i="19" s="1"/>
  <c r="J174" i="19"/>
  <c r="K174" i="19"/>
  <c r="L174" i="19"/>
  <c r="M174" i="19"/>
  <c r="N174" i="19"/>
  <c r="O174" i="19"/>
  <c r="P174" i="19"/>
  <c r="Q174" i="19"/>
  <c r="R174" i="19"/>
  <c r="S174" i="19"/>
  <c r="T174" i="19"/>
  <c r="I175" i="19"/>
  <c r="J175" i="19"/>
  <c r="K175" i="19"/>
  <c r="L175" i="19"/>
  <c r="M175" i="19"/>
  <c r="N175" i="19"/>
  <c r="O175" i="19"/>
  <c r="P175" i="19"/>
  <c r="Q175" i="19"/>
  <c r="R175" i="19"/>
  <c r="S175" i="19"/>
  <c r="T175" i="19"/>
  <c r="I176" i="19"/>
  <c r="J176" i="19"/>
  <c r="K176" i="19"/>
  <c r="L176" i="19"/>
  <c r="M176" i="19"/>
  <c r="N176" i="19"/>
  <c r="O176" i="19"/>
  <c r="P176" i="19"/>
  <c r="Q176" i="19"/>
  <c r="R176" i="19"/>
  <c r="S176" i="19"/>
  <c r="T176" i="19"/>
  <c r="I177" i="19"/>
  <c r="J177" i="19"/>
  <c r="K177" i="19"/>
  <c r="L177" i="19"/>
  <c r="M177" i="19"/>
  <c r="N177" i="19"/>
  <c r="O177" i="19"/>
  <c r="P177" i="19"/>
  <c r="Q177" i="19"/>
  <c r="R177" i="19"/>
  <c r="S177" i="19"/>
  <c r="T177" i="19"/>
  <c r="I178" i="19"/>
  <c r="J178" i="19"/>
  <c r="K178" i="19"/>
  <c r="L178" i="19"/>
  <c r="M178" i="19"/>
  <c r="N178" i="19"/>
  <c r="O178" i="19"/>
  <c r="P178" i="19"/>
  <c r="Q178" i="19"/>
  <c r="R178" i="19"/>
  <c r="S178" i="19"/>
  <c r="T178" i="19"/>
  <c r="I179" i="19"/>
  <c r="U179" i="19" s="1"/>
  <c r="J179" i="19"/>
  <c r="K179" i="19"/>
  <c r="L179" i="19"/>
  <c r="M179" i="19"/>
  <c r="N179" i="19"/>
  <c r="O179" i="19"/>
  <c r="P179" i="19"/>
  <c r="Q179" i="19"/>
  <c r="R179" i="19"/>
  <c r="S179" i="19"/>
  <c r="T179" i="19"/>
  <c r="I182" i="19"/>
  <c r="J182" i="19"/>
  <c r="K182" i="19"/>
  <c r="K183" i="19" s="1"/>
  <c r="L182" i="19"/>
  <c r="L183" i="19" s="1"/>
  <c r="M182" i="19"/>
  <c r="M183" i="19" s="1"/>
  <c r="N182" i="19"/>
  <c r="N183" i="19" s="1"/>
  <c r="O182" i="19"/>
  <c r="O183" i="19" s="1"/>
  <c r="P182" i="19"/>
  <c r="P183" i="19" s="1"/>
  <c r="Q182" i="19"/>
  <c r="Q183" i="19" s="1"/>
  <c r="R182" i="19"/>
  <c r="R183" i="19" s="1"/>
  <c r="S182" i="19"/>
  <c r="S183" i="19" s="1"/>
  <c r="T182" i="19"/>
  <c r="H13" i="19"/>
  <c r="H14" i="19"/>
  <c r="H15" i="19"/>
  <c r="H18" i="19"/>
  <c r="H19" i="19"/>
  <c r="H22" i="19"/>
  <c r="H25" i="19"/>
  <c r="H38" i="19"/>
  <c r="H39" i="19"/>
  <c r="H42" i="19"/>
  <c r="H43" i="19"/>
  <c r="H44" i="19"/>
  <c r="H49" i="19"/>
  <c r="H50" i="19"/>
  <c r="H63" i="19"/>
  <c r="H64" i="19"/>
  <c r="H65" i="19"/>
  <c r="H68" i="19"/>
  <c r="H71" i="19"/>
  <c r="H72" i="19"/>
  <c r="H75" i="19"/>
  <c r="H86" i="19"/>
  <c r="H89" i="19"/>
  <c r="H92" i="19"/>
  <c r="H93" i="19"/>
  <c r="H97" i="19"/>
  <c r="H98" i="19"/>
  <c r="H107" i="19"/>
  <c r="H108" i="19"/>
  <c r="H109" i="19"/>
  <c r="H112" i="19"/>
  <c r="H113" i="19"/>
  <c r="H117" i="19"/>
  <c r="H118" i="19"/>
  <c r="H127" i="19"/>
  <c r="H128" i="19"/>
  <c r="H129" i="19"/>
  <c r="H133" i="19"/>
  <c r="H137" i="19"/>
  <c r="H138" i="19"/>
  <c r="H147" i="19"/>
  <c r="H148" i="19"/>
  <c r="H149" i="19"/>
  <c r="H153" i="19"/>
  <c r="H159" i="19"/>
  <c r="H160" i="19"/>
  <c r="H173" i="19"/>
  <c r="H174" i="19"/>
  <c r="H175" i="19"/>
  <c r="H179" i="19"/>
  <c r="G6" i="19"/>
  <c r="G7" i="19"/>
  <c r="G8" i="19"/>
  <c r="H8" i="19" s="1"/>
  <c r="G9" i="19"/>
  <c r="G10" i="19"/>
  <c r="G13" i="19"/>
  <c r="G20" i="19" s="1"/>
  <c r="G14" i="19"/>
  <c r="G15" i="19"/>
  <c r="G16" i="19"/>
  <c r="G17" i="19"/>
  <c r="G18" i="19"/>
  <c r="G19" i="19"/>
  <c r="G22" i="19"/>
  <c r="G23" i="19"/>
  <c r="H23" i="19" s="1"/>
  <c r="V23" i="19" s="1"/>
  <c r="G24" i="19"/>
  <c r="H24" i="19" s="1"/>
  <c r="G25" i="19"/>
  <c r="G26" i="19"/>
  <c r="H26" i="19" s="1"/>
  <c r="G27" i="19"/>
  <c r="G28" i="19"/>
  <c r="G31" i="19"/>
  <c r="G32" i="19"/>
  <c r="G33" i="19"/>
  <c r="G34" i="19"/>
  <c r="H34" i="19" s="1"/>
  <c r="G35" i="19"/>
  <c r="G36" i="19"/>
  <c r="G37" i="19"/>
  <c r="G38" i="19"/>
  <c r="G39" i="19"/>
  <c r="G40" i="19"/>
  <c r="G41" i="19"/>
  <c r="G42" i="19"/>
  <c r="G43" i="19"/>
  <c r="G44" i="19"/>
  <c r="G45" i="19"/>
  <c r="H45" i="19" s="1"/>
  <c r="V45" i="19" s="1"/>
  <c r="G46" i="19"/>
  <c r="H46" i="19" s="1"/>
  <c r="G49" i="19"/>
  <c r="G50" i="19"/>
  <c r="G52" i="19" s="1"/>
  <c r="G51" i="19"/>
  <c r="G54" i="19"/>
  <c r="G55" i="19"/>
  <c r="G56" i="19"/>
  <c r="G57" i="19"/>
  <c r="G58" i="19"/>
  <c r="H58" i="19" s="1"/>
  <c r="G59" i="19"/>
  <c r="G62" i="19"/>
  <c r="G69" i="19" s="1"/>
  <c r="G63" i="19"/>
  <c r="G64" i="19"/>
  <c r="G65" i="19"/>
  <c r="G66" i="19"/>
  <c r="G67" i="19"/>
  <c r="G68" i="19"/>
  <c r="G71" i="19"/>
  <c r="G72" i="19"/>
  <c r="G73" i="19"/>
  <c r="H73" i="19" s="1"/>
  <c r="G74" i="19"/>
  <c r="H74" i="19" s="1"/>
  <c r="G75" i="19"/>
  <c r="G76" i="19"/>
  <c r="H76" i="19" s="1"/>
  <c r="G77" i="19"/>
  <c r="G78" i="19"/>
  <c r="G79" i="19"/>
  <c r="G80" i="19"/>
  <c r="G81" i="19"/>
  <c r="G82" i="19"/>
  <c r="H82" i="19" s="1"/>
  <c r="G83" i="19"/>
  <c r="G84" i="19"/>
  <c r="G85" i="19"/>
  <c r="G86" i="19"/>
  <c r="G89" i="19"/>
  <c r="G90" i="19"/>
  <c r="G91" i="19"/>
  <c r="G92" i="19"/>
  <c r="G93" i="19"/>
  <c r="G94" i="19"/>
  <c r="H94" i="19" s="1"/>
  <c r="G95" i="19"/>
  <c r="H95" i="19" s="1"/>
  <c r="G96" i="19"/>
  <c r="H96" i="19" s="1"/>
  <c r="G97" i="19"/>
  <c r="G98" i="19"/>
  <c r="G99" i="19"/>
  <c r="G100" i="19"/>
  <c r="G101" i="19"/>
  <c r="G102" i="19"/>
  <c r="G103" i="19"/>
  <c r="G104" i="19"/>
  <c r="H104" i="19" s="1"/>
  <c r="G105" i="19"/>
  <c r="G106" i="19"/>
  <c r="G107" i="19"/>
  <c r="G108" i="19"/>
  <c r="G109" i="19"/>
  <c r="G110" i="19"/>
  <c r="G111" i="19"/>
  <c r="G112" i="19"/>
  <c r="G113" i="19"/>
  <c r="G114" i="19"/>
  <c r="H114" i="19" s="1"/>
  <c r="G115" i="19"/>
  <c r="H115" i="19" s="1"/>
  <c r="G116" i="19"/>
  <c r="H116" i="19" s="1"/>
  <c r="G117" i="19"/>
  <c r="G118" i="19"/>
  <c r="G119" i="19"/>
  <c r="G120" i="19"/>
  <c r="G121" i="19"/>
  <c r="G122" i="19"/>
  <c r="G123" i="19"/>
  <c r="G124" i="19"/>
  <c r="H124" i="19" s="1"/>
  <c r="V124" i="19" s="1"/>
  <c r="G125" i="19"/>
  <c r="G126" i="19"/>
  <c r="G127" i="19"/>
  <c r="G128" i="19"/>
  <c r="G129" i="19"/>
  <c r="G130" i="19"/>
  <c r="G131" i="19"/>
  <c r="G132" i="19"/>
  <c r="G133" i="19"/>
  <c r="G134" i="19"/>
  <c r="H134" i="19" s="1"/>
  <c r="G135" i="19"/>
  <c r="H135" i="19" s="1"/>
  <c r="G136" i="19"/>
  <c r="H136" i="19" s="1"/>
  <c r="G137" i="19"/>
  <c r="G138" i="19"/>
  <c r="G139" i="19"/>
  <c r="G140" i="19"/>
  <c r="G141" i="19"/>
  <c r="G142" i="19"/>
  <c r="G143" i="19"/>
  <c r="G144" i="19"/>
  <c r="H144" i="19" s="1"/>
  <c r="G145" i="19"/>
  <c r="G146" i="19"/>
  <c r="G147" i="19"/>
  <c r="G148" i="19"/>
  <c r="G149" i="19"/>
  <c r="G150" i="19"/>
  <c r="G151" i="19"/>
  <c r="G152" i="19"/>
  <c r="G153" i="19"/>
  <c r="G154" i="19"/>
  <c r="H154" i="19" s="1"/>
  <c r="G155" i="19"/>
  <c r="H155" i="19" s="1"/>
  <c r="G156" i="19"/>
  <c r="H156" i="19" s="1"/>
  <c r="G159" i="19"/>
  <c r="G160" i="19"/>
  <c r="G163" i="19"/>
  <c r="G164" i="19" s="1"/>
  <c r="G166" i="19"/>
  <c r="G167" i="19"/>
  <c r="G168" i="19"/>
  <c r="G169" i="19"/>
  <c r="G170" i="19"/>
  <c r="H170" i="19" s="1"/>
  <c r="G171" i="19"/>
  <c r="G172" i="19"/>
  <c r="G173" i="19"/>
  <c r="G174" i="19"/>
  <c r="G175" i="19"/>
  <c r="G176" i="19"/>
  <c r="G177" i="19"/>
  <c r="G178" i="19"/>
  <c r="G179" i="19"/>
  <c r="G182" i="19"/>
  <c r="H182" i="19" s="1"/>
  <c r="F6" i="19"/>
  <c r="F7" i="19"/>
  <c r="F8" i="19"/>
  <c r="F9" i="19"/>
  <c r="F10" i="19"/>
  <c r="H10" i="19" s="1"/>
  <c r="F13" i="19"/>
  <c r="F14" i="19"/>
  <c r="F15" i="19"/>
  <c r="F16" i="19"/>
  <c r="H16" i="19" s="1"/>
  <c r="V16" i="19" s="1"/>
  <c r="W16" i="19" s="1"/>
  <c r="F17" i="19"/>
  <c r="H17" i="19" s="1"/>
  <c r="F18" i="19"/>
  <c r="F19" i="19"/>
  <c r="F22" i="19"/>
  <c r="F23" i="19"/>
  <c r="F24" i="19"/>
  <c r="F25" i="19"/>
  <c r="F26" i="19"/>
  <c r="F27" i="19"/>
  <c r="H27" i="19" s="1"/>
  <c r="F28" i="19"/>
  <c r="H28" i="19" s="1"/>
  <c r="F31" i="19"/>
  <c r="F32" i="19"/>
  <c r="H32" i="19" s="1"/>
  <c r="F33" i="19"/>
  <c r="F34" i="19"/>
  <c r="F35" i="19"/>
  <c r="F36" i="19"/>
  <c r="H36" i="19" s="1"/>
  <c r="F37" i="19"/>
  <c r="H37" i="19" s="1"/>
  <c r="F38" i="19"/>
  <c r="F39" i="19"/>
  <c r="F40" i="19"/>
  <c r="H40" i="19" s="1"/>
  <c r="V40" i="19" s="1"/>
  <c r="F41" i="19"/>
  <c r="H41" i="19" s="1"/>
  <c r="F42" i="19"/>
  <c r="F43" i="19"/>
  <c r="F44" i="19"/>
  <c r="F45" i="19"/>
  <c r="F46" i="19"/>
  <c r="F49" i="19"/>
  <c r="F50" i="19"/>
  <c r="F51" i="19"/>
  <c r="H51" i="19" s="1"/>
  <c r="F54" i="19"/>
  <c r="F55" i="19"/>
  <c r="H55" i="19" s="1"/>
  <c r="F56" i="19"/>
  <c r="H56" i="19" s="1"/>
  <c r="F57" i="19"/>
  <c r="F58" i="19"/>
  <c r="F59" i="19"/>
  <c r="F62" i="19"/>
  <c r="F63" i="19"/>
  <c r="F64" i="19"/>
  <c r="F65" i="19"/>
  <c r="F66" i="19"/>
  <c r="H66" i="19" s="1"/>
  <c r="F67" i="19"/>
  <c r="H67" i="19" s="1"/>
  <c r="F68" i="19"/>
  <c r="F71" i="19"/>
  <c r="F72" i="19"/>
  <c r="F73" i="19"/>
  <c r="F74" i="19"/>
  <c r="F75" i="19"/>
  <c r="F76" i="19"/>
  <c r="F77" i="19"/>
  <c r="H77" i="19" s="1"/>
  <c r="F78" i="19"/>
  <c r="H78" i="19" s="1"/>
  <c r="F79" i="19"/>
  <c r="H79" i="19" s="1"/>
  <c r="F80" i="19"/>
  <c r="H80" i="19" s="1"/>
  <c r="F81" i="19"/>
  <c r="F82" i="19"/>
  <c r="F83" i="19"/>
  <c r="F84" i="19"/>
  <c r="H84" i="19" s="1"/>
  <c r="F85" i="19"/>
  <c r="H85" i="19" s="1"/>
  <c r="F86" i="19"/>
  <c r="F89" i="19"/>
  <c r="F90" i="19"/>
  <c r="H90" i="19" s="1"/>
  <c r="F91" i="19"/>
  <c r="H91" i="19" s="1"/>
  <c r="F92" i="19"/>
  <c r="F93" i="19"/>
  <c r="F94" i="19"/>
  <c r="F95" i="19"/>
  <c r="F96" i="19"/>
  <c r="F97" i="19"/>
  <c r="F98" i="19"/>
  <c r="F99" i="19"/>
  <c r="H99" i="19" s="1"/>
  <c r="F100" i="19"/>
  <c r="H100" i="19" s="1"/>
  <c r="F101" i="19"/>
  <c r="H101" i="19" s="1"/>
  <c r="F102" i="19"/>
  <c r="H102" i="19" s="1"/>
  <c r="F103" i="19"/>
  <c r="F104" i="19"/>
  <c r="F105" i="19"/>
  <c r="F106" i="19"/>
  <c r="H106" i="19" s="1"/>
  <c r="F107" i="19"/>
  <c r="F108" i="19"/>
  <c r="F109" i="19"/>
  <c r="F110" i="19"/>
  <c r="H110" i="19" s="1"/>
  <c r="F111" i="19"/>
  <c r="H111" i="19" s="1"/>
  <c r="F112" i="19"/>
  <c r="F113" i="19"/>
  <c r="F114" i="19"/>
  <c r="F115" i="19"/>
  <c r="F116" i="19"/>
  <c r="F117" i="19"/>
  <c r="F118" i="19"/>
  <c r="F119" i="19"/>
  <c r="H119" i="19" s="1"/>
  <c r="F120" i="19"/>
  <c r="H120" i="19" s="1"/>
  <c r="F121" i="19"/>
  <c r="H121" i="19" s="1"/>
  <c r="F122" i="19"/>
  <c r="H122" i="19" s="1"/>
  <c r="F123" i="19"/>
  <c r="F124" i="19"/>
  <c r="F125" i="19"/>
  <c r="F126" i="19"/>
  <c r="H126" i="19" s="1"/>
  <c r="F127" i="19"/>
  <c r="F128" i="19"/>
  <c r="F129" i="19"/>
  <c r="F130" i="19"/>
  <c r="H130" i="19" s="1"/>
  <c r="F131" i="19"/>
  <c r="H131" i="19" s="1"/>
  <c r="F132" i="19"/>
  <c r="H132" i="19" s="1"/>
  <c r="F133" i="19"/>
  <c r="F134" i="19"/>
  <c r="F135" i="19"/>
  <c r="F136" i="19"/>
  <c r="F137" i="19"/>
  <c r="F138" i="19"/>
  <c r="F139" i="19"/>
  <c r="H139" i="19" s="1"/>
  <c r="F140" i="19"/>
  <c r="H140" i="19" s="1"/>
  <c r="F141" i="19"/>
  <c r="H141" i="19" s="1"/>
  <c r="F142" i="19"/>
  <c r="H142" i="19" s="1"/>
  <c r="F143" i="19"/>
  <c r="F144" i="19"/>
  <c r="F145" i="19"/>
  <c r="F146" i="19"/>
  <c r="H146" i="19" s="1"/>
  <c r="F147" i="19"/>
  <c r="F148" i="19"/>
  <c r="F149" i="19"/>
  <c r="F150" i="19"/>
  <c r="H150" i="19" s="1"/>
  <c r="F151" i="19"/>
  <c r="H151" i="19" s="1"/>
  <c r="F152" i="19"/>
  <c r="H152" i="19" s="1"/>
  <c r="F153" i="19"/>
  <c r="F154" i="19"/>
  <c r="F155" i="19"/>
  <c r="F156" i="19"/>
  <c r="F159" i="19"/>
  <c r="F160" i="19"/>
  <c r="F163" i="19"/>
  <c r="H163" i="19" s="1"/>
  <c r="H164" i="19" s="1"/>
  <c r="F166" i="19"/>
  <c r="H166" i="19" s="1"/>
  <c r="F167" i="19"/>
  <c r="H167" i="19" s="1"/>
  <c r="F168" i="19"/>
  <c r="H168" i="19" s="1"/>
  <c r="F169" i="19"/>
  <c r="F170" i="19"/>
  <c r="F171" i="19"/>
  <c r="F172" i="19"/>
  <c r="H172" i="19" s="1"/>
  <c r="F173" i="19"/>
  <c r="F174" i="19"/>
  <c r="F175" i="19"/>
  <c r="F176" i="19"/>
  <c r="H176" i="19" s="1"/>
  <c r="F177" i="19"/>
  <c r="H177" i="19" s="1"/>
  <c r="F178" i="19"/>
  <c r="H178" i="19" s="1"/>
  <c r="F179" i="19"/>
  <c r="F182" i="19"/>
  <c r="E6" i="19"/>
  <c r="E7" i="19"/>
  <c r="E8" i="19"/>
  <c r="E9" i="19"/>
  <c r="E10" i="19"/>
  <c r="E13" i="19"/>
  <c r="E14" i="19"/>
  <c r="E15" i="19"/>
  <c r="E16" i="19"/>
  <c r="E17" i="19"/>
  <c r="E18" i="19"/>
  <c r="E19" i="19"/>
  <c r="E22" i="19"/>
  <c r="E23" i="19"/>
  <c r="E24" i="19"/>
  <c r="E25" i="19"/>
  <c r="E26" i="19"/>
  <c r="E27" i="19"/>
  <c r="E28" i="19"/>
  <c r="E31" i="19"/>
  <c r="E32" i="19"/>
  <c r="E33" i="19"/>
  <c r="E34" i="19"/>
  <c r="E35" i="19"/>
  <c r="E36" i="19"/>
  <c r="E37" i="19"/>
  <c r="E38" i="19"/>
  <c r="E39" i="19"/>
  <c r="E40" i="19"/>
  <c r="E41" i="19"/>
  <c r="E42" i="19"/>
  <c r="E43" i="19"/>
  <c r="E44" i="19"/>
  <c r="E45" i="19"/>
  <c r="E46" i="19"/>
  <c r="E49" i="19"/>
  <c r="E50" i="19"/>
  <c r="E51" i="19"/>
  <c r="E54" i="19"/>
  <c r="E55" i="19"/>
  <c r="E56" i="19"/>
  <c r="E57" i="19"/>
  <c r="E58" i="19"/>
  <c r="E59" i="19"/>
  <c r="E62" i="19"/>
  <c r="E63" i="19"/>
  <c r="E64" i="19"/>
  <c r="E65" i="19"/>
  <c r="E66" i="19"/>
  <c r="E67" i="19"/>
  <c r="E68" i="19"/>
  <c r="E71" i="19"/>
  <c r="E72" i="19"/>
  <c r="E73" i="19"/>
  <c r="E74" i="19"/>
  <c r="E75" i="19"/>
  <c r="E76" i="19"/>
  <c r="E77" i="19"/>
  <c r="E78" i="19"/>
  <c r="E79" i="19"/>
  <c r="E80" i="19"/>
  <c r="E81" i="19"/>
  <c r="E82" i="19"/>
  <c r="E83" i="19"/>
  <c r="E84" i="19"/>
  <c r="E85" i="19"/>
  <c r="E86" i="19"/>
  <c r="E89" i="19"/>
  <c r="E90" i="19"/>
  <c r="E91" i="19"/>
  <c r="E92" i="19"/>
  <c r="E93" i="19"/>
  <c r="E94" i="19"/>
  <c r="E95" i="19"/>
  <c r="E96" i="19"/>
  <c r="E97" i="19"/>
  <c r="E98" i="19"/>
  <c r="E99" i="19"/>
  <c r="E100" i="19"/>
  <c r="E101" i="19"/>
  <c r="E102" i="19"/>
  <c r="E103" i="19"/>
  <c r="E104" i="19"/>
  <c r="E105" i="19"/>
  <c r="E106" i="19"/>
  <c r="E107" i="19"/>
  <c r="E108" i="19"/>
  <c r="E109" i="19"/>
  <c r="E110" i="19"/>
  <c r="E111" i="19"/>
  <c r="E112" i="19"/>
  <c r="E113" i="19"/>
  <c r="E114" i="19"/>
  <c r="E115" i="19"/>
  <c r="E116" i="19"/>
  <c r="E117" i="19"/>
  <c r="E118" i="19"/>
  <c r="E119" i="19"/>
  <c r="E120" i="19"/>
  <c r="E121" i="19"/>
  <c r="E122" i="19"/>
  <c r="E123" i="19"/>
  <c r="E124" i="19"/>
  <c r="E125" i="19"/>
  <c r="E126" i="19"/>
  <c r="E127" i="19"/>
  <c r="E128" i="19"/>
  <c r="E129" i="19"/>
  <c r="E130" i="19"/>
  <c r="E131" i="19"/>
  <c r="E132" i="19"/>
  <c r="E133" i="19"/>
  <c r="E134" i="19"/>
  <c r="E135" i="19"/>
  <c r="E136" i="19"/>
  <c r="E137" i="19"/>
  <c r="E138" i="19"/>
  <c r="E139" i="19"/>
  <c r="E140" i="19"/>
  <c r="E141" i="19"/>
  <c r="E142" i="19"/>
  <c r="E143" i="19"/>
  <c r="E144" i="19"/>
  <c r="E145" i="19"/>
  <c r="E146" i="19"/>
  <c r="E147" i="19"/>
  <c r="E148" i="19"/>
  <c r="E149" i="19"/>
  <c r="E150" i="19"/>
  <c r="E151" i="19"/>
  <c r="E152" i="19"/>
  <c r="E153" i="19"/>
  <c r="E154" i="19"/>
  <c r="E155" i="19"/>
  <c r="E156" i="19"/>
  <c r="E159" i="19"/>
  <c r="E160" i="19"/>
  <c r="E163" i="19"/>
  <c r="E166" i="19"/>
  <c r="E167" i="19"/>
  <c r="E168" i="19"/>
  <c r="E169" i="19"/>
  <c r="E170" i="19"/>
  <c r="E171" i="19"/>
  <c r="E172" i="19"/>
  <c r="E173" i="19"/>
  <c r="E174" i="19"/>
  <c r="E175" i="19"/>
  <c r="E176" i="19"/>
  <c r="E177" i="19"/>
  <c r="E178" i="19"/>
  <c r="E179" i="19"/>
  <c r="E182" i="19"/>
  <c r="D6" i="19"/>
  <c r="D7" i="19"/>
  <c r="D8" i="19"/>
  <c r="D9" i="19"/>
  <c r="D10" i="19"/>
  <c r="D13" i="19"/>
  <c r="D14" i="19"/>
  <c r="D15" i="19"/>
  <c r="D16" i="19"/>
  <c r="D17" i="19"/>
  <c r="D18" i="19"/>
  <c r="D19" i="19"/>
  <c r="D22" i="19"/>
  <c r="D23" i="19"/>
  <c r="D24" i="19"/>
  <c r="D25" i="19"/>
  <c r="D26" i="19"/>
  <c r="D27" i="19"/>
  <c r="D28" i="19"/>
  <c r="D31" i="19"/>
  <c r="D32" i="19"/>
  <c r="D33" i="19"/>
  <c r="D34" i="19"/>
  <c r="D35" i="19"/>
  <c r="D36" i="19"/>
  <c r="D37" i="19"/>
  <c r="D38" i="19"/>
  <c r="D39" i="19"/>
  <c r="D40" i="19"/>
  <c r="D41" i="19"/>
  <c r="D42" i="19"/>
  <c r="D43" i="19"/>
  <c r="D44" i="19"/>
  <c r="D45" i="19"/>
  <c r="D46" i="19"/>
  <c r="D49" i="19"/>
  <c r="D50" i="19"/>
  <c r="D51" i="19"/>
  <c r="D54" i="19"/>
  <c r="D55" i="19"/>
  <c r="D56" i="19"/>
  <c r="D57" i="19"/>
  <c r="D58" i="19"/>
  <c r="D59" i="19"/>
  <c r="D62" i="19"/>
  <c r="D63" i="19"/>
  <c r="D64" i="19"/>
  <c r="D65" i="19"/>
  <c r="D66" i="19"/>
  <c r="D67" i="19"/>
  <c r="D68" i="19"/>
  <c r="D71" i="19"/>
  <c r="D72" i="19"/>
  <c r="D73" i="19"/>
  <c r="D74" i="19"/>
  <c r="D75" i="19"/>
  <c r="D76" i="19"/>
  <c r="D77" i="19"/>
  <c r="D78" i="19"/>
  <c r="D79" i="19"/>
  <c r="D80" i="19"/>
  <c r="D81" i="19"/>
  <c r="D82" i="19"/>
  <c r="D83" i="19"/>
  <c r="D84" i="19"/>
  <c r="D85" i="19"/>
  <c r="D86" i="19"/>
  <c r="D89" i="19"/>
  <c r="D90" i="19"/>
  <c r="D91" i="19"/>
  <c r="D92" i="19"/>
  <c r="D93" i="19"/>
  <c r="D94" i="19"/>
  <c r="D95" i="19"/>
  <c r="D96" i="19"/>
  <c r="D97" i="19"/>
  <c r="D98" i="19"/>
  <c r="D99" i="19"/>
  <c r="D100" i="19"/>
  <c r="D101" i="19"/>
  <c r="D102" i="19"/>
  <c r="D103" i="19"/>
  <c r="D104" i="19"/>
  <c r="D105" i="19"/>
  <c r="D106" i="19"/>
  <c r="D107" i="19"/>
  <c r="D108" i="19"/>
  <c r="D109" i="19"/>
  <c r="D110" i="19"/>
  <c r="D111" i="19"/>
  <c r="D112" i="19"/>
  <c r="D113" i="19"/>
  <c r="D114" i="19"/>
  <c r="D115" i="19"/>
  <c r="D116" i="19"/>
  <c r="D117" i="19"/>
  <c r="D118" i="19"/>
  <c r="D119" i="19"/>
  <c r="D120" i="19"/>
  <c r="D121" i="19"/>
  <c r="D122" i="19"/>
  <c r="D123" i="19"/>
  <c r="D124" i="19"/>
  <c r="D125" i="19"/>
  <c r="D126" i="19"/>
  <c r="D127" i="19"/>
  <c r="D128" i="19"/>
  <c r="D129" i="19"/>
  <c r="D130" i="19"/>
  <c r="D131" i="19"/>
  <c r="D132" i="19"/>
  <c r="D133" i="19"/>
  <c r="D134" i="19"/>
  <c r="D135" i="19"/>
  <c r="D136" i="19"/>
  <c r="D137" i="19"/>
  <c r="D138" i="19"/>
  <c r="D139" i="19"/>
  <c r="D140" i="19"/>
  <c r="D141" i="19"/>
  <c r="D142" i="19"/>
  <c r="D143" i="19"/>
  <c r="D144" i="19"/>
  <c r="D145" i="19"/>
  <c r="D146" i="19"/>
  <c r="D147" i="19"/>
  <c r="D148" i="19"/>
  <c r="D149" i="19"/>
  <c r="D150" i="19"/>
  <c r="D151" i="19"/>
  <c r="D152" i="19"/>
  <c r="D153" i="19"/>
  <c r="D154" i="19"/>
  <c r="D155" i="19"/>
  <c r="D156" i="19"/>
  <c r="D159" i="19"/>
  <c r="D160" i="19"/>
  <c r="D163" i="19"/>
  <c r="D166" i="19"/>
  <c r="D167" i="19"/>
  <c r="D168" i="19"/>
  <c r="D169" i="19"/>
  <c r="D170" i="19"/>
  <c r="D171" i="19"/>
  <c r="D172" i="19"/>
  <c r="D173" i="19"/>
  <c r="D174" i="19"/>
  <c r="D175" i="19"/>
  <c r="D176" i="19"/>
  <c r="D177" i="19"/>
  <c r="D178" i="19"/>
  <c r="D179" i="19"/>
  <c r="D182" i="19"/>
  <c r="O45" i="17"/>
  <c r="P6" i="17"/>
  <c r="P15" i="17" s="1"/>
  <c r="P7" i="17"/>
  <c r="P8" i="17"/>
  <c r="P9" i="17"/>
  <c r="P10" i="17"/>
  <c r="P11" i="17"/>
  <c r="P12" i="17"/>
  <c r="P13" i="17"/>
  <c r="P14" i="17"/>
  <c r="P17" i="17"/>
  <c r="P18" i="17"/>
  <c r="P19" i="17"/>
  <c r="P20" i="17" s="1"/>
  <c r="P22" i="17"/>
  <c r="P28" i="17" s="1"/>
  <c r="P23" i="17"/>
  <c r="P24" i="17"/>
  <c r="P25" i="17"/>
  <c r="P26" i="17"/>
  <c r="P27" i="17"/>
  <c r="P30" i="17"/>
  <c r="P37" i="17" s="1"/>
  <c r="P31" i="17"/>
  <c r="P32" i="17"/>
  <c r="P33" i="17"/>
  <c r="P34" i="17"/>
  <c r="P35" i="17"/>
  <c r="P36" i="17"/>
  <c r="P39" i="17"/>
  <c r="P42" i="17" s="1"/>
  <c r="P40" i="17"/>
  <c r="P41" i="17"/>
  <c r="P44" i="17"/>
  <c r="P45" i="17" s="1"/>
  <c r="O6" i="17"/>
  <c r="O15" i="17" s="1"/>
  <c r="O7" i="17"/>
  <c r="O8" i="17"/>
  <c r="O9" i="17"/>
  <c r="O10" i="17"/>
  <c r="O11" i="17"/>
  <c r="O12" i="17"/>
  <c r="O13" i="17"/>
  <c r="O14" i="17"/>
  <c r="O17" i="17"/>
  <c r="O20" i="17" s="1"/>
  <c r="O18" i="17"/>
  <c r="O19" i="17"/>
  <c r="O22" i="17"/>
  <c r="O28" i="17" s="1"/>
  <c r="O23" i="17"/>
  <c r="O24" i="17"/>
  <c r="O25" i="17"/>
  <c r="O26" i="17"/>
  <c r="O27" i="17"/>
  <c r="O30" i="17"/>
  <c r="O37" i="17" s="1"/>
  <c r="O31" i="17"/>
  <c r="O32" i="17"/>
  <c r="O33" i="17"/>
  <c r="O34" i="17"/>
  <c r="O35" i="17"/>
  <c r="O36" i="17"/>
  <c r="O39" i="17"/>
  <c r="O42" i="17" s="1"/>
  <c r="O40" i="17"/>
  <c r="O41" i="17"/>
  <c r="O44" i="17"/>
  <c r="F73" i="18"/>
  <c r="H70" i="18"/>
  <c r="F70" i="18"/>
  <c r="H67" i="18"/>
  <c r="G67" i="18"/>
  <c r="F67" i="18"/>
  <c r="F63" i="18"/>
  <c r="H57" i="18"/>
  <c r="H53" i="18"/>
  <c r="G53" i="18"/>
  <c r="H50" i="18"/>
  <c r="G50" i="18"/>
  <c r="F50" i="18"/>
  <c r="G41" i="18"/>
  <c r="G38" i="18"/>
  <c r="F38" i="18"/>
  <c r="G35" i="18"/>
  <c r="F35" i="18"/>
  <c r="G29" i="18"/>
  <c r="G26" i="18"/>
  <c r="F26" i="18"/>
  <c r="F23" i="18"/>
  <c r="H20" i="18"/>
  <c r="F20" i="18"/>
  <c r="F14" i="18"/>
  <c r="F11" i="18"/>
  <c r="H8" i="18"/>
  <c r="F8" i="18"/>
  <c r="H5" i="18"/>
  <c r="G5" i="18"/>
  <c r="F5" i="18"/>
  <c r="I4" i="18"/>
  <c r="I5" i="18" s="1"/>
  <c r="I62" i="18"/>
  <c r="I63" i="18" s="1"/>
  <c r="H4" i="18"/>
  <c r="H7" i="18"/>
  <c r="H10" i="18"/>
  <c r="H11" i="18" s="1"/>
  <c r="H13" i="18"/>
  <c r="H14" i="18" s="1"/>
  <c r="H16" i="18"/>
  <c r="H17" i="18" s="1"/>
  <c r="H19" i="18"/>
  <c r="H22" i="18"/>
  <c r="H23" i="18" s="1"/>
  <c r="H25" i="18"/>
  <c r="H26" i="18" s="1"/>
  <c r="H28" i="18"/>
  <c r="H29" i="18" s="1"/>
  <c r="H31" i="18"/>
  <c r="H32" i="18" s="1"/>
  <c r="H34" i="18"/>
  <c r="H35" i="18" s="1"/>
  <c r="H37" i="18"/>
  <c r="H38" i="18" s="1"/>
  <c r="H40" i="18"/>
  <c r="H41" i="18" s="1"/>
  <c r="H43" i="18"/>
  <c r="H44" i="18" s="1"/>
  <c r="H46" i="18"/>
  <c r="H47" i="18" s="1"/>
  <c r="H49" i="18"/>
  <c r="H52" i="18"/>
  <c r="H55" i="18"/>
  <c r="H56" i="18"/>
  <c r="H59" i="18"/>
  <c r="H60" i="18" s="1"/>
  <c r="H62" i="18"/>
  <c r="H63" i="18" s="1"/>
  <c r="H65" i="18"/>
  <c r="H66" i="18"/>
  <c r="H69" i="18"/>
  <c r="H72" i="18"/>
  <c r="H73" i="18" s="1"/>
  <c r="H75" i="18"/>
  <c r="H77" i="18" s="1"/>
  <c r="H76" i="18"/>
  <c r="G4" i="18"/>
  <c r="G7" i="18"/>
  <c r="G8" i="18" s="1"/>
  <c r="G10" i="18"/>
  <c r="G11" i="18" s="1"/>
  <c r="G13" i="18"/>
  <c r="G14" i="18" s="1"/>
  <c r="G16" i="18"/>
  <c r="G17" i="18" s="1"/>
  <c r="G19" i="18"/>
  <c r="G20" i="18" s="1"/>
  <c r="G22" i="18"/>
  <c r="G23" i="18" s="1"/>
  <c r="G25" i="18"/>
  <c r="G28" i="18"/>
  <c r="G31" i="18"/>
  <c r="G32" i="18" s="1"/>
  <c r="G34" i="18"/>
  <c r="G37" i="18"/>
  <c r="G40" i="18"/>
  <c r="G43" i="18"/>
  <c r="G44" i="18" s="1"/>
  <c r="G46" i="18"/>
  <c r="G47" i="18" s="1"/>
  <c r="G49" i="18"/>
  <c r="G52" i="18"/>
  <c r="G55" i="18"/>
  <c r="G57" i="18" s="1"/>
  <c r="G56" i="18"/>
  <c r="G59" i="18"/>
  <c r="G60" i="18" s="1"/>
  <c r="G62" i="18"/>
  <c r="G63" i="18" s="1"/>
  <c r="G65" i="18"/>
  <c r="G66" i="18"/>
  <c r="G69" i="18"/>
  <c r="G70" i="18" s="1"/>
  <c r="G72" i="18"/>
  <c r="G73" i="18" s="1"/>
  <c r="G75" i="18"/>
  <c r="G77" i="18" s="1"/>
  <c r="G76" i="18"/>
  <c r="F4" i="18"/>
  <c r="F7" i="18"/>
  <c r="I7" i="18" s="1"/>
  <c r="I8" i="18" s="1"/>
  <c r="F10" i="18"/>
  <c r="I10" i="18" s="1"/>
  <c r="I11" i="18" s="1"/>
  <c r="F13" i="18"/>
  <c r="I13" i="18" s="1"/>
  <c r="I14" i="18" s="1"/>
  <c r="F16" i="18"/>
  <c r="F17" i="18" s="1"/>
  <c r="F19" i="18"/>
  <c r="I19" i="18" s="1"/>
  <c r="I20" i="18" s="1"/>
  <c r="F22" i="18"/>
  <c r="I22" i="18" s="1"/>
  <c r="I23" i="18" s="1"/>
  <c r="F25" i="18"/>
  <c r="I25" i="18" s="1"/>
  <c r="I26" i="18" s="1"/>
  <c r="F28" i="18"/>
  <c r="F29" i="18" s="1"/>
  <c r="F31" i="18"/>
  <c r="F32" i="18" s="1"/>
  <c r="F34" i="18"/>
  <c r="I34" i="18" s="1"/>
  <c r="I35" i="18" s="1"/>
  <c r="F37" i="18"/>
  <c r="I37" i="18" s="1"/>
  <c r="I38" i="18" s="1"/>
  <c r="F40" i="18"/>
  <c r="I40" i="18" s="1"/>
  <c r="I41" i="18" s="1"/>
  <c r="F43" i="18"/>
  <c r="F44" i="18" s="1"/>
  <c r="F46" i="18"/>
  <c r="F47" i="18" s="1"/>
  <c r="F49" i="18"/>
  <c r="I49" i="18" s="1"/>
  <c r="I50" i="18" s="1"/>
  <c r="F52" i="18"/>
  <c r="F53" i="18" s="1"/>
  <c r="F55" i="18"/>
  <c r="F57" i="18" s="1"/>
  <c r="F56" i="18"/>
  <c r="I56" i="18" s="1"/>
  <c r="F59" i="18"/>
  <c r="F60" i="18" s="1"/>
  <c r="F62" i="18"/>
  <c r="F65" i="18"/>
  <c r="I65" i="18" s="1"/>
  <c r="F66" i="18"/>
  <c r="I66" i="18" s="1"/>
  <c r="F69" i="18"/>
  <c r="I69" i="18" s="1"/>
  <c r="I70" i="18" s="1"/>
  <c r="F72" i="18"/>
  <c r="I72" i="18" s="1"/>
  <c r="I73" i="18" s="1"/>
  <c r="F75" i="18"/>
  <c r="I75" i="18" s="1"/>
  <c r="F76" i="18"/>
  <c r="I76" i="18" s="1"/>
  <c r="I40" i="16"/>
  <c r="H40" i="16"/>
  <c r="I44" i="16"/>
  <c r="H44" i="16"/>
  <c r="J43" i="16"/>
  <c r="B55" i="17"/>
  <c r="F55" i="17" s="1"/>
  <c r="G55" i="17" s="1"/>
  <c r="I29" i="16"/>
  <c r="H29" i="16"/>
  <c r="J28" i="16"/>
  <c r="J29" i="16" s="1"/>
  <c r="J42" i="16"/>
  <c r="F18" i="17"/>
  <c r="G18" i="17" s="1"/>
  <c r="I7" i="16"/>
  <c r="I9" i="16" s="1"/>
  <c r="H7" i="16"/>
  <c r="H9" i="16" s="1"/>
  <c r="I12" i="24" s="1"/>
  <c r="J6" i="16"/>
  <c r="J7" i="16" s="1"/>
  <c r="J9" i="16" s="1"/>
  <c r="I16" i="16"/>
  <c r="H13" i="16"/>
  <c r="J13" i="16" s="1"/>
  <c r="H14" i="16"/>
  <c r="J14" i="16" s="1"/>
  <c r="J41" i="16"/>
  <c r="J25" i="16"/>
  <c r="F15" i="17"/>
  <c r="G15" i="17" s="1"/>
  <c r="L77" i="20" l="1"/>
  <c r="J77" i="20"/>
  <c r="I77" i="20"/>
  <c r="K77" i="20"/>
  <c r="W122" i="19"/>
  <c r="W104" i="19"/>
  <c r="V17" i="19"/>
  <c r="W123" i="19"/>
  <c r="W103" i="19"/>
  <c r="W57" i="19"/>
  <c r="W37" i="19"/>
  <c r="W36" i="19"/>
  <c r="V130" i="19"/>
  <c r="V110" i="19"/>
  <c r="V76" i="19"/>
  <c r="W76" i="19" s="1"/>
  <c r="V75" i="19"/>
  <c r="W75" i="19" s="1"/>
  <c r="V155" i="19"/>
  <c r="W81" i="19"/>
  <c r="U71" i="19"/>
  <c r="I87" i="19"/>
  <c r="V177" i="19"/>
  <c r="W124" i="19"/>
  <c r="W98" i="19"/>
  <c r="W86" i="19"/>
  <c r="U26" i="19"/>
  <c r="I29" i="19"/>
  <c r="V173" i="19"/>
  <c r="W173" i="19" s="1"/>
  <c r="U126" i="19"/>
  <c r="U106" i="19"/>
  <c r="U84" i="19"/>
  <c r="U58" i="19"/>
  <c r="Q52" i="19"/>
  <c r="M20" i="19"/>
  <c r="U10" i="19"/>
  <c r="M11" i="19"/>
  <c r="V160" i="19"/>
  <c r="V108" i="19"/>
  <c r="W108" i="19" s="1"/>
  <c r="V44" i="19"/>
  <c r="U170" i="19"/>
  <c r="U82" i="19"/>
  <c r="W35" i="19"/>
  <c r="U34" i="19"/>
  <c r="V34" i="19" s="1"/>
  <c r="U32" i="19"/>
  <c r="V32" i="19" s="1"/>
  <c r="U25" i="19"/>
  <c r="L20" i="19"/>
  <c r="H169" i="19"/>
  <c r="V169" i="19" s="1"/>
  <c r="W169" i="19" s="1"/>
  <c r="H143" i="19"/>
  <c r="V143" i="19" s="1"/>
  <c r="H123" i="19"/>
  <c r="V123" i="19" s="1"/>
  <c r="H103" i="19"/>
  <c r="V103" i="19" s="1"/>
  <c r="H81" i="19"/>
  <c r="V81" i="19" s="1"/>
  <c r="H57" i="19"/>
  <c r="V57" i="19" s="1"/>
  <c r="H33" i="19"/>
  <c r="V33" i="19" s="1"/>
  <c r="H7" i="19"/>
  <c r="V136" i="19"/>
  <c r="V96" i="19"/>
  <c r="V24" i="19"/>
  <c r="H161" i="19"/>
  <c r="H185" i="19" s="1"/>
  <c r="V43" i="19"/>
  <c r="W43" i="19" s="1"/>
  <c r="U144" i="19"/>
  <c r="V144" i="19" s="1"/>
  <c r="V151" i="19"/>
  <c r="V58" i="19"/>
  <c r="W174" i="19"/>
  <c r="V118" i="19"/>
  <c r="W118" i="19" s="1"/>
  <c r="Q87" i="19"/>
  <c r="P29" i="19"/>
  <c r="V37" i="19"/>
  <c r="N157" i="19"/>
  <c r="V122" i="19"/>
  <c r="V102" i="19"/>
  <c r="W102" i="19" s="1"/>
  <c r="V56" i="19"/>
  <c r="V135" i="19"/>
  <c r="V115" i="19"/>
  <c r="V98" i="19"/>
  <c r="V42" i="19"/>
  <c r="U63" i="19"/>
  <c r="I180" i="19"/>
  <c r="F185" i="19"/>
  <c r="G185" i="19"/>
  <c r="H31" i="19"/>
  <c r="F47" i="19"/>
  <c r="H183" i="19"/>
  <c r="V114" i="19"/>
  <c r="G29" i="19"/>
  <c r="V97" i="19"/>
  <c r="H180" i="19"/>
  <c r="V140" i="19"/>
  <c r="V78" i="19"/>
  <c r="V28" i="19"/>
  <c r="W28" i="19" s="1"/>
  <c r="V148" i="19"/>
  <c r="T87" i="19"/>
  <c r="U49" i="19"/>
  <c r="V104" i="19"/>
  <c r="J157" i="19"/>
  <c r="V168" i="19"/>
  <c r="H6" i="19"/>
  <c r="F11" i="19"/>
  <c r="V101" i="19"/>
  <c r="V139" i="19"/>
  <c r="V77" i="19"/>
  <c r="V51" i="19"/>
  <c r="V27" i="19"/>
  <c r="V147" i="19"/>
  <c r="W147" i="19" s="1"/>
  <c r="V93" i="19"/>
  <c r="V25" i="19"/>
  <c r="S87" i="19"/>
  <c r="U56" i="19"/>
  <c r="U13" i="19"/>
  <c r="U168" i="19"/>
  <c r="U107" i="19"/>
  <c r="R157" i="19"/>
  <c r="R87" i="19"/>
  <c r="G183" i="19"/>
  <c r="V150" i="19"/>
  <c r="W128" i="19"/>
  <c r="U14" i="19"/>
  <c r="I20" i="19"/>
  <c r="I186" i="19" s="1"/>
  <c r="O157" i="19"/>
  <c r="W105" i="19"/>
  <c r="U97" i="19"/>
  <c r="U80" i="19"/>
  <c r="V80" i="19" s="1"/>
  <c r="V137" i="19"/>
  <c r="V19" i="19"/>
  <c r="U178" i="19"/>
  <c r="I161" i="19"/>
  <c r="U152" i="19"/>
  <c r="U132" i="19"/>
  <c r="U112" i="19"/>
  <c r="U92" i="19"/>
  <c r="V92" i="19" s="1"/>
  <c r="U68" i="19"/>
  <c r="M60" i="19"/>
  <c r="I52" i="19"/>
  <c r="U42" i="19"/>
  <c r="U18" i="19"/>
  <c r="W9" i="19"/>
  <c r="I157" i="19"/>
  <c r="T185" i="19"/>
  <c r="V41" i="19"/>
  <c r="V82" i="19"/>
  <c r="M180" i="19"/>
  <c r="W148" i="19"/>
  <c r="W33" i="19"/>
  <c r="P87" i="19"/>
  <c r="K69" i="19"/>
  <c r="U62" i="19"/>
  <c r="S11" i="19"/>
  <c r="U6" i="19"/>
  <c r="V174" i="19"/>
  <c r="U142" i="19"/>
  <c r="V142" i="19" s="1"/>
  <c r="U127" i="19"/>
  <c r="U85" i="19"/>
  <c r="L60" i="19"/>
  <c r="V67" i="19"/>
  <c r="V8" i="19"/>
  <c r="V68" i="19"/>
  <c r="W138" i="19"/>
  <c r="W93" i="19"/>
  <c r="W64" i="19"/>
  <c r="W50" i="19"/>
  <c r="M47" i="19"/>
  <c r="W19" i="19"/>
  <c r="G47" i="19"/>
  <c r="P157" i="19"/>
  <c r="T47" i="19"/>
  <c r="V138" i="19"/>
  <c r="U137" i="19"/>
  <c r="V15" i="19"/>
  <c r="O87" i="19"/>
  <c r="K60" i="19"/>
  <c r="K186" i="19" s="1"/>
  <c r="U7" i="19"/>
  <c r="S185" i="19"/>
  <c r="U159" i="19"/>
  <c r="W125" i="19"/>
  <c r="W160" i="19"/>
  <c r="W133" i="19"/>
  <c r="Q157" i="19"/>
  <c r="I47" i="19"/>
  <c r="L47" i="19"/>
  <c r="V85" i="19"/>
  <c r="V50" i="19"/>
  <c r="K47" i="19"/>
  <c r="H29" i="19"/>
  <c r="N180" i="19"/>
  <c r="U117" i="19"/>
  <c r="U8" i="19"/>
  <c r="F87" i="19"/>
  <c r="W40" i="19"/>
  <c r="V170" i="19"/>
  <c r="V176" i="19"/>
  <c r="W143" i="19"/>
  <c r="Q29" i="19"/>
  <c r="W171" i="19"/>
  <c r="V178" i="19"/>
  <c r="V152" i="19"/>
  <c r="V128" i="19"/>
  <c r="V107" i="19"/>
  <c r="U100" i="19"/>
  <c r="U78" i="19"/>
  <c r="W59" i="19"/>
  <c r="M87" i="19"/>
  <c r="U66" i="19"/>
  <c r="V66" i="19" s="1"/>
  <c r="Q69" i="19"/>
  <c r="M52" i="19"/>
  <c r="W45" i="19"/>
  <c r="F20" i="19"/>
  <c r="G180" i="19"/>
  <c r="G60" i="19"/>
  <c r="V179" i="19"/>
  <c r="W179" i="19" s="1"/>
  <c r="T157" i="19"/>
  <c r="P47" i="19"/>
  <c r="V166" i="19"/>
  <c r="V172" i="19"/>
  <c r="W172" i="19" s="1"/>
  <c r="V146" i="19"/>
  <c r="W146" i="19" s="1"/>
  <c r="V126" i="19"/>
  <c r="V106" i="19"/>
  <c r="V84" i="19"/>
  <c r="F69" i="19"/>
  <c r="H62" i="19"/>
  <c r="V36" i="19"/>
  <c r="V10" i="19"/>
  <c r="H52" i="19"/>
  <c r="O69" i="19"/>
  <c r="O47" i="19"/>
  <c r="O186" i="19" s="1"/>
  <c r="S29" i="19"/>
  <c r="S186" i="19" s="1"/>
  <c r="V163" i="19"/>
  <c r="V164" i="19" s="1"/>
  <c r="F157" i="19"/>
  <c r="G11" i="19"/>
  <c r="V64" i="19"/>
  <c r="N87" i="19"/>
  <c r="V13" i="19"/>
  <c r="U176" i="19"/>
  <c r="U166" i="19"/>
  <c r="U155" i="19"/>
  <c r="U150" i="19"/>
  <c r="U140" i="19"/>
  <c r="U135" i="19"/>
  <c r="U130" i="19"/>
  <c r="U120" i="19"/>
  <c r="U115" i="19"/>
  <c r="U110" i="19"/>
  <c r="U95" i="19"/>
  <c r="V95" i="19" s="1"/>
  <c r="U90" i="19"/>
  <c r="U73" i="19"/>
  <c r="I60" i="19"/>
  <c r="Q47" i="19"/>
  <c r="W23" i="19"/>
  <c r="H171" i="19"/>
  <c r="V171" i="19" s="1"/>
  <c r="H145" i="19"/>
  <c r="V145" i="19" s="1"/>
  <c r="W145" i="19" s="1"/>
  <c r="H125" i="19"/>
  <c r="V125" i="19" s="1"/>
  <c r="H105" i="19"/>
  <c r="V105" i="19" s="1"/>
  <c r="H83" i="19"/>
  <c r="V83" i="19" s="1"/>
  <c r="W83" i="19" s="1"/>
  <c r="H59" i="19"/>
  <c r="V59" i="19" s="1"/>
  <c r="H35" i="19"/>
  <c r="V35" i="19" s="1"/>
  <c r="H9" i="19"/>
  <c r="V9" i="19" s="1"/>
  <c r="V133" i="19"/>
  <c r="J87" i="19"/>
  <c r="J69" i="19"/>
  <c r="R47" i="19"/>
  <c r="J47" i="19"/>
  <c r="J186" i="19" s="1"/>
  <c r="N29" i="19"/>
  <c r="R20" i="19"/>
  <c r="V127" i="19"/>
  <c r="U141" i="19"/>
  <c r="U91" i="19"/>
  <c r="V91" i="19" s="1"/>
  <c r="U74" i="19"/>
  <c r="V74" i="19" s="1"/>
  <c r="U55" i="19"/>
  <c r="V55" i="19" s="1"/>
  <c r="U46" i="19"/>
  <c r="U41" i="19"/>
  <c r="U31" i="19"/>
  <c r="U24" i="19"/>
  <c r="M29" i="19"/>
  <c r="U17" i="19"/>
  <c r="Q20" i="19"/>
  <c r="Q11" i="19"/>
  <c r="F60" i="19"/>
  <c r="P52" i="19"/>
  <c r="T29" i="19"/>
  <c r="T186" i="19" s="1"/>
  <c r="L29" i="19"/>
  <c r="P20" i="19"/>
  <c r="P11" i="19"/>
  <c r="P186" i="19" s="1"/>
  <c r="T180" i="19"/>
  <c r="K157" i="19"/>
  <c r="S60" i="19"/>
  <c r="O52" i="19"/>
  <c r="O20" i="19"/>
  <c r="V89" i="19"/>
  <c r="U167" i="19"/>
  <c r="V167" i="19" s="1"/>
  <c r="U151" i="19"/>
  <c r="U111" i="19"/>
  <c r="V111" i="19" s="1"/>
  <c r="U96" i="19"/>
  <c r="U67" i="19"/>
  <c r="V86" i="19"/>
  <c r="V38" i="19"/>
  <c r="W38" i="19" s="1"/>
  <c r="L157" i="19"/>
  <c r="P69" i="19"/>
  <c r="S180" i="19"/>
  <c r="R180" i="19"/>
  <c r="U114" i="19"/>
  <c r="U94" i="19"/>
  <c r="V94" i="19" s="1"/>
  <c r="U72" i="19"/>
  <c r="V72" i="19" s="1"/>
  <c r="U65" i="19"/>
  <c r="R60" i="19"/>
  <c r="R186" i="19" s="1"/>
  <c r="N52" i="19"/>
  <c r="N186" i="19" s="1"/>
  <c r="U44" i="19"/>
  <c r="U39" i="19"/>
  <c r="V39" i="19" s="1"/>
  <c r="N47" i="19"/>
  <c r="R29" i="19"/>
  <c r="U22" i="19"/>
  <c r="V22" i="19" s="1"/>
  <c r="U15" i="19"/>
  <c r="N20" i="19"/>
  <c r="U177" i="19"/>
  <c r="U136" i="19"/>
  <c r="U101" i="19"/>
  <c r="M157" i="19"/>
  <c r="G157" i="19"/>
  <c r="V153" i="19"/>
  <c r="W153" i="19" s="1"/>
  <c r="U182" i="19"/>
  <c r="V182" i="19" s="1"/>
  <c r="V183" i="19" s="1"/>
  <c r="U175" i="19"/>
  <c r="Q180" i="19"/>
  <c r="U163" i="19"/>
  <c r="U154" i="19"/>
  <c r="V154" i="19" s="1"/>
  <c r="U149" i="19"/>
  <c r="U139" i="19"/>
  <c r="U134" i="19"/>
  <c r="V134" i="19" s="1"/>
  <c r="U129" i="19"/>
  <c r="V129" i="19" s="1"/>
  <c r="U119" i="19"/>
  <c r="U109" i="19"/>
  <c r="U99" i="19"/>
  <c r="U89" i="19"/>
  <c r="U77" i="19"/>
  <c r="Q60" i="19"/>
  <c r="U51" i="19"/>
  <c r="U27" i="19"/>
  <c r="G87" i="19"/>
  <c r="U131" i="19"/>
  <c r="V131" i="19" s="1"/>
  <c r="U121" i="19"/>
  <c r="V121" i="19" s="1"/>
  <c r="U79" i="19"/>
  <c r="V79" i="19" s="1"/>
  <c r="P180" i="19"/>
  <c r="L52" i="19"/>
  <c r="L186" i="19" s="1"/>
  <c r="U156" i="19"/>
  <c r="U116" i="19"/>
  <c r="V116" i="19" s="1"/>
  <c r="I69" i="19"/>
  <c r="V113" i="19"/>
  <c r="W113" i="19" s="1"/>
  <c r="O180" i="19"/>
  <c r="H20" i="19"/>
  <c r="I164" i="19"/>
  <c r="I185" i="19" s="1"/>
  <c r="U54" i="19"/>
  <c r="F180" i="19"/>
  <c r="R185" i="19"/>
  <c r="Q185" i="19"/>
  <c r="P185" i="19"/>
  <c r="O185" i="19"/>
  <c r="M186" i="19"/>
  <c r="N185" i="19"/>
  <c r="M185" i="19"/>
  <c r="L185" i="19"/>
  <c r="H54" i="19"/>
  <c r="K185" i="19"/>
  <c r="J185" i="19"/>
  <c r="O47" i="17"/>
  <c r="P47" i="17"/>
  <c r="I77" i="18"/>
  <c r="H79" i="18"/>
  <c r="I67" i="18"/>
  <c r="G79" i="18"/>
  <c r="I59" i="18"/>
  <c r="I60" i="18" s="1"/>
  <c r="I52" i="18"/>
  <c r="I53" i="18" s="1"/>
  <c r="I55" i="18"/>
  <c r="I57" i="18" s="1"/>
  <c r="I46" i="18"/>
  <c r="I47" i="18" s="1"/>
  <c r="I43" i="18"/>
  <c r="I44" i="18" s="1"/>
  <c r="F41" i="18"/>
  <c r="F79" i="18" s="1"/>
  <c r="I31" i="18"/>
  <c r="I32" i="18" s="1"/>
  <c r="I28" i="18"/>
  <c r="I29" i="18" s="1"/>
  <c r="F77" i="18"/>
  <c r="I16" i="18"/>
  <c r="I17" i="18" s="1"/>
  <c r="I79" i="18" s="1"/>
  <c r="I38" i="16"/>
  <c r="H38" i="16"/>
  <c r="J36" i="16"/>
  <c r="B46" i="17"/>
  <c r="F46" i="17" s="1"/>
  <c r="B47" i="17"/>
  <c r="I187" i="19" l="1"/>
  <c r="W82" i="19"/>
  <c r="R187" i="19"/>
  <c r="V73" i="19"/>
  <c r="W73" i="19" s="1"/>
  <c r="F186" i="19"/>
  <c r="W130" i="19"/>
  <c r="H69" i="19"/>
  <c r="V62" i="19"/>
  <c r="V69" i="19" s="1"/>
  <c r="W78" i="19"/>
  <c r="W8" i="19"/>
  <c r="W127" i="19"/>
  <c r="V6" i="19"/>
  <c r="W6" i="19" s="1"/>
  <c r="W11" i="19" s="1"/>
  <c r="H11" i="19"/>
  <c r="U164" i="19"/>
  <c r="W163" i="19"/>
  <c r="W164" i="19" s="1"/>
  <c r="W141" i="19"/>
  <c r="P187" i="19"/>
  <c r="W144" i="19"/>
  <c r="W170" i="19"/>
  <c r="W114" i="19"/>
  <c r="S187" i="19"/>
  <c r="W115" i="19"/>
  <c r="W42" i="19"/>
  <c r="U87" i="19"/>
  <c r="W71" i="19"/>
  <c r="W27" i="19"/>
  <c r="W10" i="19"/>
  <c r="W51" i="19"/>
  <c r="W136" i="19"/>
  <c r="Q186" i="19"/>
  <c r="Q187" i="19" s="1"/>
  <c r="W150" i="19"/>
  <c r="W112" i="19"/>
  <c r="W107" i="19"/>
  <c r="W91" i="19"/>
  <c r="U161" i="19"/>
  <c r="W159" i="19"/>
  <c r="W161" i="19" s="1"/>
  <c r="V159" i="19"/>
  <c r="V161" i="19" s="1"/>
  <c r="V185" i="19" s="1"/>
  <c r="W182" i="19"/>
  <c r="W183" i="19" s="1"/>
  <c r="U183" i="19"/>
  <c r="V120" i="19"/>
  <c r="W120" i="19" s="1"/>
  <c r="W117" i="19"/>
  <c r="V117" i="19"/>
  <c r="J187" i="19"/>
  <c r="W140" i="19"/>
  <c r="V14" i="19"/>
  <c r="W14" i="19" s="1"/>
  <c r="V18" i="19"/>
  <c r="W18" i="19" s="1"/>
  <c r="V31" i="19"/>
  <c r="V47" i="19" s="1"/>
  <c r="H47" i="19"/>
  <c r="V7" i="19"/>
  <c r="W7" i="19" s="1"/>
  <c r="K187" i="19"/>
  <c r="U60" i="19"/>
  <c r="W77" i="19"/>
  <c r="W177" i="19"/>
  <c r="W67" i="19"/>
  <c r="W155" i="19"/>
  <c r="V71" i="19"/>
  <c r="V87" i="19" s="1"/>
  <c r="W137" i="19"/>
  <c r="U11" i="19"/>
  <c r="W132" i="19"/>
  <c r="W168" i="19"/>
  <c r="W58" i="19"/>
  <c r="H60" i="19"/>
  <c r="V54" i="19"/>
  <c r="V60" i="19" s="1"/>
  <c r="U157" i="19"/>
  <c r="W89" i="19"/>
  <c r="W96" i="19"/>
  <c r="W17" i="19"/>
  <c r="W166" i="19"/>
  <c r="U180" i="19"/>
  <c r="H87" i="19"/>
  <c r="W152" i="19"/>
  <c r="V65" i="19"/>
  <c r="W65" i="19" s="1"/>
  <c r="W84" i="19"/>
  <c r="W116" i="19"/>
  <c r="O187" i="19"/>
  <c r="W85" i="19"/>
  <c r="W101" i="19"/>
  <c r="W92" i="19"/>
  <c r="W99" i="19"/>
  <c r="V99" i="19"/>
  <c r="W15" i="19"/>
  <c r="W111" i="19"/>
  <c r="W176" i="19"/>
  <c r="W62" i="19"/>
  <c r="U69" i="19"/>
  <c r="U52" i="19"/>
  <c r="V49" i="19"/>
  <c r="V52" i="19" s="1"/>
  <c r="V141" i="19"/>
  <c r="V112" i="19"/>
  <c r="W106" i="19"/>
  <c r="W32" i="19"/>
  <c r="W110" i="19"/>
  <c r="W66" i="19"/>
  <c r="W121" i="19"/>
  <c r="L187" i="19"/>
  <c r="W109" i="19"/>
  <c r="W22" i="19"/>
  <c r="U29" i="19"/>
  <c r="W151" i="19"/>
  <c r="W24" i="19"/>
  <c r="V20" i="19"/>
  <c r="V180" i="19"/>
  <c r="W178" i="19"/>
  <c r="U20" i="19"/>
  <c r="W13" i="19"/>
  <c r="W126" i="19"/>
  <c r="W74" i="19"/>
  <c r="V156" i="19"/>
  <c r="W156" i="19" s="1"/>
  <c r="W94" i="19"/>
  <c r="W95" i="19"/>
  <c r="V90" i="19"/>
  <c r="W90" i="19" s="1"/>
  <c r="W79" i="19"/>
  <c r="W131" i="19"/>
  <c r="W135" i="19"/>
  <c r="V100" i="19"/>
  <c r="W100" i="19" s="1"/>
  <c r="W142" i="19"/>
  <c r="W68" i="19"/>
  <c r="V119" i="19"/>
  <c r="W119" i="19" s="1"/>
  <c r="W167" i="19"/>
  <c r="W31" i="19"/>
  <c r="U47" i="19"/>
  <c r="V63" i="19"/>
  <c r="W63" i="19" s="1"/>
  <c r="V175" i="19"/>
  <c r="W175" i="19" s="1"/>
  <c r="W56" i="19"/>
  <c r="V109" i="19"/>
  <c r="V132" i="19"/>
  <c r="W154" i="19"/>
  <c r="W129" i="19"/>
  <c r="W34" i="19"/>
  <c r="V149" i="19"/>
  <c r="W149" i="19" s="1"/>
  <c r="W72" i="19"/>
  <c r="W41" i="19"/>
  <c r="H157" i="19"/>
  <c r="W80" i="19"/>
  <c r="V26" i="19"/>
  <c r="V29" i="19" s="1"/>
  <c r="T187" i="19"/>
  <c r="M187" i="19"/>
  <c r="V157" i="19"/>
  <c r="W134" i="19"/>
  <c r="W39" i="19"/>
  <c r="V46" i="19"/>
  <c r="W46" i="19" s="1"/>
  <c r="N187" i="19"/>
  <c r="W139" i="19"/>
  <c r="W44" i="19"/>
  <c r="W55" i="19"/>
  <c r="G186" i="19"/>
  <c r="G187" i="19" s="1"/>
  <c r="W97" i="19"/>
  <c r="F187" i="19"/>
  <c r="W25" i="19"/>
  <c r="J58" i="16"/>
  <c r="J40" i="16"/>
  <c r="H12" i="16"/>
  <c r="H16" i="16" s="1"/>
  <c r="W157" i="19" l="1"/>
  <c r="H186" i="19"/>
  <c r="H187" i="19" s="1"/>
  <c r="W47" i="19"/>
  <c r="U186" i="19"/>
  <c r="W180" i="19"/>
  <c r="W20" i="19"/>
  <c r="W26" i="19"/>
  <c r="W29" i="19" s="1"/>
  <c r="W185" i="19"/>
  <c r="W69" i="19"/>
  <c r="U185" i="19"/>
  <c r="U187" i="19" s="1"/>
  <c r="W49" i="19"/>
  <c r="W52" i="19" s="1"/>
  <c r="V11" i="19"/>
  <c r="V186" i="19" s="1"/>
  <c r="V187" i="19" s="1"/>
  <c r="W87" i="19"/>
  <c r="W54" i="19"/>
  <c r="W60" i="19" s="1"/>
  <c r="I21" i="16"/>
  <c r="H21" i="16"/>
  <c r="I49" i="16"/>
  <c r="H49" i="16"/>
  <c r="H62" i="16"/>
  <c r="H63" i="16" s="1"/>
  <c r="F16" i="17"/>
  <c r="F17" i="17"/>
  <c r="H59" i="16"/>
  <c r="H26" i="16"/>
  <c r="H31" i="16" s="1"/>
  <c r="H55" i="24"/>
  <c r="H8" i="24"/>
  <c r="W186" i="19" l="1"/>
  <c r="W187" i="19" s="1"/>
  <c r="F19" i="17"/>
  <c r="H56" i="16"/>
  <c r="H65" i="16"/>
  <c r="H23" i="16"/>
  <c r="I63" i="16"/>
  <c r="J53" i="16"/>
  <c r="I59" i="16"/>
  <c r="I26" i="16"/>
  <c r="I31" i="16" s="1"/>
  <c r="J26" i="16"/>
  <c r="J31" i="16" s="1"/>
  <c r="I65" i="16" l="1"/>
  <c r="F8" i="17"/>
  <c r="J52" i="16"/>
  <c r="J51" i="16"/>
  <c r="J50" i="16"/>
  <c r="I56" i="16"/>
  <c r="J37" i="16"/>
  <c r="J38" i="16" s="1"/>
  <c r="J59" i="16"/>
  <c r="J49" i="16" l="1"/>
  <c r="J18" i="16"/>
  <c r="J20" i="16"/>
  <c r="J19" i="16"/>
  <c r="H43" i="24"/>
  <c r="H42" i="24"/>
  <c r="J21" i="16" l="1"/>
  <c r="I23" i="16"/>
  <c r="H44" i="24"/>
  <c r="J44" i="24" s="1"/>
  <c r="H60" i="24"/>
  <c r="H61" i="24" s="1"/>
  <c r="J61" i="24" s="1"/>
  <c r="D7" i="17"/>
  <c r="D6" i="17"/>
  <c r="D13" i="17"/>
  <c r="E6" i="17"/>
  <c r="E13" i="17"/>
  <c r="J62" i="16"/>
  <c r="J34" i="16"/>
  <c r="I34" i="16"/>
  <c r="H34" i="16"/>
  <c r="H67" i="16" s="1"/>
  <c r="J47" i="16"/>
  <c r="I67" i="16" l="1"/>
  <c r="J45" i="16"/>
  <c r="J48" i="16" l="1"/>
  <c r="J15" i="16"/>
  <c r="J44" i="16"/>
  <c r="F9" i="17"/>
  <c r="J54" i="16" l="1"/>
  <c r="J56" i="16" s="1"/>
  <c r="G53" i="17"/>
  <c r="G46" i="17"/>
  <c r="G39" i="17"/>
  <c r="G32" i="17"/>
  <c r="G24" i="17"/>
  <c r="G8" i="17"/>
  <c r="G17" i="17"/>
  <c r="G16" i="17"/>
  <c r="B26" i="17"/>
  <c r="F26" i="17" s="1"/>
  <c r="G26" i="17" s="1"/>
  <c r="B25" i="17"/>
  <c r="F25" i="17" l="1"/>
  <c r="G25" i="17" s="1"/>
  <c r="F27" i="17" l="1"/>
  <c r="J61" i="16"/>
  <c r="J63" i="16" l="1"/>
  <c r="J65" i="16" s="1"/>
  <c r="F27" i="24"/>
  <c r="F15" i="24"/>
  <c r="F6" i="24"/>
  <c r="H31" i="24" l="1"/>
  <c r="H32" i="24" l="1"/>
  <c r="J32" i="24" s="1"/>
  <c r="J12" i="16"/>
  <c r="J11" i="16" l="1"/>
  <c r="J16" i="16" s="1"/>
  <c r="J23" i="16" l="1"/>
  <c r="J67" i="16" s="1"/>
  <c r="H23" i="24"/>
  <c r="H22" i="24"/>
  <c r="H11" i="24" l="1"/>
  <c r="H38" i="24" l="1"/>
  <c r="M17" i="22"/>
  <c r="H39" i="24"/>
  <c r="H35" i="24"/>
  <c r="H36" i="24" s="1"/>
  <c r="J36" i="24" s="1"/>
  <c r="L16" i="22" l="1"/>
  <c r="H40" i="24"/>
  <c r="J40" i="24" s="1"/>
  <c r="L17" i="22" l="1"/>
  <c r="H10" i="26"/>
  <c r="M19" i="22" l="1"/>
  <c r="H54" i="24" l="1"/>
  <c r="H56" i="24" s="1"/>
  <c r="H50" i="24"/>
  <c r="H49" i="24"/>
  <c r="H48" i="24"/>
  <c r="H47" i="24"/>
  <c r="H28" i="24"/>
  <c r="H27" i="24"/>
  <c r="H21" i="24"/>
  <c r="H20" i="24"/>
  <c r="H17" i="24"/>
  <c r="H16" i="24"/>
  <c r="H15" i="24"/>
  <c r="H10" i="24"/>
  <c r="H9" i="24"/>
  <c r="H7" i="24"/>
  <c r="H6" i="24"/>
  <c r="J56" i="24" l="1"/>
  <c r="H12" i="24"/>
  <c r="J12" i="24" s="1"/>
  <c r="H11" i="26"/>
  <c r="H9" i="26"/>
  <c r="L19" i="22" l="1"/>
  <c r="M18" i="22"/>
  <c r="M16" i="22"/>
  <c r="M15" i="22"/>
  <c r="M14" i="22"/>
  <c r="M13" i="22"/>
  <c r="M12" i="22"/>
  <c r="H51" i="24"/>
  <c r="J51" i="24" s="1"/>
  <c r="H29" i="24"/>
  <c r="J29" i="24" s="1"/>
  <c r="H24" i="24"/>
  <c r="J24" i="24" s="1"/>
  <c r="H18" i="24"/>
  <c r="J18" i="24" s="1"/>
  <c r="L12" i="22"/>
  <c r="L14" i="22" l="1"/>
  <c r="L18" i="22"/>
  <c r="L13" i="22"/>
  <c r="L15" i="22"/>
  <c r="E45" i="17"/>
  <c r="E44" i="17"/>
  <c r="E38" i="17"/>
  <c r="E37" i="17"/>
  <c r="E31" i="17"/>
  <c r="E30" i="17"/>
  <c r="E23" i="17"/>
  <c r="E22" i="17"/>
  <c r="E52" i="17"/>
  <c r="E51" i="17"/>
  <c r="E14" i="17"/>
  <c r="E19" i="17" s="1"/>
  <c r="E7" i="17"/>
  <c r="D52" i="17"/>
  <c r="G52" i="17" s="1"/>
  <c r="D51" i="17"/>
  <c r="D45" i="17"/>
  <c r="G45" i="17" s="1"/>
  <c r="D44" i="17"/>
  <c r="G44" i="17" s="1"/>
  <c r="D38" i="17"/>
  <c r="G38" i="17" s="1"/>
  <c r="D37" i="17"/>
  <c r="G37" i="17" s="1"/>
  <c r="D31" i="17"/>
  <c r="G31" i="17" s="1"/>
  <c r="D30" i="17"/>
  <c r="G30" i="17" s="1"/>
  <c r="D23" i="17"/>
  <c r="G23" i="17" s="1"/>
  <c r="D22" i="17"/>
  <c r="G22" i="17" s="1"/>
  <c r="D14" i="17"/>
  <c r="G13" i="17"/>
  <c r="G6" i="17"/>
  <c r="G7" i="17"/>
  <c r="E56" i="17" l="1"/>
  <c r="G51" i="17"/>
  <c r="D56" i="17"/>
  <c r="G14" i="17"/>
  <c r="G19" i="17" s="1"/>
  <c r="D19" i="17"/>
  <c r="E27" i="17"/>
  <c r="D27" i="17"/>
  <c r="B54" i="17"/>
  <c r="F54" i="17" s="1"/>
  <c r="B40" i="17"/>
  <c r="F40" i="17" s="1"/>
  <c r="G40" i="17" s="1"/>
  <c r="B33" i="17"/>
  <c r="F33" i="17" s="1"/>
  <c r="G33" i="17" s="1"/>
  <c r="G54" i="17" l="1"/>
  <c r="G56" i="17" s="1"/>
  <c r="F56" i="17"/>
  <c r="F47" i="17"/>
  <c r="G47" i="17" s="1"/>
  <c r="G27" i="17"/>
  <c r="D48" i="17"/>
  <c r="E10" i="17"/>
  <c r="E34" i="17"/>
  <c r="D34" i="17"/>
  <c r="D41" i="17"/>
  <c r="E41" i="17"/>
  <c r="E48" i="17"/>
  <c r="D10" i="17"/>
  <c r="F41" i="17"/>
  <c r="F34" i="17"/>
  <c r="E58" i="17" l="1"/>
  <c r="C6" i="26" s="1"/>
  <c r="H6" i="26" s="1"/>
  <c r="G34" i="17"/>
  <c r="D58" i="17"/>
  <c r="C7" i="26" s="1"/>
  <c r="H7" i="26" s="1"/>
  <c r="G41" i="17"/>
  <c r="F48" i="17" l="1"/>
  <c r="G48" i="17"/>
  <c r="G9" i="17" l="1"/>
  <c r="E8" i="26" l="1"/>
  <c r="F10" i="17" l="1"/>
  <c r="F58" i="17" s="1"/>
  <c r="G10" i="17"/>
  <c r="G58" i="17" s="1"/>
  <c r="C8" i="26" l="1"/>
  <c r="H8" i="2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ED6B379-16BD-4BFB-901A-100BF3719E4C}" keepAlive="1" name="Query - Detailed_report" description="Connection to the 'Detailed_report' query in the workbook." type="5" refreshedVersion="8" background="1" saveData="1">
    <dbPr connection="Provider=Microsoft.Mashup.OleDb.1;Data Source=$Workbook$;Location=Detailed_report;Extended Properties=&quot;&quot;" command="SELECT * FROM [Detailed_report]"/>
  </connection>
  <connection id="2" xr16:uid="{EB416333-CE98-485F-90D9-3D24F91E9C31}" keepAlive="1" name="Query - Due Dates1" description="Connection to the 'Due Dates' query in the workbook." type="5" refreshedVersion="8" background="1" saveData="1">
    <dbPr connection="Provider=Microsoft.Mashup.OleDb.1;Data Source=$Workbook$;Location=&quot;Due Dates&quot;;Extended Properties=&quot;&quot;" command="SELECT * FROM [Due Dates]"/>
  </connection>
  <connection id="3" xr16:uid="{D88B336C-88DC-4DDF-9008-617425C411AD}" keepAlive="1" name="Query - FacilitySpace_Issued" description="Connection to the 'FacilitySpace_Issued' query in the workbook." type="5" refreshedVersion="8" background="1" saveData="1">
    <dbPr connection="Provider=Microsoft.Mashup.OleDb.1;Data Source=$Workbook$;Location=FacilitySpace_Issued;Extended Properties=&quot;&quot;" command="SELECT * FROM [FacilitySpace_Issued]"/>
  </connection>
  <connection id="4" xr16:uid="{9C064B53-33B8-4A13-AFB0-1D6D6FDD5AD7}" keepAlive="1" name="Query - FacilitySpace_Under Process" description="Connection to the 'FacilitySpace_Under Process' query in the workbook." type="5" refreshedVersion="8" background="1" saveData="1">
    <dbPr connection="Provider=Microsoft.Mashup.OleDb.1;Data Source=$Workbook$;Location=&quot;FacilitySpace_Under Process&quot;;Extended Properties=&quot;&quot;" command="SELECT * FROM [FacilitySpace_Under Process]"/>
  </connection>
  <connection id="5" xr16:uid="{0CD39EF6-5272-42BE-8D25-CE3FBCF3CD20}" keepAlive="1" name="Query - Final summary" description="Connection to the 'Final summary' query in the workbook." type="5" refreshedVersion="8" background="1" saveData="1">
    <dbPr connection="Provider=Microsoft.Mashup.OleDb.1;Data Source=$Workbook$;Location=&quot;Final summary&quot;;Extended Properties=&quot;&quot;" command="SELECT * FROM [Final summary]"/>
  </connection>
  <connection id="6" xr16:uid="{84C091CA-BF3D-466A-93F6-7DC531D87F91}" keepAlive="1" name="Query - List_Due_Dates" description="Connection to the 'List_Due_Dates' query in the workbook." type="5" refreshedVersion="0" background="1">
    <dbPr connection="Provider=Microsoft.Mashup.OleDb.1;Data Source=$Workbook$;Location=List_Due_Dates;Extended Properties=&quot;&quot;" command="SELECT * FROM [List_Due_Dates]"/>
  </connection>
  <connection id="7" xr16:uid="{17121D77-88FF-4858-9B2B-5270A19C7290}" keepAlive="1" name="Query - Required_Space" description="Connection to the 'Required_Space' query in the workbook." type="5" refreshedVersion="8" background="1" saveData="1">
    <dbPr connection="Provider=Microsoft.Mashup.OleDb.1;Data Source=$Workbook$;Location=Required_Space;Extended Properties=&quot;&quot;" command="SELECT * FROM [Required_Space]"/>
  </connection>
  <connection id="8" xr16:uid="{51CE2CC6-A6F3-49C2-A78C-1681DE6EDD5F}" keepAlive="1" name="Query - summary" description="Connection to the 'summary' query in the workbook." type="5" refreshedVersion="0" background="1">
    <dbPr connection="Provider=Microsoft.Mashup.OleDb.1;Data Source=$Workbook$;Location=summary;Extended Properties=&quot;&quot;" command="SELECT * FROM [summary]"/>
  </connection>
  <connection id="9" xr16:uid="{49F52236-71FC-4ABC-8437-A3536BBB84EA}" keepAlive="1" name="Query - Trade_Finance_Main" description="Connection to the 'Trade_Finance_Main' query in the workbook." type="5" refreshedVersion="0" background="1">
    <dbPr connection="Provider=Microsoft.Mashup.OleDb.1;Data Source=$Workbook$;Location=Trade_Finance_Main;Extended Properties=&quot;&quot;" command="SELECT * FROM [Trade_Finance_Main]"/>
  </connection>
</connections>
</file>

<file path=xl/sharedStrings.xml><?xml version="1.0" encoding="utf-8"?>
<sst xmlns="http://schemas.openxmlformats.org/spreadsheetml/2006/main" count="7209" uniqueCount="574">
  <si>
    <t>LC Number</t>
  </si>
  <si>
    <t>Issue Date.</t>
  </si>
  <si>
    <t>Beneficiary</t>
  </si>
  <si>
    <t>Group Company</t>
  </si>
  <si>
    <t>Project</t>
  </si>
  <si>
    <t>Curr</t>
  </si>
  <si>
    <t>LC Amt(FCY)</t>
  </si>
  <si>
    <t>Rate</t>
  </si>
  <si>
    <t>LC Amt(SAR)</t>
  </si>
  <si>
    <t>LC Settled</t>
  </si>
  <si>
    <t>Pending Settlement</t>
  </si>
  <si>
    <t>LC Balance</t>
  </si>
  <si>
    <t>Expiry Date</t>
  </si>
  <si>
    <t>Last Ship Date</t>
  </si>
  <si>
    <t>Bank Name</t>
  </si>
  <si>
    <t>Lines</t>
  </si>
  <si>
    <t>Payment Terms</t>
  </si>
  <si>
    <t>KSP</t>
  </si>
  <si>
    <t>Alinma</t>
  </si>
  <si>
    <t>Credit</t>
  </si>
  <si>
    <t>FIRST FIX</t>
  </si>
  <si>
    <t>SAR</t>
  </si>
  <si>
    <t>SNB</t>
  </si>
  <si>
    <t>90 Days from Invoice Date</t>
  </si>
  <si>
    <t>MBL</t>
  </si>
  <si>
    <t>Riyad</t>
  </si>
  <si>
    <t>BAB</t>
  </si>
  <si>
    <t>CEER</t>
  </si>
  <si>
    <t>SAB</t>
  </si>
  <si>
    <t>ALFANAR ELECTRICAL SYSTEMS</t>
  </si>
  <si>
    <t>60 Days from Invoice Date</t>
  </si>
  <si>
    <t>ABHA</t>
  </si>
  <si>
    <t>Cash</t>
  </si>
  <si>
    <t>EUR</t>
  </si>
  <si>
    <t>JLC6801573</t>
  </si>
  <si>
    <t>JLC6701731</t>
  </si>
  <si>
    <t>ATELIER HOSPITALITY SRL</t>
  </si>
  <si>
    <t>30 days from the date of comm. inv.</t>
  </si>
  <si>
    <t>45 Days from Invoice Date</t>
  </si>
  <si>
    <t>Due Dates</t>
  </si>
  <si>
    <t>Grand Total</t>
  </si>
  <si>
    <t>Sum of Pending Settlement</t>
  </si>
  <si>
    <t>Sum of LC Balance</t>
  </si>
  <si>
    <t>Current Project Wise LC Summary</t>
  </si>
  <si>
    <t xml:space="preserve">LC Balance </t>
  </si>
  <si>
    <t xml:space="preserve">Pending Settlement </t>
  </si>
  <si>
    <t xml:space="preserve">LC Settled </t>
  </si>
  <si>
    <t xml:space="preserve">LC Amt(SAR) </t>
  </si>
  <si>
    <t>LC summary</t>
  </si>
  <si>
    <t>Start of Week</t>
  </si>
  <si>
    <t>End of Week</t>
  </si>
  <si>
    <t>(blank)</t>
  </si>
  <si>
    <t>Bank</t>
  </si>
  <si>
    <t>Due Date</t>
  </si>
  <si>
    <t>Total:</t>
  </si>
  <si>
    <t>Grand Total:</t>
  </si>
  <si>
    <t>Presentation No</t>
  </si>
  <si>
    <t>Company</t>
  </si>
  <si>
    <t>Status</t>
  </si>
  <si>
    <t>Invoice Amt (FCY)</t>
  </si>
  <si>
    <t xml:space="preserve"> Invoice Amt (SAR)</t>
  </si>
  <si>
    <t>Tenor</t>
  </si>
  <si>
    <t>Total</t>
  </si>
  <si>
    <t>to be Made</t>
  </si>
  <si>
    <t>LC Amount</t>
  </si>
  <si>
    <t>Sum of  Invoice Amt (SAR)</t>
  </si>
  <si>
    <t>No</t>
  </si>
  <si>
    <t>Interest Amount</t>
  </si>
  <si>
    <t>NBK</t>
  </si>
  <si>
    <t>Jazira</t>
  </si>
  <si>
    <t>Riyad Bank</t>
  </si>
  <si>
    <t>Loan Reference</t>
  </si>
  <si>
    <t>Loan Repayment</t>
  </si>
  <si>
    <t>Working Capital</t>
  </si>
  <si>
    <t>General facility</t>
  </si>
  <si>
    <t>RCRC</t>
  </si>
  <si>
    <t>Letter of Credit (LC) Outstanding</t>
  </si>
  <si>
    <t>LC Acceptances</t>
  </si>
  <si>
    <t>Loan</t>
  </si>
  <si>
    <t>Total Current Bank Exposure</t>
  </si>
  <si>
    <t>Credit Lines</t>
  </si>
  <si>
    <t>Full Cash Margin</t>
  </si>
  <si>
    <t>Letter of Credit Refinance</t>
  </si>
  <si>
    <t>Alinma Bank</t>
  </si>
  <si>
    <t>Bank Aljazira</t>
  </si>
  <si>
    <t>MBL Bank Utilization Exposure Report on LC and Loans</t>
  </si>
  <si>
    <t>Summary per Project - for L/C only without Full Cash Margin and Loans</t>
  </si>
  <si>
    <t>LC Outstanding</t>
  </si>
  <si>
    <t>LC Acceptance</t>
  </si>
  <si>
    <t>Loans</t>
  </si>
  <si>
    <t>Info Yet to</t>
  </si>
  <si>
    <t>be Received</t>
  </si>
  <si>
    <t>Total Payment</t>
  </si>
  <si>
    <t>Total Credit:</t>
  </si>
  <si>
    <t>Total Cash:</t>
  </si>
  <si>
    <t>Cash Total:</t>
  </si>
  <si>
    <t>Credit Total:</t>
  </si>
  <si>
    <t>Bank AlBilad</t>
  </si>
  <si>
    <t>Saudi National Bank</t>
  </si>
  <si>
    <t>Saudi Awwal Bank</t>
  </si>
  <si>
    <t>National Bank of Kuwait</t>
  </si>
  <si>
    <t>Visio INC</t>
  </si>
  <si>
    <t>30 Days from Shipment Date</t>
  </si>
  <si>
    <t>JCD SPMI</t>
  </si>
  <si>
    <t>Letter of Credit Detailed Report</t>
  </si>
  <si>
    <t>ADF</t>
  </si>
  <si>
    <t>Rabigh Power Plant</t>
  </si>
  <si>
    <t>Electric House Trading Company L.L.C.</t>
  </si>
  <si>
    <t>LSI PROJECTS LIMITED</t>
  </si>
  <si>
    <t>GBP</t>
  </si>
  <si>
    <t>30 Days from Delivery Date</t>
  </si>
  <si>
    <t>Facility Space</t>
  </si>
  <si>
    <t>Subtraction</t>
  </si>
  <si>
    <t>Active/Cancelled</t>
  </si>
  <si>
    <t>Opera House</t>
  </si>
  <si>
    <t>Active</t>
  </si>
  <si>
    <t>Multipurpose</t>
  </si>
  <si>
    <t>Oceanarium</t>
  </si>
  <si>
    <t>Sum of LC Amt(SAR)</t>
  </si>
  <si>
    <t>Available Facility Space</t>
  </si>
  <si>
    <t>Project Facility</t>
  </si>
  <si>
    <t>Multipurpose Limit</t>
  </si>
  <si>
    <t>LCs utilized in Project</t>
  </si>
  <si>
    <t>Other Utilization</t>
  </si>
  <si>
    <t>Available Space</t>
  </si>
  <si>
    <t>Comments</t>
  </si>
  <si>
    <t>Available space for LC and Loan</t>
  </si>
  <si>
    <t>This should only be used for Neom -The line and Salam Island</t>
  </si>
  <si>
    <t>This should be used for JCD SPMI, L01, Abha &amp; others</t>
  </si>
  <si>
    <t>Sum of Subtraction</t>
  </si>
  <si>
    <t>KSP Total</t>
  </si>
  <si>
    <t>Oceanarium Total</t>
  </si>
  <si>
    <t>CEER Total</t>
  </si>
  <si>
    <t>Opera House Total</t>
  </si>
  <si>
    <t>Under Process</t>
  </si>
  <si>
    <t>V_Due Date_Bankwise</t>
  </si>
  <si>
    <t>M_Loans</t>
  </si>
  <si>
    <t>V_Project-wise Summary</t>
  </si>
  <si>
    <t>Full Amount</t>
  </si>
  <si>
    <t>V_Detailed_Report</t>
  </si>
  <si>
    <t>M_Summary</t>
  </si>
  <si>
    <t>Due Date - Bankwise</t>
  </si>
  <si>
    <t>120 Days from Invoice Date</t>
  </si>
  <si>
    <t>Limit</t>
  </si>
  <si>
    <t>Banan Thiba Trading Est (BTT)</t>
  </si>
  <si>
    <t>J209958</t>
  </si>
  <si>
    <t>RCRC Total</t>
  </si>
  <si>
    <t>Bank Al Jazira</t>
  </si>
  <si>
    <t>Funds Utilize</t>
  </si>
  <si>
    <t>Fund Utilize</t>
  </si>
  <si>
    <t>Saudi Hepco Co. Ltd</t>
  </si>
  <si>
    <t>OPERA House</t>
  </si>
  <si>
    <t>MP1</t>
  </si>
  <si>
    <t>90 Days from Shipment Date</t>
  </si>
  <si>
    <t>SITE TECHNOLOGY SAUDI ARABIA LTD</t>
  </si>
  <si>
    <t>ILC-0840-25-7353</t>
  </si>
  <si>
    <t>Abha</t>
  </si>
  <si>
    <t>ILC-0840-25-7407</t>
  </si>
  <si>
    <t>MP1 Total</t>
  </si>
  <si>
    <t>J210104</t>
  </si>
  <si>
    <t>SKM AIR CONDITIONING CO</t>
  </si>
  <si>
    <t>Project Director</t>
  </si>
  <si>
    <t>Project Code</t>
  </si>
  <si>
    <t>Cash Margin</t>
  </si>
  <si>
    <t>Cash-Fund Utilized</t>
  </si>
  <si>
    <t>Cash-Recovered</t>
  </si>
  <si>
    <t>Increase Amount in SAR</t>
  </si>
  <si>
    <t>Remarks</t>
  </si>
  <si>
    <t>L01-YAMMAMA</t>
  </si>
  <si>
    <t>Rawadf International Co.</t>
  </si>
  <si>
    <t>SAUDI VITRIFIED CLAY PIPE CO</t>
  </si>
  <si>
    <t>ILC-0840-25-7517</t>
  </si>
  <si>
    <t>DCBWPM555620</t>
  </si>
  <si>
    <t>USD</t>
  </si>
  <si>
    <t>BRC Industrial (Saudia) Company</t>
  </si>
  <si>
    <t>GAS SOLUTIONS</t>
  </si>
  <si>
    <t>Ajzal United for Safety CO.LTD.</t>
  </si>
  <si>
    <t>Arabian International Company For Contracting</t>
  </si>
  <si>
    <t xml:space="preserve">Daikin Air Conditioning Saudi Arabia </t>
  </si>
  <si>
    <t>Baamer Group for Trading Company</t>
  </si>
  <si>
    <t>TF2514700033</t>
  </si>
  <si>
    <t>Al Arabia Construction &amp; Building Co.</t>
  </si>
  <si>
    <t>45 Days from the Invoice Date</t>
  </si>
  <si>
    <t>ICAD</t>
  </si>
  <si>
    <t>STAR SQUARES CO LTD</t>
  </si>
  <si>
    <t>TF2517400098</t>
  </si>
  <si>
    <t>TF2517700087</t>
  </si>
  <si>
    <t>Installments</t>
  </si>
  <si>
    <t>Ealla For General Contracting</t>
  </si>
  <si>
    <t>Metten Al-Arabia Ltd Co (METARA)</t>
  </si>
  <si>
    <t>ILC-0840-25-7981</t>
  </si>
  <si>
    <t>MASQ FOR ELECTRICAL TOOLS CO</t>
  </si>
  <si>
    <t>BROOQ ALAMAAN TRAD COMPANY</t>
  </si>
  <si>
    <t>ILC-0840-25-8011</t>
  </si>
  <si>
    <t>DCBWPM562604</t>
  </si>
  <si>
    <t>Mohammed A. Al-Awani Trading</t>
  </si>
  <si>
    <t>J210944</t>
  </si>
  <si>
    <t>90 Days from Appl. Representative Sign</t>
  </si>
  <si>
    <t>120 Days from Appl. Representative Sign</t>
  </si>
  <si>
    <t>JAD AL RIYADH Trading Co. Ltd</t>
  </si>
  <si>
    <t>Riyadh Unity for Trading</t>
  </si>
  <si>
    <t>Alshrkt Mzaya Almttwrt Alsnaayt shkhs Wahd</t>
  </si>
  <si>
    <t>DCBWPM563027</t>
  </si>
  <si>
    <t>This should be used for Oceanarium</t>
  </si>
  <si>
    <t>EVOLVING CONSTELLATION CO. FOR ENERGY</t>
  </si>
  <si>
    <t>60 Days from Appl. Representative Sign</t>
  </si>
  <si>
    <t>Mat Filtrasyon Teknolojeleri A.S</t>
  </si>
  <si>
    <t>DCBWPM563232</t>
  </si>
  <si>
    <t>DCBWPM563374</t>
  </si>
  <si>
    <t>Alinma Total:</t>
  </si>
  <si>
    <t>SNB Total:</t>
  </si>
  <si>
    <t>Facility</t>
  </si>
  <si>
    <t>AL FALWA CO. LTD. FOR READYMIX CONCRETE</t>
  </si>
  <si>
    <t>SAUDI HEPCO CO LTD</t>
  </si>
  <si>
    <t>Mohammed Ramadan Shat Factory</t>
  </si>
  <si>
    <t>IFAS - Various Projects</t>
  </si>
  <si>
    <t>TF2523000034</t>
  </si>
  <si>
    <t>Sika Saudi Arabia Co. Ltd.</t>
  </si>
  <si>
    <t>120 Days from the Invoice Date</t>
  </si>
  <si>
    <t>MBL/ICAD</t>
  </si>
  <si>
    <t>ILC-0840-25-8159</t>
  </si>
  <si>
    <t>ILC-0840-25-8164</t>
  </si>
  <si>
    <t>ILC-0840-25-8166</t>
  </si>
  <si>
    <t>DCBWPM564580</t>
  </si>
  <si>
    <t>Power Center Company for Industries LLC</t>
  </si>
  <si>
    <t>BAHRA ADVANCED CABLE MANUFACTURE CO. LTD.</t>
  </si>
  <si>
    <t>SITE TECHNOLOGY SAUDI ARABIA CO</t>
  </si>
  <si>
    <t>Future Pipe Industries LLC</t>
  </si>
  <si>
    <t>DCBWPM565843</t>
  </si>
  <si>
    <t>DCBWPM565850</t>
  </si>
  <si>
    <t>Opera Project</t>
  </si>
  <si>
    <t>RCRC Project</t>
  </si>
  <si>
    <t>Ocenarium Project Loan</t>
  </si>
  <si>
    <t>Oceanarium Project</t>
  </si>
  <si>
    <t>60 Days From the Delivery Date</t>
  </si>
  <si>
    <t>Saudi Perfect Pumps Trading &amp; Manufacturing Company</t>
  </si>
  <si>
    <t>45 Days from Delivery Date</t>
  </si>
  <si>
    <t>TF2526500019</t>
  </si>
  <si>
    <t>10000000027429995-Ocenarium</t>
  </si>
  <si>
    <t>TF2527100025</t>
  </si>
  <si>
    <t>TF2527100024</t>
  </si>
  <si>
    <t>DCBWPM566634</t>
  </si>
  <si>
    <t>Building System Intelligent Est.</t>
  </si>
  <si>
    <t>TAWREED INTEGRATED INDUSTRIES</t>
  </si>
  <si>
    <t>90 Days from Applicant representative sign on Invoice</t>
  </si>
  <si>
    <t>JLC6901431_Cre</t>
  </si>
  <si>
    <t>Alrashid Trading and Contracting Company</t>
  </si>
  <si>
    <t>DCBWPM567556</t>
  </si>
  <si>
    <t>DCBWPM567554</t>
  </si>
  <si>
    <t>Ocenarium 5.3M</t>
  </si>
  <si>
    <t>ILC-0840-25-8427</t>
  </si>
  <si>
    <t>Ocenarium 7.5M</t>
  </si>
  <si>
    <t>CEER Project</t>
  </si>
  <si>
    <t>ALNAFIE METAL INDUSTRIES CO LTD</t>
  </si>
  <si>
    <t>J211485</t>
  </si>
  <si>
    <t>AI-Hadbania Trading Co.</t>
  </si>
  <si>
    <t>Mohammad Saleh Bahareth co.</t>
  </si>
  <si>
    <t>JLC6901431_Cash</t>
  </si>
  <si>
    <t>TF2531600062</t>
  </si>
  <si>
    <t>TF2531600056</t>
  </si>
  <si>
    <t>30 Days From Invoice Date</t>
  </si>
  <si>
    <t>ELSEWEDY CABLES CO. LIMITED</t>
  </si>
  <si>
    <t>Mohamad Saeed Afifi Trading Est.</t>
  </si>
  <si>
    <t>IBA MIDDLE EAST FZE</t>
  </si>
  <si>
    <t>DCBWPM570384</t>
  </si>
  <si>
    <t>JLC6902213</t>
  </si>
  <si>
    <t>DCBWPM570369</t>
  </si>
  <si>
    <t>Lagoon</t>
  </si>
  <si>
    <t>JLC6902211</t>
  </si>
  <si>
    <t>TF2533600018</t>
  </si>
  <si>
    <t>Osalas GMBH</t>
  </si>
  <si>
    <t>APS ARABIAN CONTRACTING COMPANY</t>
  </si>
  <si>
    <t>J211681</t>
  </si>
  <si>
    <t>Lagoon Total</t>
  </si>
  <si>
    <t>TF2535200021</t>
  </si>
  <si>
    <t>MBL/AICS</t>
  </si>
  <si>
    <t>TF2535900016</t>
  </si>
  <si>
    <t>TF2535900014</t>
  </si>
  <si>
    <t>DCBWPM570839</t>
  </si>
  <si>
    <t>Green Concrete CJSC</t>
  </si>
  <si>
    <t>60 Days From Invoice Date</t>
  </si>
  <si>
    <t>T5</t>
  </si>
  <si>
    <t>90 Days from Appln Rep Sign on Invoice</t>
  </si>
  <si>
    <t>ISAM KABBANI &amp; PARTNERS LTD-UNITECH</t>
  </si>
  <si>
    <t>National Marketing Est. Co. Ltd</t>
  </si>
  <si>
    <t>SCHNEIDER ELECTRIC SAUDI ARABIA CO</t>
  </si>
  <si>
    <t>SKM Air Conditioning Company</t>
  </si>
  <si>
    <t>Teqniye Al-Majra For Contracting</t>
  </si>
  <si>
    <t>Ceer</t>
  </si>
  <si>
    <t>AlJammaz Hydrotek</t>
  </si>
  <si>
    <t>SNB 549257-MSB REDC 16000516203203</t>
  </si>
  <si>
    <t>10000000027429998-Ocenarium LCR</t>
  </si>
  <si>
    <t>JLC7000007</t>
  </si>
  <si>
    <t>ILC-0840-26-8758</t>
  </si>
  <si>
    <t>JLC7000008</t>
  </si>
  <si>
    <t>JLC7000002</t>
  </si>
  <si>
    <t>JLC7000003</t>
  </si>
  <si>
    <t>JLC7000004</t>
  </si>
  <si>
    <t>JLC7000005</t>
  </si>
  <si>
    <t>Mimar for Construction Tools &amp; Trading Ltd.</t>
  </si>
  <si>
    <t>Mase Gulf Company</t>
  </si>
  <si>
    <t>Masdar Technical Supplies Co.</t>
  </si>
  <si>
    <t>BAHRA ADVANCED CABLE MANUFACTURE CO. LTD</t>
  </si>
  <si>
    <t>Mohammed Masoud Al Khaldi Est</t>
  </si>
  <si>
    <t>Isam Kabanni And Partners For Construction And Maintenance Co Ltd</t>
  </si>
  <si>
    <t>Alfanar Electrical Systems</t>
  </si>
  <si>
    <t>INTERPLAST CO. LTD</t>
  </si>
  <si>
    <t>ILC-0840-26-8820</t>
  </si>
  <si>
    <t>ILC-0840-26-8822</t>
  </si>
  <si>
    <t>ILC-0840-26-8823</t>
  </si>
  <si>
    <t>BBH-CHEMTROL INTERNATIONAL ORGANIZATION S.L</t>
  </si>
  <si>
    <t>90 Days from Delivery Date</t>
  </si>
  <si>
    <t>Electro Mechanical Supplies Company</t>
  </si>
  <si>
    <t>Sight / 60 Days from Appl. Rep Sign on Invoice</t>
  </si>
  <si>
    <t>DCBWPM160363</t>
  </si>
  <si>
    <t>DCBWPM160342</t>
  </si>
  <si>
    <t>DCBWPM160364</t>
  </si>
  <si>
    <t>DCBWPM160343</t>
  </si>
  <si>
    <t>DCBWPM160344</t>
  </si>
  <si>
    <t>DCBWPM160355</t>
  </si>
  <si>
    <t>DCBWPM160340</t>
  </si>
  <si>
    <t>J211810</t>
  </si>
  <si>
    <t>Al Talal Modern Est</t>
  </si>
  <si>
    <t>90 Days From the Delivery Date</t>
  </si>
  <si>
    <t>T5 Total</t>
  </si>
  <si>
    <t>J211836</t>
  </si>
  <si>
    <t>MBL / Green Roots</t>
  </si>
  <si>
    <t>DCBWPM161328</t>
  </si>
  <si>
    <t>Systemair For Electrical Equipment Co.</t>
  </si>
  <si>
    <t>Ideal Caliber Company</t>
  </si>
  <si>
    <t>Khorayef Industries</t>
  </si>
  <si>
    <t>Schneider Electric Saudi Arabia Co</t>
  </si>
  <si>
    <t>SNB 558651-Neom LC</t>
  </si>
  <si>
    <t>SNB 558653-Opera</t>
  </si>
  <si>
    <t>JLC7000184</t>
  </si>
  <si>
    <t>JLC7000193</t>
  </si>
  <si>
    <t>JLC7000185</t>
  </si>
  <si>
    <t>JLC7000192</t>
  </si>
  <si>
    <t>Disc. Submitted to Project</t>
  </si>
  <si>
    <t>10000000027429999- Ocenarium 10M</t>
  </si>
  <si>
    <t>10000000856119981- Ocenarium IPC 2.3M</t>
  </si>
  <si>
    <t>10000000856119982- Ocenarium 11M</t>
  </si>
  <si>
    <t>NBK Total:</t>
  </si>
  <si>
    <t>Riyad Total:</t>
  </si>
  <si>
    <t>Jazira Total:</t>
  </si>
  <si>
    <t>SAB Total:</t>
  </si>
  <si>
    <t>TF2604200011_A</t>
  </si>
  <si>
    <t>TF2604200011_B</t>
  </si>
  <si>
    <t>Koon Trading Company</t>
  </si>
  <si>
    <t>Building System Intelligent Contractor BSICO</t>
  </si>
  <si>
    <t>High Al Shuhra Contracting Company</t>
  </si>
  <si>
    <t>Safid Co Ltd</t>
  </si>
  <si>
    <t>J211987</t>
  </si>
  <si>
    <t>J211985</t>
  </si>
  <si>
    <t>J211986</t>
  </si>
  <si>
    <t>Awtad Jeddah for General Contracting Company</t>
  </si>
  <si>
    <t>Mimar For Construction Tools and Trading Ltd.</t>
  </si>
  <si>
    <t>Al NAKHEEL FOR TRADING COMPANY</t>
  </si>
  <si>
    <t>MBL/United Arab Aluminum Co</t>
  </si>
  <si>
    <t>SNB568372-Opera 3</t>
  </si>
  <si>
    <t>TF2606300014</t>
  </si>
  <si>
    <t>Ready Mix Company Limited.</t>
  </si>
  <si>
    <t>DCBWPM162993</t>
  </si>
  <si>
    <t>DCBWPM162992</t>
  </si>
  <si>
    <t>DCBWPM162995</t>
  </si>
  <si>
    <t>10000000856119983- Ocenarium IPC 2.02M</t>
  </si>
  <si>
    <t>The Fundamental Installation For Electric Work Co</t>
  </si>
  <si>
    <t>J212030</t>
  </si>
  <si>
    <t>Mixed Tenor - 60 / 45 / 21 Days from Invoice Date</t>
  </si>
  <si>
    <t>CLB 7639 NBK HO</t>
  </si>
  <si>
    <t>TF2604200011_C</t>
  </si>
  <si>
    <t>ILC-0840-26-9073</t>
  </si>
  <si>
    <t>ADF Project</t>
  </si>
  <si>
    <t>ILC-0840-25-7736</t>
  </si>
  <si>
    <t>Innovative Contractors for Advanced Dimension (ICAD)</t>
  </si>
  <si>
    <t>120 Days from Appl Rep Sign on Invoice</t>
  </si>
  <si>
    <t>DCBWPM163413</t>
  </si>
  <si>
    <t>DCBWPM163417</t>
  </si>
  <si>
    <t>KSP Project</t>
  </si>
  <si>
    <t>JLC7000384</t>
  </si>
  <si>
    <t>Ajzal United For Safety Co.Ltd.</t>
  </si>
  <si>
    <t>90 Days from App Rep Sign on Invoice</t>
  </si>
  <si>
    <t>Aknan Alkhair Tranding Est</t>
  </si>
  <si>
    <t>Al Maymanah For Contracting Co. Ltd.</t>
  </si>
  <si>
    <t>Ali Manea Alyami Trading Est.</t>
  </si>
  <si>
    <t>National Fire Fighting Manufacturing Fzco Br.</t>
  </si>
  <si>
    <t>Gulf Grilles Company</t>
  </si>
  <si>
    <t>Khereiji Showrooms Co.</t>
  </si>
  <si>
    <t>Saudi Electric Supply Company</t>
  </si>
  <si>
    <t>Elsewedy Cables Co. Limited</t>
  </si>
  <si>
    <t>Johnson Controls Arabia Ltd.</t>
  </si>
  <si>
    <t>Bahra Advanced Cable Manufacture Co.</t>
  </si>
  <si>
    <t>Power Center Company For Industries Llc</t>
  </si>
  <si>
    <t>Atiaf International Trading Company</t>
  </si>
  <si>
    <t>Mushal Khalf Hijri For Contracting</t>
  </si>
  <si>
    <t>Elmady Solution Company</t>
  </si>
  <si>
    <t>Saudi Electric Supply Company Limited(SESCO)</t>
  </si>
  <si>
    <t>M001959</t>
  </si>
  <si>
    <t>DCBWPM163990</t>
  </si>
  <si>
    <t>DCBWPM163995</t>
  </si>
  <si>
    <t>DCBWPM163999</t>
  </si>
  <si>
    <t>DCBWPM163961</t>
  </si>
  <si>
    <t>DCBWPM163953</t>
  </si>
  <si>
    <t>DCBWPM164007</t>
  </si>
  <si>
    <t>DCBWPM164009</t>
  </si>
  <si>
    <t>DCBWPM163971</t>
  </si>
  <si>
    <t>DCBWPM164001</t>
  </si>
  <si>
    <t>DCBWPM163997</t>
  </si>
  <si>
    <t>DCBWPM163960</t>
  </si>
  <si>
    <t>DCBWPM164010</t>
  </si>
  <si>
    <t>DCBWPM163950</t>
  </si>
  <si>
    <t>DCBWPM163945</t>
  </si>
  <si>
    <t>DCBWPM163957</t>
  </si>
  <si>
    <t>DCBWPM163967</t>
  </si>
  <si>
    <t>DCBWPM163964</t>
  </si>
  <si>
    <t>DCBWPM163988</t>
  </si>
  <si>
    <t>DCBWPM164003</t>
  </si>
  <si>
    <t>J212103</t>
  </si>
  <si>
    <t>Depa Saudi Arabia for Contracting and Interior Decorating Co. Ltd.</t>
  </si>
  <si>
    <t>02/08/2026</t>
  </si>
  <si>
    <t>TF2609800008</t>
  </si>
  <si>
    <t>TF2609900016</t>
  </si>
  <si>
    <t>J212139</t>
  </si>
  <si>
    <t>J212140</t>
  </si>
  <si>
    <t>DCBWPM164211</t>
  </si>
  <si>
    <t>05/07/2026</t>
  </si>
  <si>
    <t>28/06/2026</t>
  </si>
  <si>
    <t>APTEC SAUDI ARABIA</t>
  </si>
  <si>
    <t>Innovative Specialized Security Solution</t>
  </si>
  <si>
    <t>Anixter Saudi Arabia Ltd</t>
  </si>
  <si>
    <t>Luis Puente</t>
  </si>
  <si>
    <t>60 Days from Applicant representative sign on Invoice</t>
  </si>
  <si>
    <t>TF2610500019</t>
  </si>
  <si>
    <t>TF2610500016</t>
  </si>
  <si>
    <t>TF2610500021</t>
  </si>
  <si>
    <t>Submitted to Bank</t>
  </si>
  <si>
    <t>CEER2</t>
  </si>
  <si>
    <t>08/07/2026</t>
  </si>
  <si>
    <t>Al Dhow Gulf Company for Trading and Contracting Ltd</t>
  </si>
  <si>
    <t>03/08/2026</t>
  </si>
  <si>
    <t>14/07/2026</t>
  </si>
  <si>
    <t>10000000856119988- Ocenarium LCR 4.5M</t>
  </si>
  <si>
    <t>12/07/2026</t>
  </si>
  <si>
    <t>CLB-7718 IPC 9 Discounting</t>
  </si>
  <si>
    <t>Lagoon Project</t>
  </si>
  <si>
    <t>J212228</t>
  </si>
  <si>
    <t>19/07/2026</t>
  </si>
  <si>
    <t>07/07/2026</t>
  </si>
  <si>
    <t>to bank on 15-04 | Facility Issue</t>
  </si>
  <si>
    <t>APLUS TRADE MIKE</t>
  </si>
  <si>
    <t>MBL/ICAD/Baumat</t>
  </si>
  <si>
    <t>Al-Tawi READY -MIX FACTORY</t>
  </si>
  <si>
    <t>90 Days From Appl sign on Invoice</t>
  </si>
  <si>
    <t>MBL/AICS (L01)</t>
  </si>
  <si>
    <t>27/07/2026</t>
  </si>
  <si>
    <t>Tareeq Telmasani</t>
  </si>
  <si>
    <t>Ready for Submission</t>
  </si>
  <si>
    <t>FAB</t>
  </si>
  <si>
    <t>Metallurgical Corporation of China Ltd (MCC) Saudi Branch.</t>
  </si>
  <si>
    <t>14 Days after Sight</t>
  </si>
  <si>
    <t>Manar Alomran Company For Trading And Industrial Ltd</t>
  </si>
  <si>
    <t>DAIKIN AIR CONDITIONING SAUDI ARABIA LLC</t>
  </si>
  <si>
    <t>16/07/2026</t>
  </si>
  <si>
    <t>Isam Kabbani &amp; Partners for Building and Construction</t>
  </si>
  <si>
    <t>07/08/2026</t>
  </si>
  <si>
    <t>30/07/2026</t>
  </si>
  <si>
    <t>ILC-0840-26-9256</t>
  </si>
  <si>
    <t>J212311</t>
  </si>
  <si>
    <t>DCBWPM165531</t>
  </si>
  <si>
    <t>DCBWPM165571</t>
  </si>
  <si>
    <t>L01 Project</t>
  </si>
  <si>
    <t>Saudi Pro-Kitchen</t>
  </si>
  <si>
    <t>120 Days from Applicant representative sign on Invoice</t>
  </si>
  <si>
    <t>TRINDEL ARABIA LTD. CO</t>
  </si>
  <si>
    <t>01/08/2026</t>
  </si>
  <si>
    <t>29/06/2026</t>
  </si>
  <si>
    <t>NEW-PPF9-18MAY26 RCRC IPC 9</t>
  </si>
  <si>
    <t>10000000856119989- Ocenaruim LCR 772K</t>
  </si>
  <si>
    <t>SNB 587431-Opera 10M</t>
  </si>
  <si>
    <t>SNB 580095-Opera- R 1</t>
  </si>
  <si>
    <t>TF2613700036</t>
  </si>
  <si>
    <t>DCBWPM165765</t>
  </si>
  <si>
    <t>02/09/2026</t>
  </si>
  <si>
    <t>Martin Professional Information Technology Company</t>
  </si>
  <si>
    <t>Al-Sayed Center A/C for Materials Company</t>
  </si>
  <si>
    <t>ALI MANEA ALYAMI TRADING EST.</t>
  </si>
  <si>
    <t>GALAXY TECHOLOGY CO.</t>
  </si>
  <si>
    <t>IDEAL CALIBER COMPANY.</t>
  </si>
  <si>
    <t>Machinery Land Equipment Rental.</t>
  </si>
  <si>
    <t>Establishment Marjane El- Shammal for watertransport and distribution</t>
  </si>
  <si>
    <t>RAWADF INTERNATIONAL CO.</t>
  </si>
  <si>
    <t>RAPID SAUDI ARABIA CO LIMITED.</t>
  </si>
  <si>
    <t>SAUDI ELECTRIC SUPPLY COMPANY.</t>
  </si>
  <si>
    <t>TECHNICAL TOOLS TRADING CO.</t>
  </si>
  <si>
    <t>TEN POINTS EST.</t>
  </si>
  <si>
    <t>NUKHBA ALETFA CO</t>
  </si>
  <si>
    <t>KHEREIJI SHOWROOMS CO.</t>
  </si>
  <si>
    <t>SPECTRA INTERNATIONAL TRADING COMPANY</t>
  </si>
  <si>
    <t>POWER CENTER COMPANY FOR INDUSTRIES LLC</t>
  </si>
  <si>
    <t>ELECTRIC HOUSE TRADING COMPANY LLC</t>
  </si>
  <si>
    <t>JOHNSON CONTROLS ARABIA</t>
  </si>
  <si>
    <t>MARIAM TRADING CO AND PARTNER</t>
  </si>
  <si>
    <t>AFAQ AL MALAZ TRADING CO.LTD.</t>
  </si>
  <si>
    <t>National Fire Fighting Manufacturing FZCO BR.</t>
  </si>
  <si>
    <t>Saraya Al Andalus for Construction company</t>
  </si>
  <si>
    <t>ALGHAMDI COMPANY FOR SANITARY WARES</t>
  </si>
  <si>
    <t xml:space="preserve">LD2615464779 CEER LC </t>
  </si>
  <si>
    <t>10000000856119990- Ocenaruim LCR 3.6M</t>
  </si>
  <si>
    <t>DCBWPM166276</t>
  </si>
  <si>
    <t>DCBWPM166267</t>
  </si>
  <si>
    <t>DCBWPM166294</t>
  </si>
  <si>
    <t>DCBWPM166296</t>
  </si>
  <si>
    <t>DCBWPM166271</t>
  </si>
  <si>
    <t>DCBWPM166261</t>
  </si>
  <si>
    <t>DCBWPM166259</t>
  </si>
  <si>
    <t>DCBWPM166257</t>
  </si>
  <si>
    <t>DCBWPM166285</t>
  </si>
  <si>
    <t>DCBWPM166292</t>
  </si>
  <si>
    <t>DCBWPM166298</t>
  </si>
  <si>
    <t>DCBWPM166281</t>
  </si>
  <si>
    <t>DCBWPM166270</t>
  </si>
  <si>
    <t>DCBWPM166275</t>
  </si>
  <si>
    <t>DCBWPM166290</t>
  </si>
  <si>
    <t>DCBWPM166272</t>
  </si>
  <si>
    <t>DCBWPM166277</t>
  </si>
  <si>
    <t>DCBWPM166297</t>
  </si>
  <si>
    <t>DCBWPM166264</t>
  </si>
  <si>
    <t>DCBWPM166278</t>
  </si>
  <si>
    <t>DCBWPM166286</t>
  </si>
  <si>
    <t>DCBWPM166289</t>
  </si>
  <si>
    <t>DCBWPM166284</t>
  </si>
  <si>
    <t>J212344</t>
  </si>
  <si>
    <t>DCBWPM166282</t>
  </si>
  <si>
    <t>DCBWPM166279</t>
  </si>
  <si>
    <t>DCBWPM166287</t>
  </si>
  <si>
    <t>DCBWPM166274</t>
  </si>
  <si>
    <t>02/07/2026</t>
  </si>
  <si>
    <t>26/06/2026</t>
  </si>
  <si>
    <t>NEW-PPF9-03JUN26- CEER LC</t>
  </si>
  <si>
    <t>J212386</t>
  </si>
  <si>
    <t>CLB - 7585 RO1 HO</t>
  </si>
  <si>
    <t>Riyad Payroll-20000000400549987</t>
  </si>
  <si>
    <t>30/08/2026</t>
  </si>
  <si>
    <t>J212290</t>
  </si>
  <si>
    <t>01/07/2026</t>
  </si>
  <si>
    <t>13/07/2026</t>
  </si>
  <si>
    <t xml:space="preserve">SNB 594153-HO 7 </t>
  </si>
  <si>
    <t>30 Days from Appl. Rep Sign on Invoice</t>
  </si>
  <si>
    <t>ILC-0840-26-9418</t>
  </si>
  <si>
    <t>Shaikh Sign Pending</t>
  </si>
  <si>
    <t>AL RAMSAT CONTRACTING COMPANY</t>
  </si>
  <si>
    <t>KINGSPAN INSULATED PANELS MANUFACTURING LLC</t>
  </si>
  <si>
    <t>GA received | Specimen Pending for Tareq Sir Sign</t>
  </si>
  <si>
    <t>20/07/2026 , 10/08/2026</t>
  </si>
  <si>
    <t>Riyad Payroll-10000000856119992</t>
  </si>
  <si>
    <t>10000000856119991-Ocenaruim LCR 1.1M</t>
  </si>
  <si>
    <t>Accep. Submitted to Bank</t>
  </si>
  <si>
    <t>Gulf Applications - GAPP</t>
  </si>
  <si>
    <t>24/08/2026 , 05/07/2026</t>
  </si>
  <si>
    <t>19/07/2026 , 18/07/2026 , 18/07/2026</t>
  </si>
  <si>
    <t>11/08/2026</t>
  </si>
  <si>
    <t>25/06/2026 , 17/09/2026</t>
  </si>
  <si>
    <t>SNB 595487-Opera 2 16000566863004</t>
  </si>
  <si>
    <t>DCBWPM166944</t>
  </si>
  <si>
    <t>J212502</t>
  </si>
  <si>
    <t>Hassan Taleb</t>
  </si>
  <si>
    <t>Metal and Glass Trading Co One Person</t>
  </si>
  <si>
    <t>to bank on 23-06</t>
  </si>
  <si>
    <t>Rabih Makhoul</t>
  </si>
  <si>
    <t>05/07/2026 , 14/07/2026</t>
  </si>
  <si>
    <t>25/06/2026 , 29/06/2026</t>
  </si>
  <si>
    <t>19/08/2026</t>
  </si>
  <si>
    <t>09/07/2026 , 02/07/2026</t>
  </si>
  <si>
    <t>10000000856119993-Ocenaruim LCR 4.4M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</si>
</sst>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dd\-mmm\-yyyy"/>
    <numFmt numFmtId="166" formatCode="m/d/yyyy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4"/>
      <name val="Georgia"/>
      <family val="1"/>
    </font>
    <font>
      <b/>
      <sz val="11"/>
      <color rgb="FFFFFFFF"/>
      <name val="Calibri"/>
      <family val="2"/>
      <scheme val="minor"/>
    </font>
    <font>
      <b/>
      <sz val="16"/>
      <color theme="3"/>
      <name val="Georgia"/>
      <family val="1"/>
    </font>
    <font>
      <b/>
      <sz val="18"/>
      <color theme="3"/>
      <name val="Georgia"/>
      <family val="1"/>
    </font>
    <font>
      <b/>
      <sz val="16"/>
      <color theme="1"/>
      <name val="Georgia"/>
      <family val="1"/>
    </font>
    <font>
      <sz val="11"/>
      <color rgb="FF000000"/>
      <name val="Calibri"/>
      <family val="2"/>
    </font>
    <font>
      <sz val="11"/>
      <color rgb="FFFFFFFF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3" tint="0.79995117038483843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5" tint="0.79998168889431442"/>
        <bgColor indexed="64"/>
      </patternFill>
    </fill>
  </fills>
  <borders count="48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51">
    <xf numFmtId="0" fontId="0" fillId="0" borderId="0" xfId="0"/>
    <xf numFmtId="14" fontId="0" fillId="0" borderId="0" xfId="0" applyNumberFormat="1"/>
    <xf numFmtId="0" fontId="4" fillId="2" borderId="0" xfId="0" applyFont="1" applyFill="1"/>
    <xf numFmtId="0" fontId="0" fillId="0" borderId="0" xfId="0" pivotButton="1"/>
    <xf numFmtId="164" fontId="0" fillId="0" borderId="0" xfId="0" applyNumberFormat="1"/>
    <xf numFmtId="0" fontId="2" fillId="2" borderId="1" xfId="0" applyFont="1" applyFill="1" applyBorder="1"/>
    <xf numFmtId="0" fontId="2" fillId="2" borderId="2" xfId="0" applyFont="1" applyFill="1" applyBorder="1"/>
    <xf numFmtId="0" fontId="2" fillId="2" borderId="3" xfId="0" applyFont="1" applyFill="1" applyBorder="1"/>
    <xf numFmtId="0" fontId="5" fillId="0" borderId="0" xfId="0" applyFont="1" applyAlignment="1">
      <alignment horizontal="centerContinuous"/>
    </xf>
    <xf numFmtId="0" fontId="3" fillId="0" borderId="4" xfId="0" applyFont="1" applyBorder="1"/>
    <xf numFmtId="0" fontId="0" fillId="0" borderId="0" xfId="0" applyAlignment="1">
      <alignment horizontal="centerContinuous"/>
    </xf>
    <xf numFmtId="0" fontId="6" fillId="0" borderId="0" xfId="0" applyFont="1" applyAlignment="1">
      <alignment horizontal="centerContinuous"/>
    </xf>
    <xf numFmtId="0" fontId="7" fillId="0" borderId="0" xfId="0" applyFont="1" applyAlignment="1">
      <alignment horizontal="centerContinuous"/>
    </xf>
    <xf numFmtId="0" fontId="3" fillId="0" borderId="5" xfId="0" applyFont="1" applyBorder="1"/>
    <xf numFmtId="0" fontId="3" fillId="0" borderId="6" xfId="0" applyFont="1" applyBorder="1"/>
    <xf numFmtId="164" fontId="0" fillId="0" borderId="0" xfId="1" applyFont="1"/>
    <xf numFmtId="165" fontId="0" fillId="0" borderId="0" xfId="0" applyNumberFormat="1"/>
    <xf numFmtId="0" fontId="3" fillId="0" borderId="0" xfId="0" applyFont="1"/>
    <xf numFmtId="0" fontId="0" fillId="0" borderId="8" xfId="0" applyBorder="1"/>
    <xf numFmtId="0" fontId="3" fillId="0" borderId="7" xfId="0" applyFont="1" applyBorder="1"/>
    <xf numFmtId="164" fontId="0" fillId="0" borderId="0" xfId="1" quotePrefix="1" applyFont="1"/>
    <xf numFmtId="164" fontId="0" fillId="0" borderId="0" xfId="1" applyFont="1" applyBorder="1"/>
    <xf numFmtId="0" fontId="3" fillId="0" borderId="13" xfId="0" applyFont="1" applyBorder="1"/>
    <xf numFmtId="0" fontId="3" fillId="0" borderId="14" xfId="0" applyFont="1" applyBorder="1"/>
    <xf numFmtId="164" fontId="3" fillId="0" borderId="14" xfId="1" applyFont="1" applyBorder="1"/>
    <xf numFmtId="164" fontId="3" fillId="0" borderId="15" xfId="1" applyFont="1" applyBorder="1"/>
    <xf numFmtId="0" fontId="0" fillId="0" borderId="4" xfId="0" applyBorder="1"/>
    <xf numFmtId="164" fontId="0" fillId="0" borderId="4" xfId="1" quotePrefix="1" applyFont="1" applyBorder="1"/>
    <xf numFmtId="165" fontId="0" fillId="0" borderId="4" xfId="0" applyNumberFormat="1" applyBorder="1"/>
    <xf numFmtId="164" fontId="3" fillId="0" borderId="8" xfId="1" quotePrefix="1" applyFont="1" applyBorder="1"/>
    <xf numFmtId="164" fontId="0" fillId="0" borderId="4" xfId="1" applyFont="1" applyBorder="1"/>
    <xf numFmtId="164" fontId="0" fillId="0" borderId="0" xfId="1" quotePrefix="1" applyFont="1" applyBorder="1"/>
    <xf numFmtId="0" fontId="8" fillId="0" borderId="14" xfId="0" applyFont="1" applyBorder="1" applyAlignment="1">
      <alignment horizontal="right"/>
    </xf>
    <xf numFmtId="165" fontId="0" fillId="0" borderId="9" xfId="0" applyNumberFormat="1" applyBorder="1"/>
    <xf numFmtId="0" fontId="5" fillId="5" borderId="13" xfId="0" applyFont="1" applyFill="1" applyBorder="1"/>
    <xf numFmtId="0" fontId="5" fillId="5" borderId="14" xfId="0" applyFont="1" applyFill="1" applyBorder="1"/>
    <xf numFmtId="0" fontId="5" fillId="5" borderId="15" xfId="0" applyFont="1" applyFill="1" applyBorder="1"/>
    <xf numFmtId="0" fontId="0" fillId="4" borderId="0" xfId="0" applyFill="1"/>
    <xf numFmtId="0" fontId="0" fillId="6" borderId="11" xfId="0" applyFill="1" applyBorder="1"/>
    <xf numFmtId="164" fontId="0" fillId="6" borderId="11" xfId="1" quotePrefix="1" applyFont="1" applyFill="1" applyBorder="1"/>
    <xf numFmtId="164" fontId="0" fillId="6" borderId="11" xfId="1" applyFont="1" applyFill="1" applyBorder="1"/>
    <xf numFmtId="0" fontId="0" fillId="6" borderId="4" xfId="0" applyFill="1" applyBorder="1"/>
    <xf numFmtId="164" fontId="0" fillId="6" borderId="4" xfId="1" applyFont="1" applyFill="1" applyBorder="1"/>
    <xf numFmtId="0" fontId="0" fillId="6" borderId="10" xfId="0" applyFill="1" applyBorder="1"/>
    <xf numFmtId="164" fontId="0" fillId="6" borderId="10" xfId="1" applyFont="1" applyFill="1" applyBorder="1"/>
    <xf numFmtId="164" fontId="0" fillId="6" borderId="12" xfId="1" applyFont="1" applyFill="1" applyBorder="1"/>
    <xf numFmtId="0" fontId="3" fillId="6" borderId="13" xfId="0" applyFont="1" applyFill="1" applyBorder="1" applyAlignment="1">
      <alignment horizontal="right"/>
    </xf>
    <xf numFmtId="164" fontId="3" fillId="6" borderId="14" xfId="0" applyNumberFormat="1" applyFont="1" applyFill="1" applyBorder="1"/>
    <xf numFmtId="164" fontId="3" fillId="6" borderId="15" xfId="0" applyNumberFormat="1" applyFont="1" applyFill="1" applyBorder="1"/>
    <xf numFmtId="164" fontId="3" fillId="7" borderId="14" xfId="0" applyNumberFormat="1" applyFont="1" applyFill="1" applyBorder="1"/>
    <xf numFmtId="164" fontId="3" fillId="7" borderId="14" xfId="1" applyFont="1" applyFill="1" applyBorder="1"/>
    <xf numFmtId="164" fontId="3" fillId="9" borderId="14" xfId="0" applyNumberFormat="1" applyFont="1" applyFill="1" applyBorder="1"/>
    <xf numFmtId="164" fontId="3" fillId="9" borderId="8" xfId="1" quotePrefix="1" applyFont="1" applyFill="1" applyBorder="1"/>
    <xf numFmtId="49" fontId="5" fillId="0" borderId="0" xfId="0" applyNumberFormat="1" applyFont="1"/>
    <xf numFmtId="0" fontId="10" fillId="0" borderId="14" xfId="0" applyFont="1" applyBorder="1"/>
    <xf numFmtId="164" fontId="0" fillId="0" borderId="11" xfId="1" applyFont="1" applyBorder="1"/>
    <xf numFmtId="0" fontId="0" fillId="0" borderId="21" xfId="0" applyBorder="1"/>
    <xf numFmtId="164" fontId="3" fillId="8" borderId="15" xfId="1" applyFont="1" applyFill="1" applyBorder="1"/>
    <xf numFmtId="164" fontId="3" fillId="11" borderId="14" xfId="1" applyFont="1" applyFill="1" applyBorder="1"/>
    <xf numFmtId="164" fontId="3" fillId="12" borderId="14" xfId="1" applyFont="1" applyFill="1" applyBorder="1"/>
    <xf numFmtId="0" fontId="3" fillId="0" borderId="14" xfId="0" applyFont="1" applyBorder="1" applyAlignment="1">
      <alignment horizontal="right"/>
    </xf>
    <xf numFmtId="0" fontId="3" fillId="0" borderId="13" xfId="0" applyFont="1" applyBorder="1" applyAlignment="1">
      <alignment horizontal="right"/>
    </xf>
    <xf numFmtId="0" fontId="3" fillId="0" borderId="16" xfId="0" applyFont="1" applyBorder="1" applyAlignment="1">
      <alignment horizontal="right"/>
    </xf>
    <xf numFmtId="0" fontId="3" fillId="0" borderId="17" xfId="0" applyFont="1" applyBorder="1" applyAlignment="1">
      <alignment horizontal="right"/>
    </xf>
    <xf numFmtId="164" fontId="3" fillId="0" borderId="14" xfId="1" applyFont="1" applyBorder="1" applyAlignment="1">
      <alignment horizontal="right"/>
    </xf>
    <xf numFmtId="164" fontId="3" fillId="0" borderId="15" xfId="1" applyFont="1" applyBorder="1" applyAlignment="1">
      <alignment horizontal="right"/>
    </xf>
    <xf numFmtId="164" fontId="3" fillId="0" borderId="17" xfId="1" applyFont="1" applyBorder="1" applyAlignment="1">
      <alignment horizontal="right"/>
    </xf>
    <xf numFmtId="164" fontId="3" fillId="0" borderId="18" xfId="1" applyFont="1" applyBorder="1" applyAlignment="1">
      <alignment horizontal="right"/>
    </xf>
    <xf numFmtId="0" fontId="10" fillId="0" borderId="14" xfId="0" applyFont="1" applyBorder="1" applyAlignment="1">
      <alignment horizontal="right"/>
    </xf>
    <xf numFmtId="164" fontId="3" fillId="11" borderId="14" xfId="1" applyFont="1" applyFill="1" applyBorder="1" applyAlignment="1">
      <alignment horizontal="right"/>
    </xf>
    <xf numFmtId="164" fontId="3" fillId="12" borderId="14" xfId="1" applyFont="1" applyFill="1" applyBorder="1" applyAlignment="1">
      <alignment horizontal="right"/>
    </xf>
    <xf numFmtId="164" fontId="3" fillId="7" borderId="14" xfId="1" applyFont="1" applyFill="1" applyBorder="1" applyAlignment="1">
      <alignment horizontal="right"/>
    </xf>
    <xf numFmtId="164" fontId="3" fillId="8" borderId="14" xfId="1" applyFont="1" applyFill="1" applyBorder="1" applyAlignment="1">
      <alignment horizontal="right"/>
    </xf>
    <xf numFmtId="164" fontId="3" fillId="13" borderId="14" xfId="0" applyNumberFormat="1" applyFont="1" applyFill="1" applyBorder="1"/>
    <xf numFmtId="0" fontId="3" fillId="14" borderId="13" xfId="0" applyFont="1" applyFill="1" applyBorder="1" applyAlignment="1">
      <alignment horizontal="right"/>
    </xf>
    <xf numFmtId="0" fontId="10" fillId="14" borderId="14" xfId="0" applyFont="1" applyFill="1" applyBorder="1" applyAlignment="1">
      <alignment horizontal="right"/>
    </xf>
    <xf numFmtId="0" fontId="8" fillId="14" borderId="14" xfId="0" applyFont="1" applyFill="1" applyBorder="1" applyAlignment="1">
      <alignment horizontal="right"/>
    </xf>
    <xf numFmtId="164" fontId="3" fillId="14" borderId="14" xfId="1" applyFont="1" applyFill="1" applyBorder="1" applyAlignment="1">
      <alignment horizontal="right"/>
    </xf>
    <xf numFmtId="164" fontId="3" fillId="14" borderId="15" xfId="1" applyFont="1" applyFill="1" applyBorder="1" applyAlignment="1">
      <alignment horizontal="right"/>
    </xf>
    <xf numFmtId="0" fontId="3" fillId="5" borderId="7" xfId="0" applyFont="1" applyFill="1" applyBorder="1"/>
    <xf numFmtId="0" fontId="3" fillId="5" borderId="8" xfId="0" applyFont="1" applyFill="1" applyBorder="1"/>
    <xf numFmtId="0" fontId="3" fillId="5" borderId="9" xfId="0" applyFont="1" applyFill="1" applyBorder="1"/>
    <xf numFmtId="0" fontId="11" fillId="4" borderId="0" xfId="0" applyFont="1" applyFill="1"/>
    <xf numFmtId="0" fontId="3" fillId="14" borderId="14" xfId="0" applyFont="1" applyFill="1" applyBorder="1"/>
    <xf numFmtId="0" fontId="10" fillId="14" borderId="13" xfId="0" applyFont="1" applyFill="1" applyBorder="1"/>
    <xf numFmtId="164" fontId="3" fillId="14" borderId="14" xfId="1" applyFont="1" applyFill="1" applyBorder="1"/>
    <xf numFmtId="164" fontId="3" fillId="14" borderId="15" xfId="1" applyFont="1" applyFill="1" applyBorder="1"/>
    <xf numFmtId="0" fontId="13" fillId="4" borderId="0" xfId="0" applyFont="1" applyFill="1" applyAlignment="1">
      <alignment horizontal="center"/>
    </xf>
    <xf numFmtId="0" fontId="5" fillId="5" borderId="13" xfId="0" applyFont="1" applyFill="1" applyBorder="1" applyAlignment="1">
      <alignment horizontal="center"/>
    </xf>
    <xf numFmtId="0" fontId="0" fillId="6" borderId="20" xfId="0" applyFill="1" applyBorder="1"/>
    <xf numFmtId="0" fontId="0" fillId="6" borderId="24" xfId="0" applyFill="1" applyBorder="1"/>
    <xf numFmtId="0" fontId="0" fillId="6" borderId="25" xfId="0" applyFill="1" applyBorder="1"/>
    <xf numFmtId="0" fontId="0" fillId="6" borderId="7" xfId="0" applyFill="1" applyBorder="1"/>
    <xf numFmtId="0" fontId="0" fillId="6" borderId="14" xfId="0" applyFill="1" applyBorder="1" applyAlignment="1">
      <alignment vertical="center"/>
    </xf>
    <xf numFmtId="164" fontId="0" fillId="6" borderId="14" xfId="1" applyFont="1" applyFill="1" applyBorder="1" applyAlignment="1">
      <alignment vertical="center"/>
    </xf>
    <xf numFmtId="0" fontId="3" fillId="6" borderId="26" xfId="0" applyFont="1" applyFill="1" applyBorder="1"/>
    <xf numFmtId="164" fontId="3" fillId="6" borderId="14" xfId="1" applyFont="1" applyFill="1" applyBorder="1"/>
    <xf numFmtId="164" fontId="0" fillId="6" borderId="14" xfId="1" applyFont="1" applyFill="1" applyBorder="1"/>
    <xf numFmtId="164" fontId="2" fillId="15" borderId="14" xfId="0" applyNumberFormat="1" applyFont="1" applyFill="1" applyBorder="1"/>
    <xf numFmtId="0" fontId="0" fillId="6" borderId="15" xfId="0" applyFill="1" applyBorder="1"/>
    <xf numFmtId="0" fontId="3" fillId="4" borderId="0" xfId="0" applyFont="1" applyFill="1"/>
    <xf numFmtId="164" fontId="3" fillId="4" borderId="0" xfId="1" applyFont="1" applyFill="1" applyBorder="1"/>
    <xf numFmtId="164" fontId="0" fillId="4" borderId="0" xfId="1" applyFont="1" applyFill="1" applyBorder="1"/>
    <xf numFmtId="164" fontId="0" fillId="4" borderId="0" xfId="0" applyNumberFormat="1" applyFill="1"/>
    <xf numFmtId="0" fontId="3" fillId="5" borderId="16" xfId="0" applyFont="1" applyFill="1" applyBorder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3" fillId="5" borderId="27" xfId="0" applyFont="1" applyFill="1" applyBorder="1" applyAlignment="1">
      <alignment horizontal="center"/>
    </xf>
    <xf numFmtId="0" fontId="0" fillId="6" borderId="26" xfId="0" applyFill="1" applyBorder="1"/>
    <xf numFmtId="0" fontId="0" fillId="6" borderId="14" xfId="0" applyFill="1" applyBorder="1"/>
    <xf numFmtId="0" fontId="0" fillId="6" borderId="0" xfId="0" applyFill="1"/>
    <xf numFmtId="0" fontId="3" fillId="6" borderId="0" xfId="0" applyFont="1" applyFill="1"/>
    <xf numFmtId="164" fontId="3" fillId="6" borderId="0" xfId="1" applyFont="1" applyFill="1" applyBorder="1"/>
    <xf numFmtId="164" fontId="0" fillId="6" borderId="0" xfId="1" applyFont="1" applyFill="1" applyBorder="1"/>
    <xf numFmtId="0" fontId="3" fillId="6" borderId="7" xfId="0" applyFont="1" applyFill="1" applyBorder="1" applyAlignment="1">
      <alignment vertical="center"/>
    </xf>
    <xf numFmtId="0" fontId="0" fillId="6" borderId="13" xfId="0" applyFill="1" applyBorder="1"/>
    <xf numFmtId="164" fontId="0" fillId="6" borderId="26" xfId="1" applyFont="1" applyFill="1" applyBorder="1"/>
    <xf numFmtId="0" fontId="0" fillId="6" borderId="31" xfId="0" applyFill="1" applyBorder="1"/>
    <xf numFmtId="0" fontId="0" fillId="6" borderId="12" xfId="0" applyFill="1" applyBorder="1"/>
    <xf numFmtId="0" fontId="3" fillId="6" borderId="14" xfId="0" applyFont="1" applyFill="1" applyBorder="1"/>
    <xf numFmtId="4" fontId="0" fillId="0" borderId="0" xfId="0" applyNumberFormat="1"/>
    <xf numFmtId="0" fontId="2" fillId="16" borderId="13" xfId="0" applyFont="1" applyFill="1" applyBorder="1" applyAlignment="1">
      <alignment horizontal="center"/>
    </xf>
    <xf numFmtId="0" fontId="2" fillId="16" borderId="14" xfId="0" applyFont="1" applyFill="1" applyBorder="1" applyAlignment="1">
      <alignment horizontal="center"/>
    </xf>
    <xf numFmtId="0" fontId="2" fillId="16" borderId="18" xfId="0" applyFont="1" applyFill="1" applyBorder="1" applyAlignment="1">
      <alignment horizontal="center"/>
    </xf>
    <xf numFmtId="0" fontId="2" fillId="16" borderId="0" xfId="0" applyFont="1" applyFill="1" applyAlignment="1">
      <alignment horizontal="center"/>
    </xf>
    <xf numFmtId="0" fontId="3" fillId="6" borderId="13" xfId="0" applyFont="1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164" fontId="0" fillId="6" borderId="14" xfId="1" applyFont="1" applyFill="1" applyBorder="1" applyAlignment="1">
      <alignment horizontal="right"/>
    </xf>
    <xf numFmtId="0" fontId="0" fillId="6" borderId="32" xfId="0" applyFill="1" applyBorder="1" applyAlignment="1">
      <alignment horizontal="center"/>
    </xf>
    <xf numFmtId="164" fontId="0" fillId="6" borderId="32" xfId="1" applyFont="1" applyFill="1" applyBorder="1" applyAlignment="1">
      <alignment horizontal="right"/>
    </xf>
    <xf numFmtId="0" fontId="0" fillId="6" borderId="33" xfId="0" applyFill="1" applyBorder="1" applyAlignment="1">
      <alignment horizontal="center"/>
    </xf>
    <xf numFmtId="164" fontId="0" fillId="6" borderId="33" xfId="1" applyFont="1" applyFill="1" applyBorder="1" applyAlignment="1">
      <alignment horizontal="right"/>
    </xf>
    <xf numFmtId="164" fontId="3" fillId="13" borderId="15" xfId="1" applyFont="1" applyFill="1" applyBorder="1" applyAlignment="1">
      <alignment horizontal="right"/>
    </xf>
    <xf numFmtId="0" fontId="11" fillId="0" borderId="0" xfId="0" applyFont="1"/>
    <xf numFmtId="0" fontId="3" fillId="13" borderId="27" xfId="0" applyFont="1" applyFill="1" applyBorder="1"/>
    <xf numFmtId="0" fontId="3" fillId="7" borderId="27" xfId="0" applyFont="1" applyFill="1" applyBorder="1"/>
    <xf numFmtId="0" fontId="3" fillId="4" borderId="27" xfId="0" applyFont="1" applyFill="1" applyBorder="1"/>
    <xf numFmtId="0" fontId="3" fillId="17" borderId="27" xfId="0" applyFont="1" applyFill="1" applyBorder="1" applyAlignment="1">
      <alignment horizontal="left"/>
    </xf>
    <xf numFmtId="0" fontId="3" fillId="9" borderId="27" xfId="0" applyFont="1" applyFill="1" applyBorder="1" applyAlignment="1">
      <alignment horizontal="left"/>
    </xf>
    <xf numFmtId="164" fontId="11" fillId="0" borderId="0" xfId="1" applyFont="1" applyAlignment="1"/>
    <xf numFmtId="164" fontId="3" fillId="4" borderId="27" xfId="1" applyFont="1" applyFill="1" applyBorder="1"/>
    <xf numFmtId="0" fontId="9" fillId="0" borderId="0" xfId="0" applyFont="1"/>
    <xf numFmtId="164" fontId="3" fillId="4" borderId="27" xfId="1" applyFont="1" applyFill="1" applyBorder="1" applyAlignment="1">
      <alignment horizontal="left"/>
    </xf>
    <xf numFmtId="0" fontId="3" fillId="18" borderId="27" xfId="0" applyFont="1" applyFill="1" applyBorder="1"/>
    <xf numFmtId="0" fontId="3" fillId="19" borderId="27" xfId="0" applyFont="1" applyFill="1" applyBorder="1"/>
    <xf numFmtId="0" fontId="3" fillId="0" borderId="15" xfId="0" applyFont="1" applyBorder="1" applyAlignment="1">
      <alignment horizontal="right"/>
    </xf>
    <xf numFmtId="165" fontId="3" fillId="0" borderId="14" xfId="0" applyNumberFormat="1" applyFont="1" applyBorder="1" applyAlignment="1">
      <alignment horizontal="right"/>
    </xf>
    <xf numFmtId="0" fontId="0" fillId="6" borderId="31" xfId="0" applyFill="1" applyBorder="1" applyAlignment="1">
      <alignment horizontal="center"/>
    </xf>
    <xf numFmtId="164" fontId="0" fillId="6" borderId="12" xfId="1" applyFont="1" applyFill="1" applyBorder="1" applyAlignment="1">
      <alignment vertical="center"/>
    </xf>
    <xf numFmtId="164" fontId="0" fillId="6" borderId="18" xfId="1" applyFont="1" applyFill="1" applyBorder="1" applyAlignment="1">
      <alignment vertical="center"/>
    </xf>
    <xf numFmtId="0" fontId="0" fillId="6" borderId="36" xfId="0" applyFill="1" applyBorder="1" applyAlignment="1">
      <alignment horizontal="center"/>
    </xf>
    <xf numFmtId="0" fontId="0" fillId="0" borderId="25" xfId="0" applyBorder="1"/>
    <xf numFmtId="164" fontId="0" fillId="0" borderId="24" xfId="1" applyFont="1" applyBorder="1"/>
    <xf numFmtId="164" fontId="0" fillId="0" borderId="11" xfId="1" applyFont="1" applyBorder="1" applyAlignment="1">
      <alignment horizontal="left"/>
    </xf>
    <xf numFmtId="164" fontId="0" fillId="6" borderId="32" xfId="1" applyFont="1" applyFill="1" applyBorder="1"/>
    <xf numFmtId="0" fontId="0" fillId="6" borderId="32" xfId="0" applyFill="1" applyBorder="1"/>
    <xf numFmtId="0" fontId="0" fillId="6" borderId="37" xfId="0" applyFill="1" applyBorder="1"/>
    <xf numFmtId="0" fontId="0" fillId="6" borderId="38" xfId="0" applyFill="1" applyBorder="1"/>
    <xf numFmtId="164" fontId="0" fillId="0" borderId="42" xfId="1" applyFont="1" applyBorder="1"/>
    <xf numFmtId="164" fontId="0" fillId="0" borderId="40" xfId="1" applyFont="1" applyBorder="1"/>
    <xf numFmtId="164" fontId="0" fillId="0" borderId="41" xfId="1" applyFont="1" applyBorder="1"/>
    <xf numFmtId="0" fontId="10" fillId="10" borderId="42" xfId="0" applyFont="1" applyFill="1" applyBorder="1"/>
    <xf numFmtId="164" fontId="0" fillId="0" borderId="42" xfId="0" applyNumberFormat="1" applyBorder="1"/>
    <xf numFmtId="0" fontId="0" fillId="0" borderId="42" xfId="0" applyBorder="1"/>
    <xf numFmtId="164" fontId="3" fillId="0" borderId="42" xfId="0" applyNumberFormat="1" applyFont="1" applyBorder="1"/>
    <xf numFmtId="0" fontId="3" fillId="3" borderId="42" xfId="0" applyFont="1" applyFill="1" applyBorder="1"/>
    <xf numFmtId="0" fontId="0" fillId="14" borderId="40" xfId="0" applyFill="1" applyBorder="1"/>
    <xf numFmtId="0" fontId="0" fillId="14" borderId="41" xfId="0" applyFill="1" applyBorder="1"/>
    <xf numFmtId="0" fontId="0" fillId="14" borderId="42" xfId="0" applyFill="1" applyBorder="1"/>
    <xf numFmtId="164" fontId="0" fillId="14" borderId="42" xfId="1" applyFont="1" applyFill="1" applyBorder="1"/>
    <xf numFmtId="164" fontId="0" fillId="14" borderId="40" xfId="1" applyFont="1" applyFill="1" applyBorder="1"/>
    <xf numFmtId="164" fontId="0" fillId="14" borderId="41" xfId="1" applyFont="1" applyFill="1" applyBorder="1"/>
    <xf numFmtId="0" fontId="0" fillId="0" borderId="40" xfId="0" applyBorder="1"/>
    <xf numFmtId="165" fontId="0" fillId="0" borderId="40" xfId="0" applyNumberFormat="1" applyBorder="1"/>
    <xf numFmtId="0" fontId="0" fillId="0" borderId="41" xfId="0" applyBorder="1"/>
    <xf numFmtId="165" fontId="0" fillId="0" borderId="42" xfId="0" applyNumberFormat="1" applyBorder="1"/>
    <xf numFmtId="165" fontId="10" fillId="10" borderId="42" xfId="0" applyNumberFormat="1" applyFont="1" applyFill="1" applyBorder="1"/>
    <xf numFmtId="165" fontId="0" fillId="0" borderId="41" xfId="0" applyNumberFormat="1" applyBorder="1"/>
    <xf numFmtId="0" fontId="15" fillId="0" borderId="41" xfId="0" applyFont="1" applyBorder="1"/>
    <xf numFmtId="0" fontId="8" fillId="0" borderId="41" xfId="0" applyFont="1" applyBorder="1"/>
    <xf numFmtId="0" fontId="3" fillId="20" borderId="42" xfId="0" applyFont="1" applyFill="1" applyBorder="1"/>
    <xf numFmtId="164" fontId="0" fillId="0" borderId="42" xfId="1" quotePrefix="1" applyFont="1" applyBorder="1"/>
    <xf numFmtId="164" fontId="0" fillId="6" borderId="42" xfId="1" applyFont="1" applyFill="1" applyBorder="1"/>
    <xf numFmtId="0" fontId="0" fillId="6" borderId="42" xfId="0" applyFill="1" applyBorder="1"/>
    <xf numFmtId="0" fontId="0" fillId="0" borderId="43" xfId="0" applyBorder="1"/>
    <xf numFmtId="164" fontId="0" fillId="6" borderId="30" xfId="1" applyFont="1" applyFill="1" applyBorder="1" applyAlignment="1">
      <alignment vertical="center"/>
    </xf>
    <xf numFmtId="0" fontId="0" fillId="6" borderId="41" xfId="0" applyFill="1" applyBorder="1"/>
    <xf numFmtId="164" fontId="0" fillId="6" borderId="41" xfId="1" applyFont="1" applyFill="1" applyBorder="1"/>
    <xf numFmtId="0" fontId="0" fillId="6" borderId="13" xfId="0" applyFill="1" applyBorder="1" applyAlignment="1">
      <alignment vertical="center"/>
    </xf>
    <xf numFmtId="0" fontId="8" fillId="0" borderId="0" xfId="0" applyFont="1" applyAlignment="1">
      <alignment horizontal="right"/>
    </xf>
    <xf numFmtId="0" fontId="3" fillId="7" borderId="14" xfId="0" applyFont="1" applyFill="1" applyBorder="1"/>
    <xf numFmtId="0" fontId="5" fillId="5" borderId="14" xfId="0" applyFont="1" applyFill="1" applyBorder="1" applyAlignment="1">
      <alignment horizontal="center"/>
    </xf>
    <xf numFmtId="0" fontId="5" fillId="5" borderId="15" xfId="0" applyFont="1" applyFill="1" applyBorder="1" applyAlignment="1">
      <alignment horizontal="center"/>
    </xf>
    <xf numFmtId="164" fontId="3" fillId="0" borderId="0" xfId="1" quotePrefix="1" applyFont="1" applyBorder="1"/>
    <xf numFmtId="0" fontId="3" fillId="0" borderId="40" xfId="0" applyFont="1" applyBorder="1"/>
    <xf numFmtId="164" fontId="0" fillId="0" borderId="40" xfId="1" quotePrefix="1" applyFont="1" applyBorder="1"/>
    <xf numFmtId="0" fontId="3" fillId="7" borderId="13" xfId="0" applyFont="1" applyFill="1" applyBorder="1"/>
    <xf numFmtId="0" fontId="0" fillId="7" borderId="14" xfId="0" applyFill="1" applyBorder="1"/>
    <xf numFmtId="0" fontId="8" fillId="7" borderId="14" xfId="0" applyFont="1" applyFill="1" applyBorder="1" applyAlignment="1">
      <alignment horizontal="right"/>
    </xf>
    <xf numFmtId="164" fontId="3" fillId="7" borderId="14" xfId="1" quotePrefix="1" applyFont="1" applyFill="1" applyBorder="1"/>
    <xf numFmtId="165" fontId="0" fillId="7" borderId="15" xfId="0" applyNumberFormat="1" applyFill="1" applyBorder="1"/>
    <xf numFmtId="0" fontId="0" fillId="6" borderId="31" xfId="0" applyFill="1" applyBorder="1" applyAlignment="1">
      <alignment horizontal="center" vertical="center"/>
    </xf>
    <xf numFmtId="0" fontId="3" fillId="21" borderId="13" xfId="0" applyFont="1" applyFill="1" applyBorder="1"/>
    <xf numFmtId="0" fontId="0" fillId="21" borderId="14" xfId="0" applyFill="1" applyBorder="1"/>
    <xf numFmtId="0" fontId="8" fillId="21" borderId="14" xfId="0" applyFont="1" applyFill="1" applyBorder="1" applyAlignment="1">
      <alignment horizontal="right"/>
    </xf>
    <xf numFmtId="164" fontId="3" fillId="21" borderId="14" xfId="1" quotePrefix="1" applyFont="1" applyFill="1" applyBorder="1"/>
    <xf numFmtId="165" fontId="0" fillId="21" borderId="15" xfId="0" applyNumberFormat="1" applyFill="1" applyBorder="1"/>
    <xf numFmtId="0" fontId="0" fillId="6" borderId="36" xfId="0" applyFill="1" applyBorder="1" applyAlignment="1">
      <alignment vertical="center"/>
    </xf>
    <xf numFmtId="164" fontId="0" fillId="6" borderId="17" xfId="1" applyFont="1" applyFill="1" applyBorder="1" applyAlignment="1">
      <alignment vertical="center"/>
    </xf>
    <xf numFmtId="0" fontId="5" fillId="5" borderId="13" xfId="0" applyFont="1" applyFill="1" applyBorder="1" applyAlignment="1">
      <alignment horizontal="left"/>
    </xf>
    <xf numFmtId="0" fontId="17" fillId="4" borderId="0" xfId="0" applyFont="1" applyFill="1"/>
    <xf numFmtId="0" fontId="3" fillId="4" borderId="22" xfId="0" applyFont="1" applyFill="1" applyBorder="1" applyAlignment="1">
      <alignment horizontal="center" vertical="center"/>
    </xf>
    <xf numFmtId="0" fontId="0" fillId="6" borderId="44" xfId="0" applyFill="1" applyBorder="1"/>
    <xf numFmtId="0" fontId="0" fillId="6" borderId="45" xfId="0" applyFill="1" applyBorder="1"/>
    <xf numFmtId="164" fontId="0" fillId="6" borderId="45" xfId="1" applyFont="1" applyFill="1" applyBorder="1" applyAlignment="1">
      <alignment vertical="center"/>
    </xf>
    <xf numFmtId="0" fontId="3" fillId="6" borderId="31" xfId="0" applyFont="1" applyFill="1" applyBorder="1"/>
    <xf numFmtId="164" fontId="3" fillId="6" borderId="12" xfId="1" applyFont="1" applyFill="1" applyBorder="1"/>
    <xf numFmtId="164" fontId="3" fillId="21" borderId="15" xfId="1" quotePrefix="1" applyFont="1" applyFill="1" applyBorder="1"/>
    <xf numFmtId="10" fontId="0" fillId="0" borderId="0" xfId="0" applyNumberFormat="1"/>
    <xf numFmtId="0" fontId="18" fillId="0" borderId="42" xfId="0" applyFont="1" applyBorder="1"/>
    <xf numFmtId="166" fontId="0" fillId="0" borderId="0" xfId="0" applyNumberFormat="1"/>
    <xf numFmtId="164" fontId="1" fillId="0" borderId="42" xfId="1" quotePrefix="1" applyFont="1" applyBorder="1"/>
    <xf numFmtId="0" fontId="3" fillId="3" borderId="13" xfId="0" applyFont="1" applyFill="1" applyBorder="1"/>
    <xf numFmtId="0" fontId="3" fillId="3" borderId="27" xfId="0" applyFont="1" applyFill="1" applyBorder="1"/>
    <xf numFmtId="164" fontId="1" fillId="0" borderId="4" xfId="1" quotePrefix="1" applyFont="1" applyBorder="1"/>
    <xf numFmtId="0" fontId="15" fillId="0" borderId="0" xfId="0" applyFont="1"/>
    <xf numFmtId="0" fontId="8" fillId="0" borderId="0" xfId="0" applyFont="1"/>
    <xf numFmtId="0" fontId="12" fillId="0" borderId="19" xfId="0" applyFont="1" applyBorder="1" applyAlignment="1">
      <alignment horizontal="center"/>
    </xf>
    <xf numFmtId="0" fontId="11" fillId="4" borderId="0" xfId="0" applyFont="1" applyFill="1" applyAlignment="1">
      <alignment horizontal="center"/>
    </xf>
    <xf numFmtId="0" fontId="3" fillId="4" borderId="22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0" fillId="6" borderId="16" xfId="0" applyFill="1" applyBorder="1" applyAlignment="1">
      <alignment horizontal="center" vertical="center"/>
    </xf>
    <xf numFmtId="0" fontId="0" fillId="6" borderId="35" xfId="0" applyFill="1" applyBorder="1" applyAlignment="1">
      <alignment horizontal="center" vertical="center"/>
    </xf>
    <xf numFmtId="164" fontId="0" fillId="6" borderId="17" xfId="1" applyFont="1" applyFill="1" applyBorder="1" applyAlignment="1">
      <alignment horizontal="center" vertical="center"/>
    </xf>
    <xf numFmtId="164" fontId="0" fillId="6" borderId="30" xfId="1" applyFont="1" applyFill="1" applyBorder="1" applyAlignment="1">
      <alignment horizontal="center" vertical="center"/>
    </xf>
    <xf numFmtId="164" fontId="0" fillId="6" borderId="12" xfId="1" applyFont="1" applyFill="1" applyBorder="1" applyAlignment="1">
      <alignment horizontal="center" vertical="center"/>
    </xf>
    <xf numFmtId="0" fontId="0" fillId="6" borderId="34" xfId="0" applyFill="1" applyBorder="1" applyAlignment="1">
      <alignment horizontal="center" vertical="center"/>
    </xf>
    <xf numFmtId="0" fontId="3" fillId="4" borderId="23" xfId="0" applyFont="1" applyFill="1" applyBorder="1" applyAlignment="1">
      <alignment horizontal="center" vertical="center"/>
    </xf>
    <xf numFmtId="0" fontId="0" fillId="6" borderId="25" xfId="0" applyFill="1" applyBorder="1" applyAlignment="1">
      <alignment horizontal="center" vertical="center"/>
    </xf>
    <xf numFmtId="0" fontId="0" fillId="6" borderId="29" xfId="0" applyFill="1" applyBorder="1" applyAlignment="1">
      <alignment horizontal="center" vertical="center"/>
    </xf>
    <xf numFmtId="164" fontId="0" fillId="6" borderId="10" xfId="1" applyFont="1" applyFill="1" applyBorder="1" applyAlignment="1">
      <alignment horizontal="center" vertical="center"/>
    </xf>
    <xf numFmtId="0" fontId="0" fillId="6" borderId="46" xfId="0" applyFill="1" applyBorder="1" applyAlignment="1">
      <alignment horizontal="center" vertical="center"/>
    </xf>
    <xf numFmtId="0" fontId="0" fillId="6" borderId="47" xfId="0" applyFill="1" applyBorder="1" applyAlignment="1">
      <alignment horizontal="center" vertical="center"/>
    </xf>
    <xf numFmtId="164" fontId="0" fillId="6" borderId="22" xfId="1" applyFont="1" applyFill="1" applyBorder="1" applyAlignment="1">
      <alignment horizontal="center" vertical="center"/>
    </xf>
    <xf numFmtId="164" fontId="0" fillId="6" borderId="28" xfId="1" applyFont="1" applyFill="1" applyBorder="1" applyAlignment="1">
      <alignment horizontal="center" vertical="center"/>
    </xf>
    <xf numFmtId="0" fontId="9" fillId="4" borderId="0" xfId="0" applyFont="1" applyFill="1" applyAlignment="1">
      <alignment horizontal="center"/>
    </xf>
    <xf numFmtId="0" fontId="0" fillId="6" borderId="22" xfId="0" applyFill="1" applyBorder="1" applyAlignment="1">
      <alignment horizontal="center" vertical="center"/>
    </xf>
    <xf numFmtId="0" fontId="0" fillId="6" borderId="23" xfId="0" applyFill="1" applyBorder="1" applyAlignment="1">
      <alignment horizontal="center" vertical="center"/>
    </xf>
    <xf numFmtId="0" fontId="0" fillId="6" borderId="28" xfId="0" applyFill="1" applyBorder="1" applyAlignment="1">
      <alignment horizontal="center" vertical="center"/>
    </xf>
    <xf numFmtId="164" fontId="0" fillId="6" borderId="23" xfId="1" applyFont="1" applyFill="1" applyBorder="1" applyAlignment="1">
      <alignment horizontal="center" vertical="center"/>
    </xf>
    <xf numFmtId="0" fontId="11" fillId="0" borderId="39" xfId="0" applyFont="1" applyBorder="1" applyAlignment="1">
      <alignment horizontal="center"/>
    </xf>
    <xf numFmtId="0" fontId="9" fillId="0" borderId="39" xfId="0" applyFont="1" applyBorder="1" applyAlignment="1">
      <alignment horizontal="center"/>
    </xf>
  </cellXfs>
  <cellStyles count="2">
    <cellStyle name="Comma" xfId="1" builtinId="3"/>
    <cellStyle name="Normal" xfId="0" builtinId="0"/>
  </cellStyles>
  <dxfs count="894">
    <dxf>
      <numFmt numFmtId="0" formatCode="General"/>
    </dxf>
    <dxf>
      <numFmt numFmtId="166" formatCode="m/d/yyyy"/>
    </dxf>
    <dxf>
      <numFmt numFmtId="166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6" formatCode="m/d/yyyy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  <dxf>
      <numFmt numFmtId="164" formatCode="_(* #,##0.00_);_(* \(#,##0.00\);_(* &quot;-&quot;??_);_(@_)"/>
    </dxf>
    <dxf>
      <font>
        <color rgb="FFC00000"/>
      </font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rgb="FFC00000"/>
      </font>
    </dxf>
    <dxf>
      <font>
        <color rgb="FFC00000"/>
      </font>
    </dxf>
    <dxf>
      <numFmt numFmtId="164" formatCode="_(* #,##0.00_);_(* \(#,##0.00\);_(* &quot;-&quot;??_);_(@_)"/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font>
        <color rgb="FFC0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m/d/yyyy"/>
    </dxf>
    <dxf>
      <numFmt numFmtId="166" formatCode="m/d/yyyy"/>
    </dxf>
    <dxf>
      <numFmt numFmtId="0" formatCode="General"/>
    </dxf>
    <dxf>
      <numFmt numFmtId="166" formatCode="m/d/yyyy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4" formatCode="#,##0.00"/>
    </dxf>
    <dxf>
      <numFmt numFmtId="4" formatCode="#,##0.00"/>
    </dxf>
    <dxf>
      <numFmt numFmtId="4" formatCode="#,##0.00"/>
    </dxf>
    <dxf>
      <numFmt numFmtId="166" formatCode="m/d/yyyy"/>
    </dxf>
    <dxf>
      <numFmt numFmtId="166" formatCode="m/d/yyyy"/>
    </dxf>
    <dxf>
      <numFmt numFmtId="166" formatCode="m/d/yyyy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  <dxf>
      <numFmt numFmtId="166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166" formatCode="m/d/yyyy"/>
    </dxf>
    <dxf>
      <numFmt numFmtId="166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2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6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openxmlformats.org/officeDocument/2006/relationships/styles" Target="styles.xml"/><Relationship Id="rId30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</xdr:row>
          <xdr:rowOff>104775</xdr:rowOff>
        </xdr:from>
        <xdr:to>
          <xdr:col>3</xdr:col>
          <xdr:colOff>123825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Credit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466725</xdr:colOff>
          <xdr:row>1</xdr:row>
          <xdr:rowOff>104775</xdr:rowOff>
        </xdr:from>
        <xdr:to>
          <xdr:col>4</xdr:col>
          <xdr:colOff>180975</xdr:colOff>
          <xdr:row>2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Detailed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523875</xdr:colOff>
          <xdr:row>1</xdr:row>
          <xdr:rowOff>95250</xdr:rowOff>
        </xdr:from>
        <xdr:to>
          <xdr:col>5</xdr:col>
          <xdr:colOff>819150</xdr:colOff>
          <xdr:row>2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Due Date Bankwise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1162050</xdr:colOff>
          <xdr:row>1</xdr:row>
          <xdr:rowOff>95250</xdr:rowOff>
        </xdr:from>
        <xdr:to>
          <xdr:col>6</xdr:col>
          <xdr:colOff>1238250</xdr:colOff>
          <xdr:row>2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Projectwise-Summary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</xdr:row>
          <xdr:rowOff>114300</xdr:rowOff>
        </xdr:from>
        <xdr:to>
          <xdr:col>8</xdr:col>
          <xdr:colOff>142875</xdr:colOff>
          <xdr:row>2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Facility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438150</xdr:colOff>
          <xdr:row>1</xdr:row>
          <xdr:rowOff>114300</xdr:rowOff>
        </xdr:from>
        <xdr:to>
          <xdr:col>10</xdr:col>
          <xdr:colOff>285750</xdr:colOff>
          <xdr:row>2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Hide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381000</xdr:colOff>
          <xdr:row>1</xdr:row>
          <xdr:rowOff>95250</xdr:rowOff>
        </xdr:from>
        <xdr:to>
          <xdr:col>1</xdr:col>
          <xdr:colOff>1047750</xdr:colOff>
          <xdr:row>2</xdr:row>
          <xdr:rowOff>133350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arhan Shaikh" refreshedDate="46197.384703356482" createdVersion="8" refreshedVersion="8" minRefreshableVersion="3" recordCount="153" xr:uid="{0D207D32-D954-485A-9278-C642C255CCBE}">
  <cacheSource type="worksheet">
    <worksheetSource name="FacilitySpace_Issued"/>
  </cacheSource>
  <cacheFields count="20">
    <cacheField name="LC Number" numFmtId="0">
      <sharedItems/>
    </cacheField>
    <cacheField name="Issue Date." numFmtId="166">
      <sharedItems containsSemiMixedTypes="0" containsNonDate="0" containsDate="1" containsString="0" minDate="2025-01-27T00:00:00" maxDate="2026-06-24T00:00:00"/>
    </cacheField>
    <cacheField name="Beneficiary" numFmtId="0">
      <sharedItems/>
    </cacheField>
    <cacheField name="Facility Space" numFmtId="0">
      <sharedItems count="9">
        <s v="MP1"/>
        <s v="KSP"/>
        <s v="Opera House"/>
        <s v="RCRC"/>
        <s v="Oceanarium"/>
        <s v="T5"/>
        <s v="CEER"/>
        <s v="Lagoon"/>
        <s v="Multipurpose" u="1"/>
      </sharedItems>
    </cacheField>
    <cacheField name="Group Company" numFmtId="0">
      <sharedItems/>
    </cacheField>
    <cacheField name="Project" numFmtId="0">
      <sharedItems count="20">
        <s v="MP1"/>
        <s v="KSP"/>
        <s v="Rabigh Power Plant"/>
        <s v="OPERA House"/>
        <s v="RCRC"/>
        <s v="ABHA"/>
        <s v="Oceanarium"/>
        <s v="CEER"/>
        <s v="ADF"/>
        <s v="JCD SPMI"/>
        <s v="Lagoon"/>
        <s v="L01-YAMMAMA"/>
        <s v="L01" u="1"/>
        <s v="KAP" u="1"/>
        <s v="Neom - The Line" u="1"/>
        <s v="IFAS - Various Projects" u="1"/>
        <s v="Old Dues" u="1"/>
        <s v="Neom - Bay Jetty" u="1"/>
        <s v="B05" u="1"/>
        <s v="KSP Finishing" u="1"/>
      </sharedItems>
    </cacheField>
    <cacheField name="Curr" numFmtId="0">
      <sharedItems/>
    </cacheField>
    <cacheField name="LC Amt(FCY)" numFmtId="0">
      <sharedItems containsSemiMixedTypes="0" containsString="0" containsNumber="1" minValue="72830.59" maxValue="67000000"/>
    </cacheField>
    <cacheField name="Rate" numFmtId="0">
      <sharedItems containsSemiMixedTypes="0" containsString="0" containsNumber="1" minValue="1" maxValue="4.6399999999999997"/>
    </cacheField>
    <cacheField name="LC Amt(SAR)" numFmtId="0">
      <sharedItems containsSemiMixedTypes="0" containsString="0" containsNumber="1" minValue="101623.2" maxValue="67000000"/>
    </cacheField>
    <cacheField name="LC Settled" numFmtId="0">
      <sharedItems containsSemiMixedTypes="0" containsString="0" containsNumber="1" minValue="0" maxValue="50000000"/>
    </cacheField>
    <cacheField name="Subtraction" numFmtId="0">
      <sharedItems containsSemiMixedTypes="0" containsString="0" containsNumber="1" minValue="0" maxValue="42000000"/>
    </cacheField>
    <cacheField name="Pending Settlement" numFmtId="0">
      <sharedItems containsSemiMixedTypes="0" containsString="0" containsNumber="1" minValue="0" maxValue="42000000"/>
    </cacheField>
    <cacheField name="LC Balance" numFmtId="0">
      <sharedItems containsSemiMixedTypes="0" containsString="0" containsNumber="1" minValue="0" maxValue="26518417.460000001"/>
    </cacheField>
    <cacheField name="Expiry Date" numFmtId="166">
      <sharedItems containsSemiMixedTypes="0" containsNonDate="0" containsDate="1" containsString="0" minDate="2026-04-30T00:00:00" maxDate="2027-01-22T00:00:00"/>
    </cacheField>
    <cacheField name="Last Ship Date" numFmtId="166">
      <sharedItems containsSemiMixedTypes="0" containsNonDate="0" containsDate="1" containsString="0" minDate="2025-10-25T00:00:00" maxDate="2027-01-01T00:00:00"/>
    </cacheField>
    <cacheField name="Bank Name" numFmtId="0">
      <sharedItems count="7">
        <s v="SAB"/>
        <s v="Alinma"/>
        <s v="SNB"/>
        <s v="Jazira"/>
        <s v="Riyad"/>
        <s v="NBK"/>
        <s v="BAB" u="1"/>
      </sharedItems>
    </cacheField>
    <cacheField name="Lines" numFmtId="0">
      <sharedItems/>
    </cacheField>
    <cacheField name="Payment Terms" numFmtId="0">
      <sharedItems/>
    </cacheField>
    <cacheField name="Active/Cancelled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arhan Shaikh" refreshedDate="46197.38470347222" createdVersion="8" refreshedVersion="8" minRefreshableVersion="3" recordCount="20" xr:uid="{45869EA1-E8C0-44AC-B8FB-9A1B168EE136}">
  <cacheSource type="worksheet">
    <worksheetSource name="Required_Space"/>
  </cacheSource>
  <cacheFields count="2">
    <cacheField name="Project" numFmtId="0">
      <sharedItems containsBlank="1" count="28">
        <s v="Oceanarium"/>
        <s v="MP1"/>
        <s v="OPERA House"/>
        <s v="ABHA"/>
        <s v="Lagoon"/>
        <s v="RCRC" u="1"/>
        <s v="KSP" u="1"/>
        <s v="ADF" u="1"/>
        <s v="CEER2" u="1"/>
        <s v="CEER" u="1"/>
        <m u="1"/>
        <s v="Rabigh Power Plant" u="1"/>
        <s v="KAP" u="1"/>
        <s v="ADF &amp; RECC" u="1"/>
        <s v="ADF, ABS, RECC" u="1"/>
        <s v="ADF, RECC, AOC, JBP &amp; RECC" u="1"/>
        <s v="L01-YAMMAMA" u="1"/>
        <s v="L01 &amp; ADF" u="1"/>
        <s v="HO" u="1"/>
        <s v="ADF , BPJ &amp; HI" u="1"/>
        <s v="HI, AOC, JBP, JBP, L01, AOC, TSC, TSO" u="1"/>
        <s v="ADF , BPJ &amp; L01" u="1"/>
        <s v="ADF &amp; AOC" u="1"/>
        <s v="ABS" u="1"/>
        <s v="JCD SPMI" u="1"/>
        <s v="Neom - The Line" u="1"/>
        <s v="Old Dues" u="1"/>
        <s v="Seven Makkah" u="1"/>
      </sharedItems>
    </cacheField>
    <cacheField name="LC Amt(SAR)" numFmtId="164">
      <sharedItems containsSemiMixedTypes="0" containsString="0" containsNumber="1" minValue="150000" maxValue="244903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arhan Shaikh" refreshedDate="46197.384703587966" createdVersion="8" refreshedVersion="8" minRefreshableVersion="3" recordCount="5" xr:uid="{01AB415C-4B6F-41C7-9FA6-4FBC5E3AF5B0}">
  <cacheSource type="worksheet">
    <worksheetSource name="FacilitySpace_Under_Process"/>
  </cacheSource>
  <cacheFields count="24">
    <cacheField name="LC Number" numFmtId="0">
      <sharedItems containsNonDate="0" containsString="0" containsBlank="1"/>
    </cacheField>
    <cacheField name="Issue Date." numFmtId="166">
      <sharedItems containsSemiMixedTypes="0" containsNonDate="0" containsDate="1" containsString="0" minDate="2026-04-13T00:00:00" maxDate="2026-06-23T00:00:00"/>
    </cacheField>
    <cacheField name="Project Director" numFmtId="0">
      <sharedItems/>
    </cacheField>
    <cacheField name="Status" numFmtId="0">
      <sharedItems/>
    </cacheField>
    <cacheField name="Bank Name" numFmtId="0">
      <sharedItems containsBlank="1" count="9">
        <s v="Riyad"/>
        <s v="FAB"/>
        <s v="Jazira"/>
        <s v="SNB"/>
        <s v="SAB" u="1"/>
        <s v="NBK" u="1"/>
        <s v="Alinma" u="1"/>
        <m u="1"/>
        <s v="BAB" u="1"/>
      </sharedItems>
    </cacheField>
    <cacheField name="Facility Space" numFmtId="0">
      <sharedItems containsBlank="1" count="11">
        <s v="Oceanarium"/>
        <s v="CEER2"/>
        <s v="RCRC"/>
        <s v="Opera House"/>
        <s v="MP1" u="1"/>
        <s v="Lagoon" u="1"/>
        <s v="KSP" u="1"/>
        <m u="1"/>
        <s v="T5" u="1"/>
        <s v="CEER" u="1"/>
        <s v="Multipurpose" u="1"/>
      </sharedItems>
    </cacheField>
    <cacheField name="Beneficiary" numFmtId="0">
      <sharedItems/>
    </cacheField>
    <cacheField name="Group Company" numFmtId="0">
      <sharedItems/>
    </cacheField>
    <cacheField name="Project" numFmtId="0">
      <sharedItems containsBlank="1" count="28">
        <s v="Oceanarium"/>
        <s v="CEER2"/>
        <s v="RCRC"/>
        <s v="Rabigh Power Plant"/>
        <s v="ABHA" u="1"/>
        <s v="OPERA House" u="1"/>
        <s v="Lagoon" u="1"/>
        <s v="MP1" u="1"/>
        <s v="ADF" u="1"/>
        <m u="1"/>
        <s v="L01-YAMMAMA" u="1"/>
        <s v="KSP" u="1"/>
        <s v="CEER" u="1"/>
        <s v="KAP" u="1"/>
        <s v="IFAS - Various Projects" u="1"/>
        <s v="ADF &amp; RECC" u="1"/>
        <s v="L01 &amp; ADF" u="1"/>
        <s v="ADF &amp; AOC" u="1"/>
        <s v="ADF, ABS, RECC" u="1"/>
        <s v="ADF, RECC, AOC, JBP &amp; RECC" u="1"/>
        <s v="HO" u="1"/>
        <s v="ADF , BPJ &amp; HI" u="1"/>
        <s v="HI, AOC, JBP, JBP, L01, AOC, TSC, TSO" u="1"/>
        <s v="ADF , BPJ &amp; L01" u="1"/>
        <s v="ABS" u="1"/>
        <s v="JCD SPMI" u="1"/>
        <s v="Neom - The Line" u="1"/>
        <s v="Old Dues" u="1"/>
      </sharedItems>
    </cacheField>
    <cacheField name="Project Code" numFmtId="0">
      <sharedItems containsSemiMixedTypes="0" containsString="0" containsNumber="1" containsInteger="1" minValue="1020091" maxValue="1020107"/>
    </cacheField>
    <cacheField name="Curr" numFmtId="0">
      <sharedItems/>
    </cacheField>
    <cacheField name="LC Amt(FCY)" numFmtId="0">
      <sharedItems containsSemiMixedTypes="0" containsString="0" containsNumber="1" minValue="1017646" maxValue="209346521"/>
    </cacheField>
    <cacheField name="Rate" numFmtId="0">
      <sharedItems containsSemiMixedTypes="0" containsString="0" containsNumber="1" containsInteger="1" minValue="1" maxValue="1"/>
    </cacheField>
    <cacheField name="LC Amt(SAR)" numFmtId="0">
      <sharedItems containsSemiMixedTypes="0" containsString="0" containsNumber="1" minValue="1017646" maxValue="209346521"/>
    </cacheField>
    <cacheField name="Expiry Date" numFmtId="166">
      <sharedItems containsSemiMixedTypes="0" containsNonDate="0" containsDate="1" containsString="0" minDate="2026-07-31T00:00:00" maxDate="2027-02-02T00:00:00"/>
    </cacheField>
    <cacheField name="Last Ship Date" numFmtId="166">
      <sharedItems containsSemiMixedTypes="0" containsNonDate="0" containsDate="1" containsString="0" minDate="2026-07-31T00:00:00" maxDate="2027-02-02T00:00:00"/>
    </cacheField>
    <cacheField name="Lines" numFmtId="0">
      <sharedItems/>
    </cacheField>
    <cacheField name="Payment Terms" numFmtId="0">
      <sharedItems/>
    </cacheField>
    <cacheField name="Cash Margin" numFmtId="0">
      <sharedItems containsNonDate="0" containsString="0" containsBlank="1"/>
    </cacheField>
    <cacheField name="Cash-Fund Utilized" numFmtId="0">
      <sharedItems containsNonDate="0" containsString="0" containsBlank="1"/>
    </cacheField>
    <cacheField name="Cash-Recovered" numFmtId="0">
      <sharedItems containsNonDate="0" containsString="0" containsBlank="1"/>
    </cacheField>
    <cacheField name="Increase Amount in SAR" numFmtId="0">
      <sharedItems containsSemiMixedTypes="0" containsString="0" containsNumber="1" containsInteger="1" minValue="0" maxValue="0"/>
    </cacheField>
    <cacheField name="Remarks" numFmtId="0">
      <sharedItems/>
    </cacheField>
    <cacheField name="Active/Cancelled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arhan Shaikh" refreshedDate="46197.395561805555" createdVersion="8" refreshedVersion="8" minRefreshableVersion="3" recordCount="153" xr:uid="{DEFB84F6-8463-40BE-932F-360468A6866C}">
  <cacheSource type="worksheet">
    <worksheetSource name="Final_summary"/>
  </cacheSource>
  <cacheFields count="18">
    <cacheField name="LC Number" numFmtId="0">
      <sharedItems/>
    </cacheField>
    <cacheField name="Issue Date." numFmtId="166">
      <sharedItems containsSemiMixedTypes="0" containsNonDate="0" containsDate="1" containsString="0" minDate="2023-08-30T00:00:00" maxDate="2026-06-24T00:00:00"/>
    </cacheField>
    <cacheField name="Beneficiary" numFmtId="0">
      <sharedItems/>
    </cacheField>
    <cacheField name="Group Company" numFmtId="0">
      <sharedItems count="18">
        <s v="FIRST FIX"/>
        <s v="MBL"/>
        <s v="MBL/ICAD"/>
        <s v="MBL / Green Roots"/>
        <s v="MBL/AICS"/>
        <s v="MBL/AICS (L01)"/>
        <s v="ICAD"/>
        <s v="MBL/ICAD/Baumat"/>
        <s v="MBL/United Arab Aluminum Co"/>
        <s v="Signal Control" u="1"/>
        <s v="MBL/United Arab Co" u="1"/>
        <s v="MBL/Premium" u="1"/>
        <s v="MBL / Signal Control" u="1"/>
        <s v="MBL/IFAS" u="1"/>
        <s v="IFAS" u="1"/>
        <s v="ICAD/MBL" u="1"/>
        <s v="MBL/JCD" u="1"/>
        <s v="OXAGON" u="1"/>
      </sharedItems>
    </cacheField>
    <cacheField name="Project" numFmtId="0">
      <sharedItems count="24">
        <s v="MP1"/>
        <s v="KSP"/>
        <s v="Rabigh Power Plant"/>
        <s v="OPERA House"/>
        <s v="RCRC"/>
        <s v="ABHA"/>
        <s v="Oceanarium"/>
        <s v="CEER"/>
        <s v="ADF"/>
        <s v="L01-YAMMAMA"/>
        <s v="JCD SPMI"/>
        <s v="Lagoon"/>
        <s v="L01" u="1"/>
        <s v="KAP" u="1"/>
        <s v="IFAS - Various Projects" u="1"/>
        <s v="Neom - The Line" u="1"/>
        <s v="Old Dues" u="1"/>
        <s v="Neom - Bay Jetty" u="1"/>
        <s v="B05" u="1"/>
        <s v="Neom- The Line" u="1"/>
        <s v="Neom- The Pilling" u="1"/>
        <s v="JCD" u="1"/>
        <s v="ADF " u="1"/>
        <s v="KSP Finishing" u="1"/>
      </sharedItems>
    </cacheField>
    <cacheField name="Bank Name" numFmtId="0">
      <sharedItems containsBlank="1" count="8">
        <s v="SAB"/>
        <s v="Alinma"/>
        <s v="SNB"/>
        <s v="Jazira"/>
        <s v="Riyad"/>
        <s v="NBK"/>
        <s v="BAB" u="1"/>
        <m u="1"/>
      </sharedItems>
    </cacheField>
    <cacheField name="Lines" numFmtId="0">
      <sharedItems count="2">
        <s v="Credit"/>
        <s v="Cash"/>
      </sharedItems>
    </cacheField>
    <cacheField name="Curr" numFmtId="0">
      <sharedItems/>
    </cacheField>
    <cacheField name="LC Amt(FCY)" numFmtId="0">
      <sharedItems containsSemiMixedTypes="0" containsString="0" containsNumber="1" minValue="72830.59" maxValue="67000000"/>
    </cacheField>
    <cacheField name="Rate" numFmtId="0">
      <sharedItems containsSemiMixedTypes="0" containsString="0" containsNumber="1" minValue="1" maxValue="4.6399999999999997"/>
    </cacheField>
    <cacheField name="LC Amt(SAR)" numFmtId="0">
      <sharedItems containsSemiMixedTypes="0" containsString="0" containsNumber="1" minValue="101623.2" maxValue="211576205.22720003"/>
    </cacheField>
    <cacheField name="LC Settled" numFmtId="0">
      <sharedItems containsSemiMixedTypes="0" containsString="0" containsNumber="1" minValue="0" maxValue="210445911.24020118"/>
    </cacheField>
    <cacheField name="Pending Settlement" numFmtId="0">
      <sharedItems containsSemiMixedTypes="0" containsString="0" containsNumber="1" minValue="0" maxValue="42000000"/>
    </cacheField>
    <cacheField name="LC Balance" numFmtId="0">
      <sharedItems containsSemiMixedTypes="0" containsString="0" containsNumber="1" minValue="0" maxValue="26518417.460000001"/>
    </cacheField>
    <cacheField name="Expiry Date" numFmtId="166">
      <sharedItems containsSemiMixedTypes="0" containsNonDate="0" containsDate="1" containsString="0" minDate="2026-04-30T00:00:00" maxDate="2027-01-22T00:00:00"/>
    </cacheField>
    <cacheField name="Last Ship Date" numFmtId="166">
      <sharedItems containsSemiMixedTypes="0" containsNonDate="0" containsDate="1" containsString="0" minDate="2024-12-31T00:00:00" maxDate="2027-01-01T00:00:00"/>
    </cacheField>
    <cacheField name="Payment Terms" numFmtId="0">
      <sharedItems/>
    </cacheField>
    <cacheField name="Due Dat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arhan Shaikh" refreshedDate="46197.397203703702" createdVersion="8" refreshedVersion="8" minRefreshableVersion="3" recordCount="161" xr:uid="{FE77264D-008A-4610-9AF6-0970B8A3A9A9}">
  <cacheSource type="worksheet">
    <worksheetSource name="Detailed_report"/>
  </cacheSource>
  <cacheFields count="17">
    <cacheField name="LC Number" numFmtId="0">
      <sharedItems containsBlank="1" count="815">
        <s v="DCBWPM166276"/>
        <s v="DCBWPM160342"/>
        <s v="TF2531600062"/>
        <s v="DCBWPM160343"/>
        <s v="DCBWPM162993"/>
        <s v="DCBWPM163990"/>
        <s v="DCBWPM160363"/>
        <s v="DCBWPM163995"/>
        <s v="TF2523000034"/>
        <s v="J212228"/>
        <s v="DCBWPM162992"/>
        <s v="ILC-0840-25-8159"/>
        <s v="DCBWPM163999"/>
        <s v="DCBWPM166944"/>
        <s v="J211836"/>
        <s v="JLC7000007"/>
        <s v="ILC-0840-26-8820"/>
        <s v="DCBWPM163953"/>
        <s v="DCBWPM166267"/>
        <s v="DCBWPM163961"/>
        <s v="DCBWPM166294"/>
        <s v="DCBWPM160340"/>
        <s v="J211485"/>
        <s v="J212139"/>
        <s v="DCBWPM164001"/>
        <s v="ILC-0840-25-8427"/>
        <s v="DCBWPM166296"/>
        <s v="DCBWPM563232"/>
        <s v="ILC-0840-26-9256"/>
        <s v="DCBWPM565843"/>
        <s v="TF2610500019"/>
        <s v="DCBWPM566634"/>
        <s v="J212290"/>
        <s v="J211681"/>
        <s v="DCBWPM567556"/>
        <s v="TF2610500016"/>
        <s v="DCBWPM570384"/>
        <s v="DCBWPM166271"/>
        <s v="JLC6701731"/>
        <s v="TF2606300014"/>
        <s v="ILC-0840-25-7736"/>
        <s v="J210104"/>
        <s v="DCBWPM164007"/>
        <s v="J209958"/>
        <s v="J212140"/>
        <s v="TF2535900016"/>
        <s v="TF2527100025"/>
        <s v="DCBWPM562604"/>
        <s v="J211987"/>
        <s v="DCBWPM165531"/>
        <s v="DCBWPM166261"/>
        <s v="TF2609900016"/>
        <s v="ILC-0840-25-7981"/>
        <s v="DCBWPM164009"/>
        <s v="DCBWPM166259"/>
        <s v="DCBWPM163971"/>
        <s v="DCBWPM166257"/>
        <s v="DCBWPM166285"/>
        <s v="DCBWPM563374"/>
        <s v="TF2526500019"/>
        <s v="DCBWPM166292"/>
        <s v="TF2514700033"/>
        <s v="ILC-0840-26-8758"/>
        <s v="TF2613700036"/>
        <s v="J212502"/>
        <s v="DCBWPM163997"/>
        <s v="DCBWPM166298"/>
        <s v="J211985"/>
        <s v="JLC6902211"/>
        <s v="JLC6902213"/>
        <s v="DCBWPM163960"/>
        <s v="DCBWPM166281"/>
        <s v="DCBWPM163413"/>
        <s v="TF2609800008"/>
        <s v="TF2610500021"/>
        <s v="DCBWPM161328"/>
        <s v="ILC-0840-26-8822"/>
        <s v="DCBWPM165571"/>
        <s v="JLC7000008"/>
        <s v="DCBWPM563027"/>
        <s v="DCBWPM166270"/>
        <s v="DCBWPM164010"/>
        <s v="DCBWPM163950"/>
        <s v="DCBWPM166275"/>
        <s v="JLC7000184"/>
        <s v="J211986"/>
        <s v="TF2535900014"/>
        <s v="TF2533600018"/>
        <s v="DCBWPM166290"/>
        <s v="J212311"/>
        <s v="DCBWPM166272"/>
        <s v="J212386"/>
        <s v="DCBWPM160364"/>
        <s v="DCBWPM163945"/>
        <s v="DCBWPM166277"/>
        <s v="DCBWPM160344"/>
        <s v="DCBWPM570839"/>
        <s v="JLC6901431_Cre"/>
        <s v="JLC6901431_Cash"/>
        <s v="JLC7000384"/>
        <s v="ILC-0840-25-8011"/>
        <s v="DCBWPM160355"/>
        <s v="DCBWPM162995"/>
        <s v="DCBWPM163957"/>
        <s v="TF2531600056"/>
        <s v="J210944"/>
        <s v="ILC-0840-26-8823"/>
        <s v="ILC-0840-25-8164"/>
        <s v="DCBWPM164211"/>
        <s v="DCBWPM163967"/>
        <s v="DCBWPM166297"/>
        <s v="DCBWPM163964"/>
        <s v="DCBWPM166264"/>
        <s v="TF2535200021"/>
        <s v="DCBWPM570369"/>
        <s v="DCBWPM163988"/>
        <s v="DCBWPM166278"/>
        <s v="DCBWPM166286"/>
        <s v="DCBWPM555620"/>
        <s v="DCBWPM166289"/>
        <s v="M001959"/>
        <s v="JLC7000002"/>
        <s v="J212030"/>
        <s v="ILC-0840-26-9418"/>
        <s v="DCBWPM164003"/>
        <s v="J212103"/>
        <s v="DCBWPM166284"/>
        <s v="ILC-0840-25-8166"/>
        <s v="ILC-0840-25-7353"/>
        <s v="TF2527100024"/>
        <s v="J212344"/>
        <s v="ILC-0840-25-7517"/>
        <s v="JLC7000003"/>
        <s v="JLC7000193"/>
        <s v="DCBWPM564580"/>
        <s v="DCBWPM565850"/>
        <s v="ILC-0840-25-7407"/>
        <s v="TF2517400098"/>
        <s v="JLC7000004"/>
        <s v="JLC7000185"/>
        <s v="DCBWPM166282"/>
        <s v="TF2517700087"/>
        <s v="JLC7000192"/>
        <s v="DCBWPM166279"/>
        <s v="DCBWPM567554"/>
        <s v="DCBWPM166287"/>
        <s v="DCBWPM166274"/>
        <s v="JLC7000005"/>
        <s v="TF2604200011_B"/>
        <s v="ILC-0840-26-9073"/>
        <s v="DCBWPM163417"/>
        <s v="DCBWPM165765"/>
        <s v="JLC6801573"/>
        <s v="JLC6901492" u="1"/>
        <s v="DCBWPM570361" u="1"/>
        <s v="TF2513500019" u="1"/>
        <s v="DCBWPM563039" u="1"/>
        <s v="JLC7000188" u="1"/>
        <s v="JLC7000187" u="1"/>
        <s v="JLC7000186" u="1"/>
        <s v="M001990" u="1"/>
        <s v="JLC7000182" u="1"/>
        <s v="JLC7000183" u="1"/>
        <s v="TF2604200011_C" u="1"/>
        <s v="TF2605600008" u="1"/>
        <s v="JLC7000006" u="1"/>
        <s v="DCBWPM570380" u="1"/>
        <s v="J210617" u="1"/>
        <s v="DCBWPM562628" u="1"/>
        <s v="TF2517400045" u="1"/>
        <s v="J211945" u="1"/>
        <s v="J211807" u="1"/>
        <s v="J211811" u="1"/>
        <s v="DCBWPM553808" u="1"/>
        <s v="DCBWPM562620" u="1"/>
        <s v="DCBWPM570414" u="1"/>
        <s v="ILC-0840-25-7984" u="1"/>
        <s v="DCBCPM160316" u="1"/>
        <s v="DCBWPM161322" u="1"/>
        <s v="DCBWPM162155" u="1"/>
        <s v="TF2535200019" u="1"/>
        <s v="J212031" u="1"/>
        <s v="J211805" u="1"/>
        <s v="J211808" u="1"/>
        <s v="J211835" u="1"/>
        <s v="TF2509900019" u="1"/>
        <s v="TF2604200011_A" u="1"/>
        <s v="DCBWPM161331" u="1"/>
        <s v="DCBWPM161319" u="1"/>
        <s v="DCBWPM161326" u="1"/>
        <s v="DCBWPM161329" u="1"/>
        <s v="DCBWPM161330" u="1"/>
        <s v="ILC-0840-26-8821" u="1"/>
        <s v="J211810" u="1"/>
        <s v="DCBWPM563025" u="1"/>
        <s v="J211763" u="1"/>
        <s v="JLC6801271" u="1"/>
        <s v="JLC7002384" u="1"/>
        <s v="ILC-0840-26-8819" u="1"/>
        <s v="DCBWPM566848" u="1"/>
        <s v="TF2535200018" u="1"/>
        <s v="TF2508300056" u="1"/>
        <s v="DCBWPM563372" u="1"/>
        <s v="J211806" u="1"/>
        <s v="TF2514700037" u="1"/>
        <s v="DCBWPM563043" u="1"/>
        <s v="TF2513100027" u="1"/>
        <s v="TF2514700025" u="1"/>
        <s v="JLC7000001" u="1"/>
        <s v="JLC7000009" u="1"/>
        <s v="TF2531400014" u="1"/>
        <s v="TF2517400019" u="1"/>
        <s v="TF2531600053" u="1"/>
        <s v="LCI-SA-M001959" u="1"/>
        <s v="TF2514600059" u="1"/>
        <s v="J210604" u="1"/>
        <s v="ILC-0840-25-7799" u="1"/>
        <s v="TF2533500006" u="1"/>
        <s v="LCI-SA-M001909" u="1"/>
        <s v="ILC-0840-25-7982" u="1"/>
        <s v="IM2512833005" u="1"/>
        <s v="TF2534800029" u="1"/>
        <s v="LCI-SA-M001910" u="1"/>
        <s v="JLC6901610" u="1"/>
        <s v="DCBWPM565824" u="1"/>
        <s v="J210611" u="1"/>
        <s v="J211809" u="1"/>
        <s v="DCBWPM563040" u="1"/>
        <s v="DCBWPM565832" u="1"/>
        <s v="J211604" u="1"/>
        <s v="ILC-0840-25-7736)" u="1"/>
        <s v="JLC6901608" u="1"/>
        <s v="TF2514700051" u="1"/>
        <s v="ILC-0840-25-8165" u="1"/>
        <s v="TF2533500010" u="1"/>
        <s v="DCBWPM566972" u="1"/>
        <s v="DCBWPM563695" u="1"/>
        <s v="TF2517700068" u="1"/>
        <s v="ILC-0840-25-8471" u="1"/>
        <s v="DCBWPM563055" u="1"/>
        <s v="TF2502300034" u="1"/>
        <s v="DCBWPM562612" u="1"/>
        <s v="DCBWPM565846" u="1"/>
        <s v="ILC-0840-25-8473" u="1"/>
        <s v="JLC6901613" u="1"/>
        <s v="DCBWPM563030" u="1"/>
        <s v="DCBWPM565760" u="1"/>
        <s v="JLC6901612" u="1"/>
        <s v="ILC-0840-25-7354" u="1"/>
        <s v="DCBWPM558768" u="1"/>
        <s v="TF2521100048" u="1"/>
        <s v="DCBWPM566643" u="1"/>
        <s v="ILC-0840-25-8163" u="1"/>
        <s v="J210868" u="1"/>
        <s v="ILC-0840-25-8470" u="1"/>
        <s v="DCBWPM558775" u="1"/>
        <s v="DCBWPM563017" u="1"/>
        <s v="DCBWPM563067" u="1"/>
        <s v="DCBWPM566639" u="1"/>
        <s v="ILC-0840-25-8160" u="1"/>
        <s v="TF2521100101" u="1"/>
        <s v="DCBWPM566842" u="1"/>
        <s v="DCBWPM564575" u="1"/>
        <s v="DCBWPM566642" u="1"/>
        <s v="IM2512733014" u="1"/>
        <s v="J210927" u="1"/>
        <s v="ILC-0840-25-7173" u="1"/>
        <s v="TF2519400032" u="1"/>
        <s v="DCBWPM565818" u="1"/>
        <s v="DCBWPM558787" u="1"/>
        <s v="DCBWPM566637" u="1"/>
        <s v="DCBWPM565836" u="1"/>
        <s v="DCBWPM564596" u="1"/>
        <s v="TF2513500034" u="1"/>
        <s v="DCBWPM553893" u="1"/>
        <s v="JLC6901611" u="1"/>
        <s v="TF2526500017" u="1"/>
        <s v="DCBWPM564584" u="1"/>
        <s v="J210676" u="1"/>
        <s v="TF2511400003" u="1"/>
        <s v="DCBWPM565841" u="1"/>
        <s v="DCBWPM563046" u="1"/>
        <s v="IM2513233001" u="1"/>
        <s v="TF2521100088" u="1"/>
        <s v="IM2500633009_Cre" u="1"/>
        <s v="ILC-0840-25-7264" u="1"/>
        <s v="DCBWPM555615" u="1"/>
        <s v="IM2500633009" u="1"/>
        <s v="JLC6901616" u="1"/>
        <s v="TF2513500038" u="1"/>
        <s v="DCBWPM562595" u="1"/>
        <s v="TF2513200005" u="1"/>
        <s v="TF2517700020" u="1"/>
        <s v="TF2521100016" u="1"/>
        <s v="J210929" u="1"/>
        <s v="DCBWPM563932" u="1"/>
        <s v="TF2517700014" u="1"/>
        <s v="TF2517700054" u="1"/>
        <s v="TF2513100011" u="1"/>
        <s v="TF2513100028" u="1"/>
        <s v="TF2517400111" u="1"/>
        <s v="TF2514600068" u="1"/>
        <s v="TF2517700028" u="1"/>
        <s v="TF2513500037" u="1"/>
        <s v="TF2513500031" u="1"/>
        <s v="TF2513100026" u="1"/>
        <s v="TF2514700038" u="1"/>
        <s v="DCBWPM558778" u="1"/>
        <s v="DCBWPM562625" u="1"/>
        <s v="DCBWPM563019" u="1"/>
        <s v="TF2521000022" u="1"/>
        <s v="DCBWPM560813" u="1"/>
        <s v="ILC-0840-25-7352" u="1"/>
        <s v="J211600" u="1"/>
        <s v="DCBWPM563933" u="1"/>
        <s v="JLC6901617_Cash" u="1"/>
        <s v="JLC6901617_Cre" u="1"/>
        <s v="J210425" u="1"/>
        <s v="DCBWPM564603" u="1"/>
        <s v="DCB123456Test" u="1"/>
        <s v="DCBWPM564579" u="1"/>
        <s v="TF2523600022" u="1"/>
        <s v="DCBWPM563814" u="1"/>
        <s v="DCBWPM564582" u="1"/>
        <s v="DCBWPM562728" u="1"/>
        <s v="DCBWPM563813" u="1"/>
        <s v="TF2523600029" u="1"/>
        <s v="DCBWPM558759" u="1"/>
        <s v="TF2517300038" u="1"/>
        <s v="ILC-0840-25-7570" u="1"/>
        <s v="DCBWPM564585" u="1"/>
        <s v="DCBWPM563936" u="1"/>
        <s v="DCBWPM563935" u="1"/>
        <s v="DCBWPM563228" u="1"/>
        <s v="DCBWPM560155" u="1"/>
        <s v="DCBWPM565536" u="1"/>
        <s v="IM2512733008" u="1"/>
        <s v="TF2513500039" u="1"/>
        <s v="DCBWPM562600" u="1"/>
        <s v="ILC-0840-25-7992" u="1"/>
        <s v="ILC-0840-25-8161" u="1"/>
        <s v="TF2521100011" u="1"/>
        <s v="DCBWPM562605" u="1"/>
        <s v="DCBWPM562626" u="1"/>
        <s v="IM2512833004" u="1"/>
        <s v="DCBWPM558781" u="1"/>
        <s v="DCBWPM563026" u="1"/>
        <s v="TF2517400070" u="1"/>
        <s v="DCBWPM563064" u="1"/>
        <s v="DCBWPM563822" u="1"/>
        <s v="TF2521100095" u="1"/>
        <s v="TF2517400023" u="1"/>
        <s v="DCBWPM563023" u="1"/>
        <s v="TF2510400021" u="1"/>
        <s v="DCBWPM562731" u="1"/>
        <s v="TF2510400020" u="1"/>
        <s v="DCBWPM564600" u="1"/>
        <s v="J210928" u="1"/>
        <s v="TF2521000028" u="1"/>
        <s v="TF2521100097" u="1"/>
        <s v="J210096" u="1"/>
        <s v="ILC-0840-25-7980" u="1"/>
        <s v="TF2521100037" u="1"/>
        <s v="DCBWPM551279" u="1"/>
        <s v="DCBWPM563021" u="1"/>
        <s v="DCBWPM562622" u="1"/>
        <s v="DCBWPM558751" u="1"/>
        <s v="DCBWPM564601" u="1"/>
        <s v="TF2517400022" u="1"/>
        <s v="J210606" u="1"/>
        <s v="ILC-0840-25-8162" u="1"/>
        <s v="ILC-0840-25-7269" u="1"/>
        <s v="ILC-0840-25-7735" u="1"/>
        <s v="TF2510400017" u="1"/>
        <s v="DCBWPM554837" u="1"/>
        <s v="DCBWPM562590" u="1"/>
        <s v="DCBWPM562615" u="1"/>
        <s v="DCBWPM563059" u="1"/>
        <s v="TF2517700078" u="1"/>
        <s v="TF2517700045" u="1"/>
        <s v="TF2517400057" u="1"/>
        <s v="DCBWPM562592" u="1"/>
        <s v="DCBWPM562598" u="1"/>
        <s v="JLC6901617" u="1"/>
        <s v="DCBWPM562624" u="1"/>
        <s v="ILC-0840-25-7351" u="1"/>
        <s v="ILC-0840-25-7572" u="1"/>
        <s v="DCBWPM554250" u="1"/>
        <s v="DCBWPM563229" u="1"/>
        <s v="ILC-0840-25-7979" u="1"/>
        <s v="DC WPM556764" u="1"/>
        <s v="DCBWPM563375" u="1"/>
        <s v="TF2519600062" u="1"/>
        <s v="IM2433133003" u="1"/>
        <s v="TF2514700030" u="1"/>
        <s v="DCBWPM564605" u="1"/>
        <s v="TF2517400030" u="1"/>
        <s v="TF2508300047" u="1"/>
        <s v="TF2517400044" u="1"/>
        <s v="TF2514700046" u="1"/>
        <s v="TF2517400017" u="1"/>
        <s v="TF2517700035" u="1"/>
        <s v="TF2517700061" u="1"/>
        <s v="DCBWPM554738" u="1"/>
        <s v="JLC6901431" u="1"/>
        <s v="DCBWPM562730" u="1"/>
        <s v="ILC-0840-25-7986" u="1"/>
        <s v="TF2517700091" u="1"/>
        <s v="DCBWPM553955" u="1"/>
        <s v="DCBWPM558763" u="1"/>
        <s v="DCBWPM563824" u="1"/>
        <s v="TF2523800026" u="1"/>
        <s v="JLC6901472" u="1"/>
        <s v="J211005" u="1"/>
        <s v="TF2513500032" u="1"/>
        <s v="TF2514600067" u="1"/>
        <s v="TF2514700064" u="1"/>
        <s v="TF2517400062" u="1"/>
        <s v="TF2513500018" u="1"/>
        <s v="ILC-0840-25-7737" u="1"/>
        <s v="DCBWPM567940" u="1"/>
        <s v="DCBWPM558786" u="1"/>
        <s v="DCBCPM558780" u="1"/>
        <s v="DCBWPM558776" u="1"/>
        <s v="JLC6901470" u="1"/>
        <s v="JLC6901475" u="1"/>
        <s v="DCBWPM558782" u="1"/>
        <s v="DCBWPM564593" u="1"/>
        <s v="JLC6901487" u="1"/>
        <s v="DCBWPM566637 " u="1"/>
        <s v="J210605" u="1"/>
        <s v="J210679" u="1"/>
        <s v="J210607" u="1"/>
        <s v="J210608" u="1"/>
        <s v="TF2513500017" u="1"/>
        <s v="TF2513500026" u="1"/>
        <s v="TF2513500030" u="1"/>
        <s v="IM2512733013" u="1"/>
        <s v="TF2513100025" u="1"/>
        <s v="TF2517400053" u="1"/>
        <s v="TF2514700056" u="1"/>
        <s v="TF2514700061" u="1"/>
        <s v="TF2513500033" u="1"/>
        <s v="JLC6901476" u="1"/>
        <s v="TF2513500035" u="1"/>
        <s v="TF2513100029" u="1"/>
        <s v="TF2513500016" u="1"/>
        <s v="JLC6901485" u="1"/>
        <s v="ILC-0840-25-7481" u="1"/>
        <s v="IM2435433001" u="1"/>
        <s v="DCBWPM558756" u="1"/>
        <s v="JLC6901473" u="1"/>
        <s v="J210028" u="1"/>
        <s v="TF2517400050" u="1"/>
        <s v="JLC6901481" u="1"/>
        <s v="TF2514700052" u="1"/>
        <s v="JLC6901482" u="1"/>
        <s v="JLC6901469" u="1"/>
        <s v="TF2512800002" u="1"/>
        <s v="TF2517400038" u="1"/>
        <s v="JLC6901467" u="1"/>
        <s v="TF2508300031" u="1"/>
        <s v="TF2517400066" u="1"/>
        <s v="TF2507700061" u="1"/>
        <s v="JLC6901468" u="1"/>
        <s v="TF2513500029" u="1"/>
        <s v="ILC-0840-25-7355" u="1"/>
        <s v="JLC6901480" u="1"/>
        <s v="J210610" u="1"/>
        <s v="DCBWPM553897" u="1"/>
        <s v="ILC-0840-25-7566" u="1"/>
        <s v="JLC6901483" u="1"/>
        <s v="ILC-0840-25-7266" u="1"/>
        <s v="JLC6901486" u="1"/>
        <s v="DCBWPM562572" u="1"/>
        <s v="JLC6901484" u="1"/>
        <s v="IM2512733007" u="1"/>
        <s v="DCBWPM558755" u="1"/>
        <s v="DCBWPM558769" u="1"/>
        <s v="JLC6901477" u="1"/>
        <s v="TF2514700066" u="1"/>
        <s v="JLC6901474" u="1"/>
        <s v="TF2513100024" u="1"/>
        <s v="JLC6901466" u="1"/>
        <s v="TF2517400086" u="1"/>
        <s v="TF2508300029" u="1"/>
        <s v="TF2508300035" u="1"/>
        <s v="TF2502300056" u="1"/>
        <s v="TF2514700055" u="1"/>
        <s v="J210386" u="1"/>
        <s v="IM2512733010" u="1"/>
        <s v="J210612" u="1"/>
        <s v="JLC6901479" u="1"/>
        <s v="ILC-0840-25-7518" u="1"/>
        <s v="DCBWPM558785" u="1"/>
        <s v="JLC6901489" u="1"/>
        <s v="TF2513100023" u="1"/>
        <s v="JLC6901471" u="1"/>
        <s v="J210609" u="1"/>
        <s v="TF2513500036" u="1"/>
        <s v="IM2512833009" u="1"/>
        <s v="TF2523600024" u="1"/>
        <s v="DCBWPM557847" u="1"/>
        <s v="TF2508300060" u="1"/>
        <s v="IM2512733017" u="1"/>
        <s v="IM2512733003" u="1"/>
        <s v="ILC-0840-25-7574" u="1"/>
        <s v="TF2518100017" u="1"/>
        <s v="IM2512733011" u="1"/>
        <s v="TF2431898512" u="1"/>
        <s v="TF2512800006" u="1"/>
        <s v="IM2512733016" u="1"/>
        <s v="IM2512833003" u="1"/>
        <s v="IM2512833001" u="1"/>
        <s v="IM2512733015" u="1"/>
        <s v="IM2512733012" u="1"/>
        <s v="IM2512733009" u="1"/>
        <s v="IM2512733005" u="1"/>
        <s v="IM2512833006" u="1"/>
        <s v="IM2512833002" u="1"/>
        <s v="IM2513133003" u="1"/>
        <s v="ILC-0840-25-7406" u="1"/>
        <s v="J210690" u="1"/>
        <s v="TF2510400028" u="1"/>
        <s v="TF2508300055" u="1"/>
        <s v="DCBWPM559830" u="1"/>
        <s v="J210388" u="1"/>
        <s v="ILC-0840-25-7739" u="1"/>
        <s v="DCBWPM553753" u="1"/>
        <s v="ILC-0840-25-7877" u="1"/>
        <s v="TF2508300053" u="1"/>
        <s v="DCBWPM553752" u="1"/>
        <s v="TF2508300028" u="1"/>
        <s v="J210603" u="1"/>
        <s v="TF2507700035" u="1"/>
        <s v="ILC-0840-25-7568" u="1"/>
        <s v="IM2512733006" u="1"/>
        <s v="DCBWPM554917" u="1"/>
        <s v="DC WPM554941" u="1"/>
        <s v="DCBWPM554918" u="1"/>
        <s v="TF2507700057" u="1"/>
        <s v="TF2509900021" u="1"/>
        <s v="TF2508300036" u="1"/>
        <s v="TF2429897815" u="1"/>
        <s v="ILC-0840-25-7267" u="1"/>
        <s v="J209613" u="1"/>
        <s v="TF2508300025" u="1"/>
        <s v="TF2508300048" u="1"/>
        <s v="TF2508300052" u="1"/>
        <s v="TF2508300026" u="1"/>
        <s v="DCBWPM555709" u="1"/>
        <s v="TF2507700047" u="1"/>
        <s v="TF2508300030" u="1"/>
        <s v="DCBWPM555723" u="1"/>
        <s v="ILC-0840-25-7571" u="1"/>
        <s v="J210387" u="1"/>
        <s v="TF2508300024" u="1"/>
        <s v="TF2508300059" u="1"/>
        <s v="TF2502300053" u="1"/>
        <s v="TF2507700041" u="1"/>
        <s v="TF2507700038" u="1"/>
        <s v="TF2507700036" u="1"/>
        <s v="TF2507700050" u="1"/>
        <s v="TF2507700052" u="1"/>
        <s v="TF2507600031" u="1"/>
        <s v="TF2508300051" u="1"/>
        <s v="TF2508300006" u="1"/>
        <s v="TF2508300020" u="1"/>
        <s v="TF2508300021" u="1"/>
        <s v="TF2502300033" u="1"/>
        <s v="TF2502300038" u="1"/>
        <s v="TF2507700062" u="1"/>
        <s v="TF2508300039" u="1"/>
        <s v="TF2508300032" u="1"/>
        <s v="J210548" u="1"/>
        <s v="DCBWPM553960" u="1"/>
        <s v="DCBWPM555720" u="1"/>
        <s v="DCBWPM555618" u="1"/>
        <s v="DCBWPM555729" u="1"/>
        <s v="DPCWPM551225" u="1"/>
        <s v="J210018" u="1"/>
        <s v="TF2508300046" u="1"/>
        <s v="TF2507700039" u="1"/>
        <s v="J209960" u="1"/>
        <s v="DCBWPM555614" u="1"/>
        <s v="J209959" u="1"/>
        <s v="IM2505733002" u="1"/>
        <s v="IM2433133002" u="1"/>
        <s v="IM2431833001" u="1"/>
        <s v="J209065" u="1"/>
        <s v="DCBWPM510983" u="1"/>
        <s v="J209218" u="1"/>
        <s v="IM2506533002" u="1"/>
        <s v="TF2500700015" u="1"/>
        <s v="J209954" u="1"/>
        <s v="TF2502300057" u="1"/>
        <s v="IM2505633002" u="1"/>
        <s v="J209514" u="1"/>
        <s v="IM2505733001" u="1"/>
        <s v="IM2435433002" u="1"/>
        <s v="J210027" u="1"/>
        <s v="J209961" u="1"/>
        <s v="TF2502300037" u="1"/>
        <s v="TF2500700023" u="1"/>
        <s v="TF2500600007" u="1"/>
        <s v="TF2502300062" u="1"/>
        <s v="TF2502300030" u="1"/>
        <s v="DCBWPM553914" u="1"/>
        <s v="J209963" u="1"/>
        <s v="IM2506533001" u="1"/>
        <s v="J210021" u="1"/>
        <s v="J209956" u="1"/>
        <s v="TF2514700067" u="1"/>
        <s v="TF2514700059" u="1"/>
        <s v="J209517" u="1"/>
        <s v="J209951" u="1"/>
        <s v="J209621" u="1"/>
        <s v="TF2502300049" u="1"/>
        <s v="J210023" u="1"/>
        <s v="TF2502300026" u="1"/>
        <s v="TF2502300023" u="1"/>
        <s v="J210026" u="1"/>
        <s v="J209962" u="1"/>
        <s v="DCBWPM553297" u="1"/>
        <s v="J209335" u="1"/>
        <s v="J209618" u="1"/>
        <s v="TF2434399308" u="1"/>
        <s v="TF2434399302" u="1"/>
        <s v="J209955" u="1"/>
        <s v="TF2320583838" u="1"/>
        <s v="TF2433399026" u="1"/>
        <s v="ILC-0840-25-7172" u="1"/>
        <s v="TF2502300039" u="1"/>
        <s v="TF2502300036" u="1"/>
        <s v="IM2434733009" u="1"/>
        <s v="DCBWPM554940" u="1"/>
        <s v="J210025" u="1"/>
        <s v="J210022" u="1"/>
        <s v="TF2502300040" u="1"/>
        <s v="TF2502300031" u="1"/>
        <s v="J210017" u="1"/>
        <s v="J210019" u="1"/>
        <s v="ILC-0840-25-7171" u="1"/>
        <s v="J210020" u="1"/>
        <s v="J210024" u="1"/>
        <s v="TF2500700024" u="1"/>
        <s v="TF2500700017" u="1"/>
        <s v="TF2502300059" u="1"/>
        <s v="TF2502300048" u="1"/>
        <s v="J209957" u="1"/>
        <s v="DCBWPM554912" u="1"/>
        <s v="TF2421995040" u="1"/>
        <s v="DCBWPM554916" u="1"/>
        <s v="J210389" u="1"/>
        <s v="IM2500733003" u="1"/>
        <s v="DCBWPM555709 " u="1"/>
        <s v="DCBWPM554915" u="1"/>
        <s v="IM2431833003" u="1"/>
        <s v="DCBWPM512796" u="1"/>
        <s v="TF2431898506" u="1"/>
        <s v="IM2433133001" u="1"/>
        <s v="IM2433733003" u="1"/>
        <s v="IM2435033004" u="1"/>
        <s v="IM2435033007" u="1"/>
        <s v="IM2435033005" u="1"/>
        <s v="IM2500733001" u="1"/>
        <s v="J209833" u="1"/>
        <s v="J209950" u="1"/>
        <s v="J209953" u="1"/>
        <s v="DCBWPM554913" u="1"/>
        <s v="DCBWPM554939" u="1"/>
        <s v="IM2435033006" u="1"/>
        <s v="TF2502300064" u="1"/>
        <s v="IM2500733004" u="1"/>
        <s v="IM2431133001" u="1"/>
        <s v="IM2431133005" u="1"/>
        <s v="J209619" u="1"/>
        <s v="TF2433399024" u="1"/>
        <s v="TF2424695983" u="1"/>
        <s v="J209174" u="1"/>
        <s v="IM2435033003" u="1"/>
        <s v="IM2500633007" u="1"/>
        <s v="IM2500733007" u="1"/>
        <s v="TF2433399028" u="1"/>
        <s v="IM2434733002" u="1"/>
        <s v="IM2500633008" u="1"/>
        <s v="J209616" u="1"/>
        <s v="J209617" u="1"/>
        <s v="IM2500633010" u="1"/>
        <s v="IM2500733002" u="1"/>
        <s v="J209789" u="1"/>
        <s v="JLC6702456" u="1"/>
        <s v="ILC-0840-25-7174" u="1"/>
        <s v="IM2434733004" u="1"/>
        <s v="J209622" u="1"/>
        <s v="TF2429897810" u="1"/>
        <s v="J209620" u="1"/>
        <s v="J209513" u="1"/>
        <s v="J209516" u="1"/>
        <s v="IM2431833002" u="1"/>
        <s v="J209615" u="1"/>
        <s v="TF2433399025" u="1"/>
        <s v="IM2434733007" u="1"/>
        <s v="IM2435033008" u="1"/>
        <s v="IM2435033009" u="1"/>
        <s v="IM2434733005" u="1"/>
        <s v="J209614" u="1"/>
        <s v="IM2434733003" u="1"/>
        <s v="IM2434733001" u="1"/>
        <s v="TF2433399031" u="1"/>
        <s v="J209426" u="1"/>
        <s v="TF2433399033" u="1"/>
        <s v="DCBWPM551288" u="1"/>
        <s v="TF2433399020" u="1"/>
        <s v="J209219" u="1"/>
        <s v="TF2433399032" u="1"/>
        <s v="J209393" u="1"/>
        <s v="J209512" u="1"/>
        <s v="TF2429897807" u="1"/>
        <s v="DPCWPM519485" u="1"/>
        <s v="DPCWPM519562" u="1"/>
        <s v="IM2431933001" u="1"/>
        <s v="TF2431898505" u="1"/>
        <s v="TF2400188729" u="1"/>
        <s v="JLC6801678" u="1"/>
        <s v="TF2431798460" u="1"/>
        <s v="TF2431898513" u="1"/>
        <s v="TF2431898515" u="1"/>
        <s v="TF2431898511" u="1"/>
        <s v="JLC6801574" u="1"/>
        <s v="J209515" u="1"/>
        <s v="TF2429897813" u="1"/>
        <s v="JLC6800561" u="1"/>
        <s v="J209217" u="1"/>
        <s v="IM2435133002" u="1"/>
        <s v="J209320" u="1"/>
        <s v="J209691" u="1"/>
        <s v="J208998" u="1"/>
        <s v="J209395" u="1"/>
        <s v="J209341" u="1"/>
        <s v="TF2419794181" u="1"/>
        <s v="JLC6801559" u="1"/>
        <s v="TF2431898507" u="1"/>
        <s v="J209391" u="1"/>
        <s v="J209392" u="1"/>
        <s v="IM2435033005 " u="1"/>
        <s v="J209162" u="1"/>
        <s v="J209002" u="1"/>
        <s v="J209166" u="1"/>
        <s v="J209315" u="1"/>
        <s v="J209070" u="1"/>
        <s v="J209316" u="1"/>
        <s v="J209317" u="1"/>
        <s v="J209318" u="1"/>
        <s v="IM2428833005" u="1"/>
        <s v="TF2421995039" u="1"/>
        <s v="J209172" u="1"/>
        <s v="J209003" u="1"/>
        <s v="TF2333887830" u="1"/>
        <s v="J209241" u="1"/>
        <s v="J209239" u="1"/>
        <s v="J209173" u="1"/>
        <s v="J209175" u="1"/>
        <s v="J209168" u="1"/>
        <s v="J209169" u="1"/>
        <s v="J209170" u="1"/>
        <s v="J209167" u="1"/>
        <s v="J209171" u="1"/>
        <s v="J209163" u="1"/>
        <s v="J209164" u="1"/>
        <s v="DC WPM518533" u="1"/>
        <s v="IM2428833006" u="1"/>
        <s v="JLC6800618" u="1"/>
        <s v="J209442" u="1"/>
        <s v="TF2423595735" u="1"/>
        <s v="TF2422095042" u="1"/>
        <s v="TF2422095043" u="1"/>
        <s v="TF2421494832" u="1"/>
        <s v="TF2421494840" u="1"/>
        <s v="TF2421494834" u="1"/>
        <s v="TF2420494370" u="1"/>
        <s v="TF2420494386" u="1"/>
        <s v="TF2420494373" u="1"/>
        <s v="TF2419794178" u="1"/>
        <s v="TF2335188217" u="1"/>
        <s v="TF2421494838" u="1"/>
        <s v="J208909" u="1"/>
        <s v="J209161" u="1"/>
        <s v="J209066" u="1"/>
        <s v="J209072" u="1"/>
        <s v="J209071" u="1"/>
        <s v="J209068" u="1"/>
        <s v="J209069" u="1"/>
        <s v="J209067" u="1"/>
        <s v="J209061" u="1"/>
        <s v="J209062" u="1"/>
        <s v="J209064" u="1"/>
        <s v="J209063" u="1"/>
        <s v="J209060" u="1"/>
        <s v="J209005" u="1"/>
        <s v="J208999" u="1"/>
        <s v="J209004" u="1"/>
        <s v="J209001" u="1"/>
        <s v="J209006" u="1"/>
        <s v="J209000" u="1"/>
        <s v="J209165" u="1"/>
        <s v="JLC6800618-Cre" u="1"/>
        <m u="1"/>
        <s v="TF2414292637" u="1"/>
        <s v="IM2422833001" u="1"/>
        <s v="TF2414292661" u="1"/>
        <s v="TF2311581369" u="1"/>
        <s v="J208455" u="1"/>
        <s v="TF2319983732" u="1"/>
        <s v="DCBWPM518533" u="1"/>
      </sharedItems>
    </cacheField>
    <cacheField name="Beneficiary" numFmtId="0">
      <sharedItems count="502">
        <s v="AFAQ AL MALAZ TRADING CO.LTD."/>
        <s v="BROOQ ALAMAAN TRAD COMPANY"/>
        <s v="AI-Hadbania Trading Co."/>
        <s v="BAHRA ADVANCED CABLE MANUFACTURE CO. LTD"/>
        <s v="Ajzal United for Safety CO.LTD."/>
        <s v="Arabian International Company For Contracting"/>
        <s v="Aknan Alkhair Tranding Est"/>
        <s v="Al Arabia Construction &amp; Building Co."/>
        <s v="Al Dhow Gulf Company for Trading and Contracting Ltd"/>
        <s v="Al NAKHEEL FOR TRADING COMPANY"/>
        <s v="AL FALWA CO. LTD. FOR READYMIX CONCRETE"/>
        <s v="Al Maymanah For Contracting Co. Ltd."/>
        <s v="AL RAMSAT CONTRACTING COMPANY"/>
        <s v="Al Talal Modern Est"/>
        <s v="ALFANAR ELECTRICAL SYSTEMS"/>
        <s v="Atiaf International Trading Company"/>
        <s v="ALGHAMDI COMPANY FOR SANITARY WARES"/>
        <s v="Ali Manea Alyami Trading Est."/>
        <s v="AlJammaz Hydrotek"/>
        <s v="ALNAFIE METAL INDUSTRIES CO LTD"/>
        <s v="Elsewedy Cables Co. Limited"/>
        <s v="Alrashid Trading and Contracting Company"/>
        <s v="Al-Sayed Center A/C for Materials Company"/>
        <s v="Alshrkt Mzaya Almttwrt Alsnaayt shkhs Wahd"/>
        <s v="Al-Tawi READY -MIX FACTORY"/>
        <s v="BAHRA ADVANCED CABLE MANUFACTURE CO. LTD."/>
        <s v="Anixter Saudi Arabia Ltd"/>
        <s v="APLUS TRADE MIKE"/>
        <s v="APS ARABIAN CONTRACTING COMPANY"/>
        <s v="Building System Intelligent Est."/>
        <s v="APTEC SAUDI ARABIA"/>
        <s v="Daikin Air Conditioning Saudi Arabia "/>
        <s v="ATELIER HOSPITALITY SRL"/>
        <s v="Awtad Jeddah for General Contracting Company"/>
        <s v="Baamer Group for Trading Company"/>
        <s v="BBH-CHEMTROL INTERNATIONAL ORGANIZATION S.L"/>
        <s v="Bahra Advanced Cable Manufacture Co."/>
        <s v="Banan Thiba Trading Est (BTT)"/>
        <s v="Electric House Trading Company L.L.C."/>
        <s v="BRC Industrial (Saudia) Company"/>
        <s v="Building System Intelligent Contractor BSICO"/>
        <s v="DAIKIN AIR CONDITIONING SAUDI ARABIA LLC"/>
        <s v="Depa Saudi Arabia for Contracting and Interior Decorating Co. Ltd."/>
        <s v="Ealla For General Contracting"/>
        <s v="ELECTRIC HOUSE TRADING COMPANY LLC"/>
        <s v="Elmady Solution Company"/>
        <s v="Establishment Marjane El- Shammal for watertransport and distribution"/>
        <s v="EVOLVING CONSTELLATION CO. FOR ENERGY"/>
        <s v="Future Pipe Industries LLC"/>
        <s v="GALAXY TECHOLOGY CO."/>
        <s v="GAS SOLUTIONS"/>
        <s v="Green Concrete CJSC"/>
        <s v="Gulf Applications - GAPP"/>
        <s v="Gulf Grilles Company"/>
        <s v="High Al Shuhra Contracting Company"/>
        <s v="IBA MIDDLE EAST FZE"/>
        <s v="Ideal Caliber Company"/>
        <s v="IDEAL CALIBER COMPANY."/>
        <s v="Innovative Contractors for Advanced Dimension (ICAD)"/>
        <s v="Innovative Specialized Security Solution"/>
        <s v="INTERPLAST CO. LTD"/>
        <s v="Isam Kabanni And Partners For Construction And Maintenance Co Ltd"/>
        <s v="Isam Kabbani &amp; Partners for Building and Construction"/>
        <s v="ISAM KABBANI &amp; PARTNERS LTD-UNITECH"/>
        <s v="JAD AL RIYADH Trading Co. Ltd"/>
        <s v="JOHNSON CONTROLS ARABIA"/>
        <s v="Johnson Controls Arabia Ltd."/>
        <s v="Khereiji Showrooms Co."/>
        <s v="Khorayef Industries"/>
        <s v="Koon Trading Company"/>
        <s v="LSI PROJECTS LIMITED"/>
        <s v="Machinery Land Equipment Rental."/>
        <s v="Manar Alomran Company For Trading And Industrial Ltd"/>
        <s v="MARIAM TRADING CO AND PARTNER"/>
        <s v="Martin Professional Information Technology Company"/>
        <s v="Masdar Technical Supplies Co."/>
        <s v="Mase Gulf Company"/>
        <s v="MASQ FOR ELECTRICAL TOOLS CO"/>
        <s v="Mat Filtrasyon Teknolojeleri A.S"/>
        <s v="Metten Al-Arabia Ltd Co (METARA)"/>
        <s v="Mimar for Construction Tools &amp; Trading Ltd."/>
        <s v="Mimar For Construction Tools and Trading Ltd."/>
        <s v="Mohamad Saeed Afifi Trading Est."/>
        <s v="Mohammad Saleh Bahareth co."/>
        <s v="Mohammed A. Al-Awani Trading"/>
        <s v="Mohammed Masoud Al Khaldi Est"/>
        <s v="Mohammed Ramadan Shat Factory"/>
        <s v="Mushal Khalf Hijri For Contracting"/>
        <s v="National Fire Fighting Manufacturing Fzco Br."/>
        <s v="National Marketing Est. Co. Ltd"/>
        <s v="NUKHBA ALETFA CO"/>
        <s v="Osalas GMBH"/>
        <s v="Power Center Company for Industries LLC"/>
        <s v="RAPID SAUDI ARABIA CO LIMITED."/>
        <s v="Rawadf International Co."/>
        <s v="Ready Mix Company Limited."/>
        <s v="Riyadh Unity for Trading"/>
        <s v="Safid Co Ltd"/>
        <s v="Saraya Al Andalus for Construction company"/>
        <s v="Saudi Electric Supply Company"/>
        <s v="Saudi Electric Supply Company Limited(SESCO)"/>
        <s v="SAUDI ELECTRIC SUPPLY COMPANY."/>
        <s v="SAUDI HEPCO CO LTD"/>
        <s v="Saudi Hepco Co. Ltd"/>
        <s v="Saudi Perfect Pumps Trading &amp; Manufacturing Company"/>
        <s v="Saudi Pro-Kitchen"/>
        <s v="SAUDI VITRIFIED CLAY PIPE CO"/>
        <s v="SCHNEIDER ELECTRIC SAUDI ARABIA CO"/>
        <s v="Sika Saudi Arabia Co. Ltd."/>
        <s v="SITE TECHNOLOGY SAUDI ARABIA CO"/>
        <s v="SITE TECHNOLOGY SAUDI ARABIA LTD"/>
        <s v="SKM AIR CONDITIONING CO"/>
        <s v="SKM Air Conditioning Company"/>
        <s v="SPECTRA INTERNATIONAL TRADING COMPANY"/>
        <s v="STAR SQUARES CO LTD"/>
        <s v="Systemair For Electrical Equipment Co."/>
        <s v="TAWREED INTEGRATED INDUSTRIES"/>
        <s v="TECHNICAL TOOLS TRADING CO."/>
        <s v="TEN POINTS EST."/>
        <s v="Teqniye Al-Majra For Contracting"/>
        <s v="The Fundamental Installation For Electric Work Co"/>
        <s v="TRINDEL ARABIA LTD. CO"/>
        <s v="Visio INC"/>
        <s v="Jiangsu Donchamp New Materials Technology Co.Ltd." u="1"/>
        <s v="AC SOLUTIONS TRADING CO" u="1"/>
        <s v="Electro Mechanical Supplies" u="1"/>
        <s v="Henan Chongpeng Machinery Co Ltd" u="1"/>
        <s v="Mahmoud Altaheni And His Partners Trading Company" u="1"/>
        <s v="AFKAR ALTATHBET TRADING COMPANY" u="1"/>
        <s v="Almansha Almubasher Trading Company" u="1"/>
        <s v="BeWunder Turnkey Projects Arabia Contracting Company" u="1"/>
        <s v="Brooq Al Amaan Trading" u="1"/>
        <s v="Interplast Co Ltd" u="1"/>
        <s v="Mohammed Ramadan Shat" u="1"/>
        <s v="Off Premises Solutions" u="1"/>
        <s v="SERGAS SAUDI CONTRACTING CO. L.L.C" u="1"/>
        <s v="SIEMENS Limited Company" u="1"/>
        <s v="Al-Assas Specialized Co" u="1"/>
        <s v="Delmatic Co Ltd" u="1"/>
        <s v="Afaq Al Malaz Trading Co. LTD." u="1"/>
        <s v="Mariam Trading CO. &amp; Partner" u="1"/>
        <s v="Al Wasail Industrial Co " u="1"/>
        <s v="Electro Mechanical Supplies Company" u="1"/>
        <s v="BRC Industrial Saudia Company." u="1"/>
        <s v="SAMSARA SRL" u="1"/>
        <s v="United Park Co." u="1"/>
        <s v="Mahmoud Al Tahini and Partners Company" u="1"/>
        <s v="Afaq Al Malaz Trading Co Ltd" u="1"/>
        <s v="Awraq Alqyqb Lltjart Company" u="1"/>
        <s v="Alkhorayef Commercial Company" u="1"/>
        <s v="NAJM AL FALAK TRADING CO." u="1"/>
        <s v="ALBYT ALTHAKI TRADING CO" u="1"/>
        <s v="Mahmoud Altaheni &amp; Partners Trading Co." u="1"/>
        <s v="Hamada Decoration Company" u="1"/>
        <s v="AFAQ AL MALAZ TRADING CO. LTD" u="1"/>
        <s v="AL MOUSA TRADING CO." u="1"/>
        <s v="DAR-AL MAWARED TRADING CO." u="1"/>
        <s v="Metal and Glass Trading Co" u="1"/>
        <s v="Al Arabia for Construction &amp; Building Co." u="1"/>
        <s v="Alpha Limit Trading and Contracting Company" u="1"/>
        <s v="NIZAR ABDALGHANY KABLI FOR GENERAL CONTRACTING" u="1"/>
        <s v="Safid Co. Ltd." u="1"/>
        <s v="DAIKIN AIR CONDITIONING SAUDI ARABIA LLC " u="1"/>
        <s v="Johnson Controls Arabia Limited" u="1"/>
        <s v="Mab United For Trading &amp; Contracting Co" u="1"/>
        <s v="Saudi Benaa Company For Building Materials" u="1"/>
        <s v="MAWARID AISHAMELA TRADING CO." u="1"/>
        <s v="Depth Modern Technologies Co." u="1"/>
        <s v="GIBCA Furniture Industry Co Ltd" u="1"/>
        <s v="Awad Batel Bin Awad Al Rashidi Contracting Est." u="1"/>
        <s v="AL BILAD CONCRETE PIPE CO.LTD" u="1"/>
        <s v="INTERPLAST CO.LTD" u="1"/>
        <s v="Rawabi Al Mahfar Trading Co." u="1"/>
        <s v="AL-RIYADHA AL-OULA FOR INDUSTRIAL MATERIAL SUPPLY CO." u="1"/>
        <s v="ELECTRIC HOUSE LIMITED COMPANY." u="1"/>
        <s v="Al Othman Industrial Marketing Co." u="1"/>
        <s v="UNITED PARK CO" u="1"/>
        <s v="Bahra Advanced Cable Manufacture Co.Ltd" u="1"/>
        <s v="AL-HADBANIA TRADING CO." u="1"/>
        <s v="National Marketing Est. Co. Ltd. " u="1"/>
        <s v="EALAA FOR GENERAL CONTRACTING CO" u="1"/>
        <s v="Al Yamamah Company for Reinforcing Steel Bars" u="1"/>
        <s v="Brooq Al-Amaan Trading Company" u="1"/>
        <s v="Atlas Industrial Equipment Co." u="1"/>
        <s v="Fawaz Refrigeration &amp; Air Conditioning Cont. Co. LLC" u="1"/>
        <s v="MARIAM TRADING CO. &amp; PARTNER " u="1"/>
        <s v="AL-TAYYAR AL-HAQIQI COMMERCIAL CO." u="1"/>
        <s v="Al-Sayed Center A/C &amp; Refrigeration Materials Company" u="1"/>
        <s v="AFAQ AL MALAZ TRADING CO LTD." u="1"/>
        <s v="Al Taqadom Alaly Trading Est" u="1"/>
        <s v="AL-Tawi Ready Mix Concrete Factory Co" u="1"/>
        <s v="ELSEWEDY CABLES COMPANY LTD." u="1"/>
        <s v="Mimar for Construction Tools &amp; Tradina Ltd." u="1"/>
        <s v="Branch of National Fire Fighting" u="1"/>
        <s v="TEN POINTS EST" u="1"/>
        <s v="Advance Future Al Arabiya " u="1"/>
        <s v="ANSSAM AL RIYADH CONTRACTING EST" u="1"/>
        <s v="Kingspan Insulated Panels Manufacturing LLC" u="1"/>
        <s v="DANAH METAL CO." u="1"/>
        <s v="Safid Co. Ltd" u="1"/>
        <s v="TABARK AL-MOMMYZA FOR TRADING COMPANY" u="1"/>
        <s v="Branch of National Fire Fighting (NAFFCO)" u="1"/>
        <s v="BBH-CHEMTROL INTERNATIONAL" u="1"/>
        <s v="MOHAMMED RAMADAN SHAT FACTORY FOR METAL" u="1"/>
        <s v="DAIKIN AIR CONDITIONING SAUDI ARABIA" u="1"/>
        <s v="lmdadat Al Jazera Al Arabia Trading Co." u="1"/>
        <s v="Al Wasail Industrial Co." u="1"/>
        <s v="AKNAN ALKHAIR TRADING EST" u="1"/>
        <s v="AL RAWNAQ AL THAHABI ENGINEERING CONSULTING. CO." u="1"/>
        <s v="DELHAM ALJANOUB FOR TRADING CONTRACTING" u="1"/>
        <s v="Sami Yousee Bin Abdel Rahim Alharbi Foundation" u="1"/>
        <s v="TEN POINTS TRADING EST" u="1"/>
        <s v="ENGINEERING STYLES EST FOR CONTRACTING" u="1"/>
        <s v="LAILA M.BIN ABDULLAH AL-FARAJ FOR GENERAL CONT.EST" u="1"/>
        <s v="AFAQ AL MALAZ TRADING CO.LTD" u="1"/>
        <s v="HILTI SAUDI ARABIA FOR CONSTRUCTION TOOLS" u="1"/>
        <s v="Klimacontra International" u="1"/>
        <s v="MAHAWAR AL JAZEERA CONTRACTING CO." u="1"/>
        <s v="MANATIQ GENERAL CONTRACTING COMPANY" u="1"/>
        <s v="MODERN HOUSING CONTRACTING CO." u="1"/>
        <s v="World Systems Co. Ltd." u="1"/>
        <s v="Alkhorayef Commercial co." u="1"/>
        <s v="Albarq Alarabi For Logistics Services" u="1"/>
        <s v="Aluminium Products company (ALUPCO)" u="1"/>
        <s v="Arabian Point Eight Power Co.Ltd." u="1"/>
        <s v="Depth Modern Technologies" u="1"/>
        <s v="STAR SQUARES CO. LTD." u="1"/>
        <s v="Soundlines Administrative Co Ltd." u="1"/>
        <s v="Prime Star Technologies Company Limited" u="1"/>
        <s v="MOHAMMED RAMADAN SHAT FACTORY FOR METAL INDUSTRIES" u="1"/>
        <s v="National Fire Fighting Manufacturing" u="1"/>
        <s v="ASSA ABLOY ENTRANCE SYSTEMS SAUDI CO." u="1"/>
        <s v="Company Alabwab Aldulaya For Contracting" u="1"/>
        <s v="KENZ SARAB MACHINERY AND EQUIPMENT COMPANY" u="1"/>
        <s v="OPTIMAL ENGINEERING SOLUTIONS" u="1"/>
        <s v="ATLANTIC SUPPLIES FOR TRADING" u="1"/>
        <s v="MASDAR TECHNICAL SUPPLIES CO" u="1"/>
        <s v="AKNAN ALKHAIR TRADING EST." u="1"/>
        <s v="IDEAL CALIBER COMPANY LTD" u="1"/>
        <s v="Ezdehar Industrial Services Co." u="1"/>
        <s v="Johnson Controls Arabia Ltd" u="1"/>
        <s v="CONTRACTORS SERVICES CO." u="1"/>
        <s v="Masdar Technical Supplies Co. " u="1"/>
        <s v="National Marketing Est Co Ltd" u="1"/>
        <s v="SAFID CO.LTD" u="1"/>
        <s v="Brooq Al Amaan Trading Company" u="1"/>
        <s v="Mahmoud AI-Taheni &amp; Partners Trading Co." u="1"/>
        <s v="HOLCIM SOLUTIONS AND PRODUCTS EMEA BV" u="1"/>
        <s v="ZAHID TRACTOR &amp; HEAVY MACHINERY CO. LTD." u="1"/>
        <s v="Arnon Plastic Industries Co Ltd" u="1"/>
        <s v="ALDREES INDUSTRIAL AND TRADING CO" u="1"/>
        <s v="ANDHMAH ALMNANI ALTWARH EST" u="1"/>
        <s v="FAISAL AWAD AL HARBI COMPANY" u="1"/>
        <s v="ESSAM KABBANI AND PARTNERS CO FOR CONSTRUCTION AND MAINTENANCE CO" u="1"/>
        <s v="MARIAM TRADING CO &amp; PARTNERS" u="1"/>
        <s v="Union Pipes Industry" u="1"/>
        <s v="VOLTAGE ELEMENTS INDUSTRIAL Co. " u="1"/>
        <s v="SCHUCO MIDDLE EAST WINDOWS AND FACADE SYSTEMS LLC" u="1"/>
        <s v="MODON ADVANCE SERVICES TECH CO." u="1"/>
        <s v="Al Bayrak Red Contracting Establishment" u="1"/>
        <s v="CAN AL SHARQ GENERAL CONT.EST" u="1"/>
        <s v="Elite Arabian Contracting Co Ltd" u="1"/>
        <s v="NMA ALMUTAMIZA INDUSTRIAL AND EQUIPMENT CO." u="1"/>
        <s v="Al Wasail Industrial Company" u="1"/>
        <s v="MATERIALS SYSTEMS AND INDUSTRIAL SOLUTIONS COMPANY" u="1"/>
        <s v="Modern Times Technical System Co" u="1"/>
        <s v="Union Pipes Industry Co LLC" u="1"/>
        <s v="VENTLINE AIR CONDITIONING REQUISITES MANUFACTURING LLC" u="1"/>
        <s v="Cube Metal Industries Co." u="1"/>
        <s v="Stratconn Commercial Broker LLC" u="1"/>
        <s v="Al-Sayed Center A/C &amp; Refrigeration Materials Company." u="1"/>
        <s v="DELHAM AL JANOUB FOR CONTRACTING" u="1"/>
        <s v="ENERGY CONCEPT CO LTD" u="1"/>
        <s v="Energy International Controls" u="1"/>
        <s v="SAHM AL MADINAH CONTRACTING EST" u="1"/>
        <s v="SAUD JAMAL ALHADDAD EQUIPMENT RENTAL EST." u="1"/>
        <s v="ISAM MUAMMED KHAIRI KABBANI GLASS (IKK Glass)" u="1"/>
        <s v="Future Plastic Factory for Industry" u="1"/>
        <s v="Establishment SAFIH ABDULLAH BEN BAKRI" u="1"/>
        <s v="MARIAM TRADING CO &amp; PARTNER" u="1"/>
        <s v="Dalal Al Sham Security Company" u="1"/>
        <s v="Reda Trading Development Company For Machinery And Equipment" u="1"/>
        <s v="BR.MUMTAZ &amp; CONSTRUCTION CO.MIRPUR A.K." u="1"/>
        <s v="EALLA FOR GENERAL CONTRACTING CO " u="1"/>
        <s v="ROLLC FOR TRADING COMPANY" u="1"/>
        <s v="Saudi Pipe Systems Co. Ltd." u="1"/>
        <s v="Abdul Aziz Mohammed Abu Shaiea Trading Est" u="1"/>
        <s v="Abu Dawood Trading Co." u="1"/>
        <s v="Al Saadeh Trading Establishment" u="1"/>
        <s v="ASCO Company Ltd" u="1"/>
        <s v="I Engineering KSA" u="1"/>
        <s v="SAFID CO.LTD." u="1"/>
        <s v="PROJECT SUPPLY FOR TRADING EST." u="1"/>
        <s v="EMAAR POLE COMPANY" u="1"/>
        <s v="ULTIMATE SOLUTIONS TRADING CO." u="1"/>
        <s v="TABARK AL-MOMMYZA FOR TRADING EST" u="1"/>
        <s v="Universal Building Materials Merchants Co. ltd" u="1"/>
        <s v="TECHNICAL TOOLS TRADING CO" u="1"/>
        <s v="Seerah Operation &amp; Maintenance Company" u="1"/>
        <s v="ATC Saudi Co." u="1"/>
        <s v="Theqah Al Tawseel Co. for Transport" u="1"/>
        <s v="Saudi company for development of construction and trading limited - SACODECO" u="1"/>
        <s v="Alfa Laval Arabia for Maintenance Company" u="1"/>
        <s v="Sindal Arabia Trading Company" u="1"/>
        <s v="MODERN AL BONYAN CAPITAL COMPANY LIMITED" u="1"/>
        <s v="JARIR MARKETING CO" u="1"/>
        <s v="Diamond Towers Trading &amp; Contracting Company" u="1"/>
        <s v="Extron Electronics Middle East FZE" u="1"/>
        <s v="Naseej Uniforms Co." u="1"/>
        <s v="ALFANAR ELECTRICAL SYSTEMS." u="1"/>
        <s v="Nesma Nibras Maintenance &amp; Cleaning International Co." u="1"/>
        <s v="MODON ADVANCE SERVICES TECH CO (MASTTE)" u="1"/>
        <s v="ALMAYMANAH FOR CONTRACTING CO." u="1"/>
        <s v="AL MABANI AL UMUMIYYAH LTD" u="1"/>
        <s v="Mimar For Construction Tools And Trading Ltd" u="1"/>
        <s v="SAUDI HEPCO" u="1"/>
        <s v="KONE AREECO LIMITED COMPANY" u="1"/>
        <s v="TRAP Pest Control and Garden Maintenance Co. Ltd" u="1"/>
        <s v="Roof Metal Ind LLC" u="1"/>
        <s v="Business Existing Trading Company" u="1"/>
        <s v="STAR SQUARES COMPANY LTD." u="1"/>
        <s v="EASTERN CATERING &amp; OPERATIONS CO" u="1"/>
        <s v="DANIA AIR CONTROL SYSTEM FACTORY" u="1"/>
        <s v="Al Salem York Services Co Ltd" u="1"/>
        <s v="Mohammed hamad Bin Dakhil EST.For Contracting" u="1"/>
        <s v="MOHAMMED MASOUD AL-KHALDI EST" u="1"/>
        <s v="Light Technologies Company Ltd. (Lightech)" u="1"/>
        <s v="Light Technologies Company LTD / Lightech." u="1"/>
        <s v="ARAB EAGLE TRANSPORT CO." u="1"/>
        <s v="SHEHAB TRADING COMPANY" u="1"/>
        <s v="European World Trading Co." u="1"/>
        <s v="ELSEWEDY CABLES CO.LIMITED" u="1"/>
        <s v="Al Qimam Contracting &amp; Trading Est" u="1"/>
        <s v="UNION PIPES INDUSTRY CO." u="1"/>
        <s v="Norah Abdullah Mubarak Abu Dhabi Fuel Est" u="1"/>
        <s v="CAN ALSHARQ GENERAL CONT. EST" u="1"/>
        <s v="ALAM ALWEFAQ FOR CONTRACTING CO" u="1"/>
        <s v="COMPANY IMDAD AL-TAQA FOR LOGISTIC" u="1"/>
        <s v="Tabark Al-Momyza For Tarding Est." u="1"/>
        <s v="ELSWEDY CABLES CO.LIMITED" u="1"/>
        <s v="MASTTE - Moadon Advance Services Technology Company" u="1"/>
        <s v="Innovative Specialised Security Solutions" u="1"/>
        <s v="Bawan Metal Industries Company" u="1"/>
        <s v="THKM ALAALMYT LLTAQT COMPANY" u="1"/>
        <s v="TAMEA AND TAHENA FOR FAST FOOD" u="1"/>
        <s v="TECHNICAL TOOLS TRADING COMPANY" u="1"/>
        <s v="SAHM AL-MADINAH CONTRACTING EST" u="1"/>
        <s v="DALHAM AL JANOUB CONTRACTING EST." u="1"/>
        <s v="ATEEQ AL-LUQMANI EST" u="1"/>
        <s v="SAUDI ELECTRIC SUPPLY CO." u="1"/>
        <s v="SAUDI ELECTRIC SUPPLY CO    " u="1"/>
        <s v="TAMEER STEEL FACTORY CO LTD" u="1"/>
        <s v="Al Fanar Electrical Systems" u="1"/>
        <s v="Isam Kabbani &amp; Partners" u="1"/>
        <s v="RIYADH CABLES GROUP COMPANY" u="1"/>
        <s v="Al Wasail Industrial Co" u="1"/>
        <s v="Elsewedy Cables Co Ltd" u="1"/>
        <s v="Soliman Saleh Al Mohileb And Sons Holding Company (Closed Joint)" u="1"/>
        <s v="Al Mousa Trading Company" u="1"/>
        <s v="Expertise Contracting Company Ltd" u="1"/>
        <s v="WATANIA STEEL FACTORY COMPANY" u="1"/>
        <s v="Smart Access Solutions Company Ltd." u="1"/>
        <s v="ShowTex Middle East F.Z.C" u="1"/>
        <s v="AMCC CONSTRUCTION" u="1"/>
        <s v="NATIONAL MARKETING EST.CO.LTD" u="1"/>
        <s v="Gulf Grilles Company -GGC" u="1"/>
        <s v="Saudi Electric Supply Co" u="1"/>
        <s v="NATIONAL MARKETING EST.CO..LTD" u="1"/>
        <s v="Riyadh Cable Group Of Company" u="1"/>
        <s v="DAIKIN AIRCONDITIONING SA, LLC" u="1"/>
        <s v="AL-HADBANIA TRADING COMPANY." u="1"/>
        <s v="Mariam Ahmad Jamal Ibrahim &amp; Partner Trading  Company" u="1"/>
        <s v="AL NAKHEEL FOR TRADING CO" u="1"/>
        <s v="RABIGH SOLB INDUSTRY FACTORY COMPANY" u="1"/>
        <s v="ROLACO ARABIAN SOUNDS &amp; LIGHTS COMPANY" u="1"/>
        <s v="UNIVERSAL BUILDING MATERIALS MERCHANTS CO.LTD" u="1"/>
        <s v="Roots Innovative Industrial Co" u="1"/>
        <s v="EQTISAD - ELMAMLAKAH FOR CONSTRUCTION LTD." u="1"/>
        <s v="NIZA ABD ALGHANY KABLI FOR GENERAL CONTRACTING" u="1"/>
        <s v="AL MAYMANAH FOR CONTRACTING CO.LTD." u="1"/>
        <s v="SAUDI ELECTRIC SUPPLY COMPANY LIMITED" u="1"/>
        <s v="Huda Lighting LLC Co" u="1"/>
        <s v="DEPTH MODERN TECHNOLOGIES." u="1"/>
        <s v="AL RASHED TIRES COMPANY LLC" u="1"/>
        <s v="Al Faisal Steel Products Co." u="1"/>
        <s v="ATEEQ AL-LUQMANI EST." u="1"/>
        <s v="Ajzal United for Safety Co Ltd" u="1"/>
        <s v="Depa Saudi Arabia" u="1"/>
        <s v="API ENERGY MIDDLE EASTAPI ENERGY GE" u="1"/>
        <s v="METALLURGICAL CORP OF CHINA (MCC)" u="1"/>
        <s v="MARINETEK CONTRACTING LLC" u="1"/>
        <s v="TABUK STEEL COMPANY" u="1"/>
        <s v="ARABIAN INTERNATIONAL COMPANY" u="1"/>
        <s v="Mariam Ahmed Jamal Ibrahim" u="1"/>
        <s v="Mariam Ahmad Jamal Ibrahim &amp; Partner Trading Co." u="1"/>
        <s v="Power Center Company fo Industries LLC" u="1"/>
        <s v="Jamil Ali Nasser Al-Zadjali Factory For Industry" u="1"/>
        <s v="Electric House Trading Co LLC" u="1"/>
        <s v="SOLB STEEL TRADING COMPANY" u="1"/>
        <s v="Br. Mumtaz &amp; Construction Co." u="1"/>
        <s v="Al Mousa Trading Co" u="1"/>
        <s v="Arabian Plastic Manufacturing Co. Ltd" u="1"/>
        <s v="Masdar Technical Supplies" u="1"/>
        <s v="Kingdom Deserts Contracting Co." u="1"/>
        <s v="Rubiya Contracting Company" u="1"/>
        <s v="Diakin Air Conditioning Saudi Arabia" u="1"/>
        <s v="ALFANAR COMPANY" u="1"/>
        <s v="Al Fanar company" u="1"/>
        <s v="Thkm Alaalmyt Lltaqt Company." u="1"/>
        <s v="National Marketing Est." u="1"/>
        <s v="MUDN DISTRINGUISHED ADVANCE CO" u="1"/>
        <s v="National Marketing Est. Co. Ltd." u="1"/>
        <s v="Brilliant Skies Est" u="1"/>
        <s v="Union Pipes Industry Co" u="1"/>
        <s v="Arab Eagle Co." u="1"/>
        <s v="ISAM KABBANI &amp; PARTNERS LTD - UNITECH" u="1"/>
        <s v="Rolaco Arabian Sounds &amp; Lights CO." u="1"/>
        <s v="Elsewedy Cables Co." u="1"/>
        <s v="ESTABLISHMENT OF AL OROUBA TOWER FOR GENERAL CONTRACTING" u="1"/>
        <s v="ADIRONDACK ARCHITECTURAL MODELS INDUSTRY L.L.C" u="1"/>
        <s v="API EAST" u="1"/>
        <s v="FUTURE ACE CONTRACTING COMPANY" u="1"/>
        <s v="Light Box Trading Company" u="1"/>
        <s v="Arabian Roofs Company" u="1"/>
        <s v="Bahra Cables" u="1"/>
        <s v="Abdulah Abdin Albukhari Factory For Industry." u="1"/>
        <s v="Building System Intelligent (BSICO)" u="1"/>
        <s v="ARAB EAGLE CO" u="1"/>
        <s v="RAWABI AL MAHFAR TRADING COMPANY LLC." u="1"/>
        <s v="Al-Fares Advanced Contracting Company" u="1"/>
        <s v="Prime Star Technologies Co. Ltd." u="1"/>
        <s v="Jamil Ali Nasser AlZadjali Factory for Industry" u="1"/>
        <s v="Al Fanar Co. Ltd." u="1"/>
        <s v="KATHOOM JEDDAH TRADING EST." u="1"/>
        <s v="AL ZAMIL CO. FOR TRADE &amp; TRANSPORT" u="1"/>
        <s v="ALAM AL WEFAQ FOR CONTRACTING CO." u="1"/>
        <s v="AL FANAR CO. LTD" u="1"/>
        <s v="Al Tagadom Alaly" u="1"/>
        <s v="Al Wefaq Contracting Company" u="1"/>
        <s v="Al Mabani Al Ummumiyah Ltd" u="1"/>
        <s v="Tabark Al - Momyza For Trading Est." u="1"/>
        <s v="Huda Lighting" u="1"/>
        <s v="Emaan International Company" u="1"/>
        <s v="IFAS - Innovative Facility Management Services" u="1"/>
        <s v="Union Pipes Industry Co. Llc." u="1"/>
        <s v="Electric House Est" u="1"/>
        <s v="Isotherm Insulations Fzc" u="1"/>
        <s v="Hesham Elswedy Trading Company Ltd" u="1"/>
        <s v="MODERN TIMES " u="1"/>
        <s v="ABDULAH ABDIN ALBUKHARI FACTORY FOR" u="1"/>
        <s v="Al-Dawliyah Al-Ariqah For Contract And Development Company" u="1"/>
        <s v="Lucy Switchgear Arabia Co Ltd" u="1"/>
        <s v="United Technology Of Electric Substation &amp; Switchgear Company" u="1"/>
        <s v="HOME ITEMS INTERNATIONAL TRADING" u="1"/>
        <s v="Rawabi Al Mahfar Trdg.Company Llc" u="1"/>
        <s v="ROOTS INNOVATIVE INDUSTRIAL CO. " u="1"/>
        <s v="Tabarak Al-Momyza For Trading Company" u="1"/>
        <s v="Banan Thiba Trading Est. (BTT)" u="1"/>
        <s v="LEADERS FORT ARABIA CONTRACTING" u="1"/>
        <s v="TDM SL" u="1"/>
        <s v="Al-Fanar Company" u="1"/>
        <s v="Al Salem Airconditioning Co.Ltd (Johnson)" u="1"/>
        <s v="  Light Technologies Company LTD / Lightech." u="1"/>
        <s v="JAY CO LTD" u="1"/>
        <s v="ELECTRIC HOUSE TRADING COMPANY" u="1"/>
        <s v="DELHAM AL JANOUB FOR COTRACTING" u="1"/>
        <s v="MOHAMMED KHALAF ALANIZI EST FOR CONTRACTING" u="1"/>
        <s v="Khalid M.Algarboo Company" u="1"/>
        <s v="AL MOUSA CO" u="1"/>
        <s v="MARIAM TRADING COMPANY AND PARTNER" u="1"/>
        <s v="POWER CENTER COMPANY FOR" u="1"/>
        <s v="BRANCH OF NATIONAL FIRE FIGH" u="1"/>
        <s v="SMART HOME TRADING COMPANY" u="1"/>
        <s v="INTELLIGENT SYSTEM GENERAL CONTRACTING COMPANY" u="1"/>
        <s v="BANAN THIBA TRADING EST" u="1"/>
        <s v="AL OTHMAN INDUSTRIAL MARKETING LTD." u="1"/>
        <s v="EMPOWER AIR TECHNOLOGIES CO." u="1"/>
        <s v="AL FANAR CO LTD" u="1"/>
        <s v="Qawaed Aleskan Company General Contracting" u="1"/>
        <s v="SPECIALIZED SECURITY SERVICES" u="1"/>
        <s v="United Arab Aluminum Company Limited" u="1"/>
        <s v="AL FAISAL STEEL PRODUCTS CO" u="1"/>
        <s v="HUDA LIGHTING CO" u="1"/>
        <s v="SAFID CO" u="1"/>
        <s v="POWER CENTER" u="1"/>
        <s v="NATIONAL EST. CO. LTD" u="1"/>
        <s v="DEPTH CO" u="1"/>
        <s v="LIGHTING LTD" u="1"/>
        <s v="ELECTRIC HOUSE LLC" u="1"/>
        <s v="AL MABANI LTD" u="1"/>
        <s v="RIYADH CABLES GROUP CO" u="1"/>
        <s v="AL SALEM AIR CONDITIONING CO" u="1"/>
        <s v="THKM CO" u="1"/>
        <s v="GETZNER WERKSTOFFE GMBH" u="1"/>
        <s v="AL-HADBANIA TRADING CO" u="1"/>
        <s v="GULF GRILLES CO" u="1"/>
        <s v="LIGHT TECHNOLOGIES COMPANY LTD" u="1"/>
        <s v="AL MAYMANAH FOR CONTRACTING CO. LTD" u="1"/>
        <s v="RAWABI AL MAHFAR TRADING COMPANY LL" u="1"/>
        <s v="MARIAM AHMAD JAMAL IBRAHIM PARTNE" u="1"/>
        <s v="ALAM AL WEFAQ FOR CONTRACTING CO" u="1"/>
        <s v="ZAHID TRACTOR HEAVY MACHINERY CO" u="1"/>
      </sharedItems>
    </cacheField>
    <cacheField name="Group Company" numFmtId="0">
      <sharedItems/>
    </cacheField>
    <cacheField name="Project" numFmtId="0">
      <sharedItems count="24">
        <s v="MP1"/>
        <s v="KSP"/>
        <s v="Rabigh Power Plant"/>
        <s v="OPERA House"/>
        <s v="RCRC"/>
        <s v="ABHA"/>
        <s v="Oceanarium"/>
        <s v="CEER"/>
        <s v="ADF"/>
        <s v="L01-YAMMAMA"/>
        <s v="JCD SPMI"/>
        <s v="Lagoon"/>
        <s v="L01" u="1"/>
        <s v="KAP" u="1"/>
        <s v="IFAS - Various Projects" u="1"/>
        <s v="Neom - The Line" u="1"/>
        <s v="Old Dues" u="1"/>
        <s v="Neom - Bay Jetty" u="1"/>
        <s v="B05" u="1"/>
        <s v="Neom- The Line" u="1"/>
        <s v="Neom- The Pilling" u="1"/>
        <s v="JCD" u="1"/>
        <s v="ADF " u="1"/>
        <s v="KSP Finishing" u="1"/>
      </sharedItems>
    </cacheField>
    <cacheField name="LC Amt(SAR)" numFmtId="164">
      <sharedItems containsSemiMixedTypes="0" containsString="0" containsNumber="1" minValue="66939.460000000021" maxValue="583175399" count="534">
        <n v="200000"/>
        <n v="500000"/>
        <n v="3487033.23"/>
        <n v="1500000"/>
        <n v="600000"/>
        <n v="175000"/>
        <n v="900000"/>
        <n v="125000"/>
        <n v="3009600"/>
        <n v="6000000"/>
        <n v="1870380.07"/>
        <n v="10000000"/>
        <n v="2000000"/>
        <n v="400000"/>
        <n v="1044853.45"/>
        <n v="150000"/>
        <n v="350000"/>
        <n v="450000"/>
        <n v="1269458.03"/>
        <n v="18703391.850000001"/>
        <n v="7446132.75"/>
        <n v="1000000"/>
        <n v="16731764"/>
        <n v="5693645.4199999999"/>
        <n v="26518417.458099999"/>
        <n v="2072033.2"/>
        <n v="558949"/>
        <n v="5120131"/>
        <n v="628258.81000000006"/>
        <n v="211576205.22720003"/>
        <n v="2495972.17"/>
        <n v="312828.75"/>
        <n v="42588000"/>
        <n v="2193076"/>
        <n v="7592941.7549999999"/>
        <n v="2074312.5"/>
        <n v="300000.01"/>
        <n v="274384"/>
        <n v="735855"/>
        <n v="20000000"/>
        <n v="101623.2"/>
        <n v="550000.15"/>
        <n v="5308039.3600000003"/>
        <n v="381276.62"/>
        <n v="5802900"/>
        <n v="11188186.699999999"/>
        <n v="2140124.1600000001"/>
        <n v="3003197.5670400006"/>
        <n v="1615774.2562500001"/>
        <n v="300000"/>
        <n v="21481033"/>
        <n v="15724333.939999999"/>
        <n v="397090"/>
        <n v="739450"/>
        <n v="1325316"/>
        <n v="1400000"/>
        <n v="300000.73"/>
        <n v="250000"/>
        <n v="7118602.9487999994"/>
        <n v="337933.93759999995"/>
        <n v="2896770"/>
        <n v="5000000"/>
        <n v="8790001.0999999996"/>
        <n v="25907203.759999998"/>
        <n v="4092796.2399999998"/>
        <n v="17932603.559999999"/>
        <n v="12956001.199999999"/>
        <n v="398652.54"/>
        <n v="565057.47"/>
        <n v="2826301.05"/>
        <n v="424699.6"/>
        <n v="501144.18"/>
        <n v="275000"/>
        <n v="22200000.000000004"/>
        <n v="4000000"/>
        <n v="190080.6"/>
        <n v="650000"/>
        <n v="863693.45"/>
        <n v="7670500"/>
        <n v="700000"/>
        <n v="1033453.25"/>
        <n v="1350790.07"/>
        <n v="750000"/>
        <n v="2741025"/>
        <n v="527850.01"/>
        <n v="922106.57"/>
        <n v="19000000"/>
        <n v="67000000"/>
        <n v="14000000"/>
        <n v="772046"/>
        <n v="16327500.880000001"/>
        <n v="27609897.348000001" u="1"/>
        <n v="6908467.5099999998" u="1"/>
        <n v="353089.35" u="1"/>
        <n v="194277253.99612001" u="1"/>
        <n v="6800985" u="1"/>
        <n v="617898.36" u="1"/>
        <n v="321752.44400000002" u="1"/>
        <n v="21600000" u="1"/>
        <n v="50000000" u="1"/>
        <n v="6221412.3848999999" u="1"/>
        <n v="800000" u="1"/>
        <n v="4738920" u="1"/>
        <n v="400000.94" u="1"/>
        <n v="2500000" u="1"/>
        <n v="1900037.67" u="1"/>
        <n v="100383.5" u="1"/>
        <n v="9979435.5" u="1"/>
        <n v="817725" u="1"/>
        <n v="7259198.5" u="1"/>
        <n v="3000000" u="1"/>
        <n v="303361.71999999997" u="1"/>
        <n v="12000000" u="1"/>
        <n v="1729600" u="1"/>
        <n v="209875" u="1"/>
        <n v="1600000" u="1"/>
        <n v="623875" u="1"/>
        <n v="1431900.7383999999" u="1"/>
        <n v="252107.36" u="1"/>
        <n v="1249991.3500000001" u="1"/>
        <n v="450984.51" u="1"/>
        <n v="850000" u="1"/>
        <n v="2193075.29" u="1"/>
        <n v="120000" u="1"/>
        <n v="624264.62" u="1"/>
        <n v="550000" u="1"/>
        <n v="1226506.05" u="1"/>
        <n v="94000000" u="1"/>
        <n v="3458740" u="1"/>
        <n v="1252435.67" u="1"/>
        <n v="120438.35" u="1"/>
        <n v="2000097.25" u="1"/>
        <n v="2044458.32" u="1"/>
        <n v="13000000" u="1"/>
        <n v="25000000" u="1"/>
        <n v="11573945" u="1"/>
        <n v="399623.8" u="1"/>
        <n v="1964200" u="1"/>
        <n v="30000000" u="1"/>
        <n v="13581536.125" u="1"/>
        <n v="1539808.94" u="1"/>
        <n v="1200600" u="1"/>
        <n v="73962.710000000006" u="1"/>
        <n v="918555.19996334997" u="1"/>
        <n v="204357" u="1"/>
        <n v="2000000.93" u="1"/>
        <n v="1200000" u="1"/>
        <n v="282279.51" u="1"/>
        <n v="753402" u="1"/>
        <n v="875313.5" u="1"/>
        <n v="70863" u="1"/>
        <n v="17434337.5" u="1"/>
        <n v="526125" u="1"/>
        <n v="4030520.1" u="1"/>
        <n v="699476" u="1"/>
        <n v="251134" u="1"/>
        <n v="5193136.82" u="1"/>
        <n v="7289224.0848000003" u="1"/>
        <n v="151075.5" u="1"/>
        <n v="1798725.35" u="1"/>
        <n v="1048645.72627" u="1"/>
        <n v="235199.15" u="1"/>
        <n v="11632450.5" u="1"/>
        <n v="966000" u="1"/>
        <n v="207933.08" u="1"/>
        <n v="1180195" u="1"/>
        <n v="8632232.3800000008" u="1"/>
        <n v="5644762.9768544994" u="1"/>
        <n v="23847897.348000001" u="1"/>
        <n v="10907203.76" u="1"/>
        <n v="871119.25" u="1"/>
        <n v="4639392.95" u="1"/>
        <n v="395588.5" u="1"/>
        <n v="1258192.925" u="1"/>
        <n v="665985.3600000001" u="1"/>
        <n v="1112374.18" u="1"/>
        <n v="1995000" u="1"/>
        <n v="886481.72" u="1"/>
        <n v="221169.27" u="1"/>
        <n v="253537.11" u="1"/>
        <n v="350461" u="1"/>
        <n v="24088785.199999999" u="1"/>
        <n v="378574" u="1"/>
        <n v="263032" u="1"/>
        <n v="78117.13" u="1"/>
        <n v="891914.65" u="1"/>
        <n v="255852.91" u="1"/>
        <n v="93771" u="1"/>
        <n v="283912" u="1"/>
        <n v="254390" u="1"/>
        <n v="102859.94" u="1"/>
        <n v="381871.86" u="1"/>
        <n v="2080350" u="1"/>
        <n v="2827275" u="1"/>
        <n v="999166" u="1"/>
        <n v="41370000" u="1"/>
        <n v="333060.53999999998" u="1"/>
        <n v="66939.460000000021" u="1"/>
        <n v="6250000" u="1"/>
        <n v="40540825" u="1"/>
        <n v="40000000" u="1"/>
        <n v="578910" u="1"/>
        <n v="284688.25" u="1"/>
        <n v="809915" u="1"/>
        <n v="4782000" u="1"/>
        <n v="1150000" u="1"/>
        <n v="302213.12" u="1"/>
        <n v="4000010.22" u="1"/>
        <n v="311571.08" u="1"/>
        <n v="160462" u="1"/>
        <n v="546393.94999999995" u="1"/>
        <n v="205760" u="1"/>
        <n v="863207.81" u="1"/>
        <n v="304000.75" u="1"/>
        <n v="511750" u="1"/>
        <n v="1800000" u="1"/>
        <n v="780158" u="1"/>
        <n v="304417" u="1"/>
        <n v="417625.03" u="1"/>
        <n v="305000" u="1"/>
        <n v="9750433.3499999996" u="1"/>
        <n v="1000000.94" u="1"/>
        <n v="4106471.65" u="1"/>
        <n v="15413737.5" u="1"/>
        <n v="150000.01" u="1"/>
        <n v="784558" u="1"/>
        <n v="547153.36" u="1"/>
        <n v="148350" u="1"/>
        <n v="666690.68999999994" u="1"/>
        <n v="618700.01" u="1"/>
        <n v="5233040.5" u="1"/>
        <n v="4873500" u="1"/>
        <n v="2250000" u="1"/>
        <n v="273781" u="1"/>
        <n v="870662" u="1"/>
        <n v="214923" u="1"/>
        <n v="94929.8" u="1"/>
        <n v="293143.98" u="1"/>
        <n v="316864.68" u="1"/>
        <n v="440466.43" u="1"/>
        <n v="4859479.5600000005" u="1"/>
        <n v="225103.44" u="1"/>
        <n v="6695000" u="1"/>
        <n v="10095188.34" u="1"/>
        <n v="4447370.8471500007" u="1"/>
        <n v="686883" u="1"/>
        <n v="80000" u="1"/>
        <n v="248951.85" u="1"/>
        <n v="249901.5" u="1"/>
        <n v="3500000" u="1"/>
        <n v="1909956.17" u="1"/>
        <n v="13090043.83" u="1"/>
        <n v="9484337.5" u="1"/>
        <n v="123144" u="1"/>
        <n v="175153.65" u="1"/>
        <n v="273082" u="1"/>
        <n v="364580.36" u="1"/>
        <n v="202604.9" u="1"/>
        <n v="286074" u="1"/>
        <n v="292628.84000000003" u="1"/>
        <n v="552155.25" u="1"/>
        <n v="524686.5" u="1"/>
        <n v="551681.93000000005" u="1"/>
        <n v="377983" u="1"/>
        <n v="699367" u="1"/>
        <n v="222582" u="1"/>
        <n v="524263.78" u="1"/>
        <n v="6577809.0999999996" u="1"/>
        <n v="734118.99" u="1"/>
        <n v="535185.18000000005" u="1"/>
        <n v="613577" u="1"/>
        <n v="391554.28" u="1"/>
        <n v="1039144.2912000001" u="1"/>
        <n v="124712.48" u="1"/>
        <n v="335475.96000000002" u="1"/>
        <n v="780320.25" u="1"/>
        <n v="167957.5" u="1"/>
        <n v="4312500" u="1"/>
        <n v="303062.95" u="1"/>
        <n v="205980.49" u="1"/>
        <n v="150129.60999999999" u="1"/>
        <n v="894240" u="1"/>
        <n v="711169" u="1"/>
        <n v="712597.7" u="1"/>
        <n v="309487" u="1"/>
        <n v="345402.56" u="1"/>
        <n v="349170.7" u="1"/>
        <n v="351509.38" u="1"/>
        <n v="1023061.2749999999" u="1"/>
        <n v="435085.25" u="1"/>
        <n v="413173.15" u="1"/>
        <n v="342207.75" u="1"/>
        <n v="165600" u="1"/>
        <n v="313581.86" u="1"/>
        <n v="365762.69" u="1"/>
        <n v="646875" u="1"/>
        <n v="510271" u="1"/>
        <n v="15000000" u="1"/>
        <n v="408291.9" u="1"/>
        <n v="799251.9" u="1"/>
        <n v="567886.03" u="1"/>
        <n v="1280923.2632070002" u="1"/>
        <n v="205442.15" u="1"/>
        <n v="500339.7" u="1"/>
        <n v="197999.99" u="1"/>
        <n v="1161954.08" u="1"/>
        <n v="355517.15" u="1"/>
        <n v="274309.5" u="1"/>
        <n v="2330000.0099999998" u="1"/>
        <n v="425000" u="1"/>
        <n v="2139000" u="1"/>
        <n v="500575.54" u="1"/>
        <n v="304087.03999999998" u="1"/>
        <n v="2395477.52" u="1"/>
        <n v="783377.8" u="1"/>
        <n v="382850" u="1"/>
        <n v="245149.44" u="1"/>
        <n v="450163.23" u="1"/>
        <n v="248951.2" u="1"/>
        <n v="799251" u="1"/>
        <n v="221169.19" u="1"/>
        <n v="606049" u="1"/>
        <n v="499955.6" u="1"/>
        <n v="1904115" u="1"/>
        <n v="4270138.32" u="1"/>
        <n v="1253500" u="1"/>
        <n v="255852.33" u="1"/>
        <n v="2118694.4500000002" u="1"/>
        <n v="1552467.08" u="1"/>
        <n v="1139000" u="1"/>
        <n v="10893375" u="1"/>
        <n v="3150000" u="1"/>
        <n v="6439356" u="1"/>
        <n v="270000" u="1"/>
        <n v="8002636.4299999997" u="1"/>
        <n v="6947334" u="1"/>
        <n v="2626749.98" u="1"/>
        <n v="1900870.95" u="1"/>
        <n v="3591000" u="1"/>
        <n v="108757.8" u="1"/>
        <n v="4952175" u="1"/>
        <n v="3731112.9637500001" u="1"/>
        <n v="112626.99" u="1"/>
        <n v="4106463.76" u="1"/>
        <n v="1250000" u="1"/>
        <n v="11042622" u="1"/>
        <n v="1548105.39" u="1"/>
        <n v="872100" u="1"/>
        <n v="3332700" u="1"/>
        <n v="1926250" u="1"/>
        <n v="517624.02" u="1"/>
        <n v="1513032.73" u="1"/>
        <n v="1519664.37" u="1"/>
        <n v="177325.35" u="1"/>
        <n v="300000.5" u="1"/>
        <n v="450975.31" u="1"/>
        <n v="475009.53" u="1"/>
        <n v="11293641.26" u="1"/>
        <n v="540000" u="1"/>
        <n v="1918775" u="1"/>
        <n v="5113228.88" u="1"/>
        <n v="332775" u="1"/>
        <n v="300597.8" u="1"/>
        <n v="404174.93" u="1"/>
        <n v="200422.65" u="1"/>
        <n v="234893.88" u="1"/>
        <n v="3785250" u="1"/>
        <n v="875500" u="1"/>
        <n v="8907800.5" u="1"/>
        <n v="413369.1" u="1"/>
        <n v="464036.5" u="1"/>
        <n v="23391922.5" u="1"/>
        <n v="168705.07" u="1"/>
        <n v="1095964" u="1"/>
        <n v="13071365.172" u="1"/>
        <n v="4581071.46" u="1"/>
        <n v="2835037.61" u="1"/>
        <n v="11166675" u="1"/>
        <n v="18000000" u="1"/>
        <n v="1402793.9558999999" u="1"/>
        <n v="583175399" u="1"/>
        <n v="4326956.6694399994" u="1"/>
        <n v="5916965.8500000006" u="1"/>
        <n v="7566370.25" u="1"/>
        <n v="6817775" u="1"/>
        <n v="11821448" u="1"/>
        <n v="499521.42" u="1"/>
        <n v="1584497.6" u="1"/>
        <n v="594305.52" u="1"/>
        <n v="1021926.5249999999" u="1"/>
        <n v="17471352" u="1"/>
        <n v="526225.01500000095" u="1"/>
        <n v="476785.75" u="1"/>
        <n v="900400" u="1"/>
        <n v="6322470" u="1"/>
        <n v="1001635.3025" u="1"/>
        <n v="18768000" u="1"/>
        <n v="618247.46340000001" u="1"/>
        <n v="1756508.98425" u="1"/>
        <n v="32393982.719499998" u="1"/>
        <n v="301761.59999999998" u="1"/>
        <n v="4370000" u="1"/>
        <n v="1458479.28" u="1"/>
        <n v="407334.49" u="1"/>
        <n v="2974166.33" u="1"/>
        <n v="649056.68999999994" u="1"/>
        <n v="493685.89" u="1"/>
        <n v="2622000" u="1"/>
        <n v="2053440" u="1"/>
        <n v="8700000" u="1"/>
        <n v="1035000" u="1"/>
        <n v="8410429.8000000007" u="1"/>
        <n v="772500" u="1"/>
        <n v="16346642.4" u="1"/>
        <n v="576618.84" u="1"/>
        <n v="4262455.25" u="1"/>
        <n v="3259208.68" u="1"/>
        <n v="9000429" u="1"/>
        <n v="804752.18" u="1"/>
        <n v="531394.88" u="1"/>
        <n v="1000475.49" u="1"/>
        <n v="507379.58" u="1"/>
        <n v="18879540" u="1"/>
        <n v="5208739.97" u="1"/>
        <n v="3262947" u="1"/>
        <n v="1420509.01" u="1"/>
        <n v="431393.05" u="1"/>
        <n v="2868897.74" u="1"/>
        <n v="3059710.07" u="1"/>
        <n v="482012.43" u="1"/>
        <n v="6700000" u="1"/>
        <n v="451362.57" u="1"/>
        <n v="169050" u="1"/>
        <n v="3142784.4750000001" u="1"/>
        <n v="436052.14" u="1"/>
        <n v="12603195" u="1"/>
        <n v="1326959.55" u="1"/>
        <n v="715921" u="1"/>
        <n v="108100" u="1"/>
        <n v="522850" u="1"/>
        <n v="530000" u="1"/>
        <n v="491845.28749999998" u="1"/>
        <n v="11000000" u="1"/>
        <n v="128535.5" u="1"/>
        <n v="530482.57999999996" u="1"/>
        <n v="2003904.69" u="1"/>
        <n v="3582817.67" u="1"/>
        <n v="809055.91" u="1"/>
        <n v="4626403.66" u="1"/>
        <n v="13330800" u="1"/>
        <n v="359810.57" u="1"/>
        <n v="3543660.2" u="1"/>
        <n v="4264593.6239999998" u="1"/>
        <n v="11527982.48" u="1"/>
        <n v="1900000" u="1"/>
        <n v="2026592" u="1"/>
        <n v="2846250" u="1"/>
        <n v="8247656.25" u="1"/>
        <n v="1167116.6000000001" u="1"/>
        <n v="807357.5" u="1"/>
        <n v="455725.45" u="1"/>
        <n v="1181656.28" u="1"/>
        <n v="10521742.190400001" u="1"/>
        <n v="1783011.7000000002" u="1"/>
        <n v="627575.76" u="1"/>
        <n v="754128.94" u="1"/>
        <n v="2200000" u="1"/>
        <n v="8418988.2300000004" u="1"/>
        <n v="12879540" u="1"/>
        <n v="2736109.75" u="1"/>
        <n v="593400" u="1"/>
        <n v="999349.72" u="1"/>
        <n v="933207.66" u="1"/>
        <n v="4836003" u="1"/>
        <n v="4651893.3758000005" u="1"/>
        <n v="514797.5" u="1"/>
        <n v="2019034.07" u="1"/>
        <n v="2588066.71" u="1"/>
        <n v="1508807.25" u="1"/>
        <n v="3908440.3499999996" u="1"/>
        <n v="2120837" u="1"/>
        <n v="3055634" u="1"/>
        <n v="1978910.18" u="1"/>
        <n v="28000000" u="1"/>
        <n v="483175399" u="1"/>
        <n v="4281219.72" u="1"/>
        <n v="71300" u="1"/>
        <n v="2575000" u="1"/>
        <n v="897119.6" u="1"/>
        <n v="2238238.98" u="1"/>
        <n v="1552500" u="1"/>
        <n v="405299.47" u="1"/>
        <n v="686893.71" u="1"/>
        <n v="670471.5" u="1"/>
        <n v="769558.85" u="1"/>
        <n v="1050000" u="1"/>
        <n v="1083501.1399999999" u="1"/>
        <n v="1713600" u="1"/>
        <n v="127650" u="1"/>
        <n v="204164944.99000001" u="1"/>
        <n v="11416060.32" u="1"/>
        <n v="11810624.789999999" u="1"/>
        <n v="4239654.4800000004" u="1"/>
        <n v="1241211.18" u="1"/>
        <n v="7703704.966430001" u="1"/>
        <n v="539552.68999999994" u="1"/>
        <n v="2920000" u="1"/>
        <n v="9787326" u="1"/>
        <n v="5725000" u="1"/>
        <n v="30018762.719499998" u="1"/>
        <n v="327750" u="1"/>
        <n v="14117915.810000001" u="1"/>
        <n v="6214455.182000001" u="1"/>
        <n v="1053268.1599999999" u="1"/>
        <n v="507987.99" u="1"/>
        <n v="375576.84" u="1"/>
        <n v="458485.39" u="1"/>
        <n v="593580.02" u="1"/>
        <n v="1650702.09" u="1"/>
        <n v="883722.5" u="1"/>
        <n v="1795147.53" u="1"/>
        <n v="1261625" u="1"/>
        <n v="1749851.86" u="1"/>
        <n v="2754688.47" u="1"/>
        <n v="580000" u="1"/>
        <n v="752343.75" u="1"/>
        <n v="12562968.539999999" u="1"/>
        <n v="336981367" u="1"/>
        <n v="1792213.13" u="1"/>
        <n v="15493991.08044" u="1"/>
        <n v="6385231.5400908366" u="1"/>
        <n v="957211.02655000007" u="1"/>
        <n v="18328577.756580003" u="1"/>
        <n v="58283400" u="1"/>
      </sharedItems>
    </cacheField>
    <cacheField name="LC Settled" numFmtId="164">
      <sharedItems containsSemiMixedTypes="0" containsString="0" containsNumber="1" minValue="0" maxValue="576597366.8499999" count="527">
        <n v="0"/>
        <n v="1989866.83"/>
        <n v="1850554.97"/>
        <n v="2924152.4000000004"/>
        <n v="1478254.88"/>
        <n v="17787660.100000001"/>
        <n v="2500000"/>
        <n v="5732513.5999999996"/>
        <n v="98871.6"/>
        <n v="1071489.43"/>
        <n v="347240.48"/>
        <n v="463730.6"/>
        <n v="300966.99"/>
        <n v="210445911.24020118"/>
        <n v="1548792.03"/>
        <n v="262776.15000000002"/>
        <n v="12335918.542009998"/>
        <n v="781791.28"/>
        <n v="703586.90607999999"/>
        <n v="1365320.5099999998"/>
        <n v="137792.10999999999"/>
        <n v="482497.13"/>
        <n v="5072714.3"/>
        <n v="140641.01"/>
        <n v="495832.85"/>
        <n v="1696396.49"/>
        <n v="992843.09680000006"/>
        <n v="386882.11667999998"/>
        <n v="1385426.0200000003"/>
        <n v="363328.54672888498"/>
        <n v="650518.46"/>
        <n v="16605181.220000001"/>
        <n v="4079312.29"/>
        <n v="4576500"/>
        <n v="1509410.02"/>
        <n v="332244.19"/>
        <n v="1261168.18"/>
        <n v="212349.8"/>
        <n v="42591.07"/>
        <n v="20908277"/>
        <n v="732234.90999999992"/>
        <n v="2707269.5"/>
        <n v="326709.94"/>
        <n v="4347795.32"/>
        <n v="391176.24"/>
        <n v="1641337.5"/>
        <n v="263925"/>
        <n v="207691.38"/>
        <n v="336122.53"/>
        <n v="13000000"/>
        <n v="25000000"/>
        <n v="10000000"/>
        <n v="15446722.59"/>
        <n v="21297320.368026204" u="1"/>
        <n v="1075414.72" u="1"/>
        <n v="5903039.0800000001" u="1"/>
        <n v="731060.59680000006" u="1"/>
        <n v="291421.5" u="1"/>
        <n v="249589.36" u="1"/>
        <n v="4084565.32" u="1"/>
        <n v="5000000" u="1"/>
        <n v="191384611.26566693" u="1"/>
        <n v="1032388.6699999999" u="1"/>
        <n v="15996045.800000001" u="1"/>
        <n v="4527469.63" u="1"/>
        <n v="15872333.020000001" u="1"/>
        <n v="4078401.16" u="1"/>
        <n v="1133745.82" u="1"/>
        <n v="4053738.47" u="1"/>
        <n v="329723.73599999998" u="1"/>
        <n v="1675271" u="1"/>
        <n v="823457.55" u="1"/>
        <n v="223403.6" u="1"/>
        <n v="20443610.368026204" u="1"/>
        <n v="8496341.4508099984" u="1"/>
        <n v="499952.7" u="1"/>
        <n v="671905.16" u="1"/>
        <n v="3721273.25" u="1"/>
        <n v="378800.2" u="1"/>
        <n v="362250" u="1"/>
        <n v="5105726.0257399995" u="1"/>
        <n v="1365320.51" u="1"/>
        <n v="780963.37000000011" u="1"/>
        <n v="283333.74" u="1"/>
        <n v="664214" u="1"/>
        <n v="89826.5" u="1"/>
        <n v="7192960.8300000001" u="1"/>
        <n v="109064.85" u="1"/>
        <n v="3450649.5" u="1"/>
        <n v="449036.45" u="1"/>
        <n v="305990.11667999998" u="1"/>
        <n v="1499189.2599999998" u="1"/>
        <n v="13012511.67" u="1"/>
        <n v="1749763.62" u="1"/>
        <n v="1360305.70148" u="1"/>
        <n v="3672065.32" u="1"/>
        <n v="864463.57000000007" u="1"/>
        <n v="15377769.26" u="1"/>
        <n v="2387073.4000000004" u="1"/>
        <n v="2979615.32" u="1"/>
        <n v="316440.59999999998" u="1"/>
        <n v="14329033.700000001" u="1"/>
        <n v="2287165.3199999998" u="1"/>
        <n v="162607.04000000001" u="1"/>
        <n v="453779.49" u="1"/>
        <n v="4876575.4216160001" u="1"/>
        <n v="2641411.75" u="1"/>
        <n v="73226.539999999994" u="1"/>
        <n v="687326.85" u="1"/>
        <n v="312132.31" u="1"/>
        <n v="654639.56000000006" u="1"/>
        <n v="1236597.7600000002" u="1"/>
        <n v="627414.39928000001" u="1"/>
        <n v="2010002" u="1"/>
        <n v="737070.04" u="1"/>
        <n v="66000000" u="1"/>
        <n v="3747705.2875999999" u="1"/>
        <n v="528414.39928000001" u="1"/>
        <n v="19251408.518426206" u="1"/>
        <n v="1478398.85" u="1"/>
        <n v="1164996" u="1"/>
        <n v="399623.77" u="1"/>
        <n v="1233769.43" u="1"/>
        <n v="11768747.039999999" u="1"/>
        <n v="539548.79" u="1"/>
        <n v="1487919.6900000002" u="1"/>
        <n v="11269136.109999999" u="1"/>
        <n v="191415449.40608993" u="1"/>
        <n v="353382.81648000004" u="1"/>
        <n v="239654.07" u="1"/>
        <n v="10861900.140000001" u="1"/>
        <n v="4074090.56" u="1"/>
        <n v="2692305" u="1"/>
        <n v="189905771.46458992" u="1"/>
        <n v="809663.77" u="1"/>
        <n v="34000000" u="1"/>
        <n v="467493.97000000003" u="1"/>
        <n v="358804.755" u="1"/>
        <n v="125131.5" u="1"/>
        <n v="807280.43904000008" u="1"/>
        <n v="17130262.5" u="1"/>
        <n v="12782250" u="1"/>
        <n v="273958.68" u="1"/>
        <n v="385105.68000000005" u="1"/>
        <n v="1867272.2500000002" u="1"/>
        <n v="908214.3600000001" u="1"/>
        <n v="906374.06" u="1"/>
        <n v="1670374.75" u="1"/>
        <n v="189824735.27358991" u="1"/>
        <n v="1246756.1200000001" u="1"/>
        <n v="502268.01" u="1"/>
        <n v="766157.63" u="1"/>
        <n v="1117011.5" u="1"/>
        <n v="8506640.9600000009" u="1"/>
        <n v="3105887.41" u="1"/>
        <n v="9484337.5" u="1"/>
        <n v="779721.04" u="1"/>
        <n v="2874080" u="1"/>
        <n v="243215.8" u="1"/>
        <n v="641920.07000000007" u="1"/>
        <n v="2352034.91" u="1"/>
        <n v="253477.32" u="1"/>
        <n v="1500000" u="1"/>
        <n v="381401.93062999996" u="1"/>
        <n v="4999038.42" u="1"/>
        <n v="667529.19999999995" u="1"/>
        <n v="4182477.33" u="1"/>
        <n v="7973451.0600000005" u="1"/>
        <n v="1421434.25" u="1"/>
        <n v="6353686.3800000008" u="1"/>
        <n v="2220930.13" u="1"/>
        <n v="456208.13" u="1"/>
        <n v="302799.17000000004" u="1"/>
        <n v="7344755.46" u="1"/>
        <n v="18707819.640826207" u="1"/>
        <n v="658511" u="1"/>
        <n v="3357736.4" u="1"/>
        <n v="327131.67" u="1"/>
        <n v="543801.07999999996" u="1"/>
        <n v="1304831.8899999999" u="1"/>
        <n v="150000" u="1"/>
        <n v="253862.7" u="1"/>
        <n v="185863824.96204123" u="1"/>
        <n v="1223311.0773" u="1"/>
        <n v="665985.36" u="1"/>
        <n v="3913306.89" u="1"/>
        <n v="2954244.54" u="1"/>
        <n v="823482.97000000009" u="1"/>
        <n v="992612.89" u="1"/>
        <n v="325907.7" u="1"/>
        <n v="1736499.95" u="1"/>
        <n v="64094.5" u="1"/>
        <n v="1613905.4000000001" u="1"/>
        <n v="30420.75" u="1"/>
        <n v="621000" u="1"/>
        <n v="3241595.0304" u="1"/>
        <n v="18133208.701206207" u="1"/>
        <n v="1197944.51" u="1"/>
        <n v="2330199" u="1"/>
        <n v="7342755.46" u="1"/>
        <n v="500000" u="1"/>
        <n v="6019158.46" u="1"/>
        <n v="2962743.95" u="1"/>
        <n v="2704025" u="1"/>
        <n v="5443652.0700000003" u="1"/>
        <n v="586589.85" u="1"/>
        <n v="15000000" u="1"/>
        <n v="978398.85" u="1"/>
        <n v="88221.07" u="1"/>
        <n v="1474331.6400000001" u="1"/>
        <n v="215118.36" u="1"/>
        <n v="1320675.18012621" u="1"/>
        <n v="153844.13" u="1"/>
        <n v="1764399" u="1"/>
        <n v="575000" u="1"/>
        <n v="1979998.95" u="1"/>
        <n v="434097.19" u="1"/>
        <n v="171555.34" u="1"/>
        <n v="2255915" u="1"/>
        <n v="3632005.1100000003" u="1"/>
        <n v="1479500" u="1"/>
        <n v="627519.39" u="1"/>
        <n v="185863862.94204122" u="1"/>
        <n v="625975.29" u="1"/>
        <n v="451585.97" u="1"/>
        <n v="185011912.14112222" u="1"/>
        <n v="183895.49" u="1"/>
        <n v="9427647.1874999981" u="1"/>
        <n v="472000" u="1"/>
        <n v="12047248.049999999" u="1"/>
        <n v="1994342" u="1"/>
        <n v="399987.65" u="1"/>
        <n v="547153.37" u="1"/>
        <n v="413914" u="1"/>
        <n v="622981.28" u="1"/>
        <n v="305986.77" u="1"/>
        <n v="783914.5" u="1"/>
        <n v="1030745" u="1"/>
        <n v="2297257.61" u="1"/>
        <n v="3902280.7560540005" u="1"/>
        <n v="2595590.6" u="1"/>
        <n v="184328.1" u="1"/>
        <n v="154977.42000000001" u="1"/>
        <n v="1893615.91" u="1"/>
        <n v="10682988.68" u="1"/>
        <n v="231336.88" u="1"/>
        <n v="111315.33" u="1"/>
        <n v="8153775.7874999987" u="1"/>
        <n v="3332699.99" u="1"/>
        <n v="6679465.7599999998" u="1"/>
        <n v="4447370.8485483956" u="1"/>
        <n v="134784.6" u="1"/>
        <n v="394800" u="1"/>
        <n v="292258.94" u="1"/>
        <n v="4360365.21" u="1"/>
        <n v="2770000" u="1"/>
        <n v="180052821.74512222" u="1"/>
        <n v="1000000" u="1"/>
        <n v="2732766.99" u="1"/>
        <n v="397002.75" u="1"/>
        <n v="1091051.7" u="1"/>
        <n v="216257.5" u="1"/>
        <n v="86185.85" u="1"/>
        <n v="1210253.1000000001" u="1"/>
        <n v="6867678.7499999991" u="1"/>
        <n v="1173683.49" u="1"/>
        <n v="397922" u="1"/>
        <n v="295901.15999999997" u="1"/>
        <n v="83778" u="1"/>
        <n v="1774302.4000000001" u="1"/>
        <n v="359031.77" u="1"/>
        <n v="6295368.7999999998" u="1"/>
        <n v="9315523.3499999996" u="1"/>
        <n v="5749590" u="1"/>
        <n v="3350325.5196900005" u="1"/>
        <n v="1481071.75" u="1"/>
        <n v="5912275.1999999993" u="1"/>
        <n v="6655025.9100000001" u="1"/>
        <n v="5203811.2" u="1"/>
        <n v="135179.32999999999" u="1"/>
        <n v="1105519.29" u="1"/>
        <n v="543834" u="1"/>
        <n v="715041.88" u="1"/>
        <n v="1233071.8233" u="1"/>
        <n v="2170000" u="1"/>
        <n v="14338469.07" u="1"/>
        <n v="578105" u="1"/>
        <n v="2836219.2800000003" u="1"/>
        <n v="2253479.1599999997" u="1"/>
        <n v="155888.54999999999" u="1"/>
        <n v="4424051.2" u="1"/>
        <n v="3032189.8810900003" u="1"/>
        <n v="2138999.4" u="1"/>
        <n v="2234038.06" u="1"/>
        <n v="2174325.09" u="1"/>
        <n v="5587007.2874999996" u="1"/>
        <n v="5738465.8760359995" u="1"/>
        <n v="179058985.52028182" u="1"/>
        <n v="1570596.4" u="1"/>
        <n v="766481.6" u="1"/>
        <n v="363515" u="1"/>
        <n v="330740.90000000002" u="1"/>
        <n v="5450158.6490359996" u="1"/>
        <n v="988870.39" u="1"/>
        <n v="525035.56000000006" u="1"/>
        <n v="179051314.57128182" u="1"/>
        <n v="6484689.9900000002" u="1"/>
        <n v="6807609" u="1"/>
        <n v="1225000" u="1"/>
        <n v="4164992.4290359998" u="1"/>
        <n v="2439662.3235200001" u="1"/>
        <n v="3191952.2180359997" u="1"/>
        <n v="1877299.98" u="1"/>
        <n v="4852096.79" u="1"/>
        <n v="3455501.0700000003" u="1"/>
        <n v="622796.43000000005" u="1"/>
        <n v="2870621.5460360004" u="1"/>
        <n v="458740.58" u="1"/>
        <n v="1245427.02" u="1"/>
        <n v="1173290.58366" u="1"/>
        <n v="2498363.2000000002" u="1"/>
        <n v="4038079.43" u="1"/>
        <n v="1377299.98" u="1"/>
        <n v="1232500.01" u="1"/>
        <n v="2924223.49" u="1"/>
        <n v="782469.45240000007" u="1"/>
        <n v="727299.98" u="1"/>
        <n v="420381.0379" u="1"/>
        <n v="872440" u="1"/>
        <n v="700000" u="1"/>
        <n v="1715563.2" u="1"/>
        <n v="2543178.5600359999" u="1"/>
        <n v="840873.63" u="1"/>
        <n v="1513032" u="1"/>
        <n v="650808.41" u="1"/>
        <n v="1499834.16" u="1"/>
        <n v="176690.77" u="1"/>
        <n v="300000" u="1"/>
        <n v="450975.3" u="1"/>
        <n v="475009.52" u="1"/>
        <n v="527299.98" u="1"/>
        <n v="2221847.8880359996" u="1"/>
        <n v="1159706.7233" u="1"/>
        <n v="1889882.9690359998" u="1"/>
        <n v="272314.83" u="1"/>
        <n v="280239.99" u="1"/>
        <n v="689500" u="1"/>
        <n v="2667545.56" u="1"/>
        <n v="935803.2" u="1"/>
        <n v="959785.35431999993" u="1"/>
        <n v="614134.10681999999" u="1"/>
        <n v="175151314.57128182" u="1"/>
        <n v="11962594.868075" u="1"/>
        <n v="207176.82" u="1"/>
        <n v="302011.38" u="1"/>
        <n v="174954663.74144661" u="1"/>
        <n v="8601602.2899999991" u="1"/>
        <n v="7904811.6600000001" u="1"/>
        <n v="1098438.5839" u="1"/>
        <n v="576597366.8499999" u="1"/>
        <n v="2990244.1374608562" u="1"/>
        <n v="7566369.8300000001" u="1"/>
        <n v="11804060" u="1"/>
        <n v="174275800.8814466" u="1"/>
        <n v="20000000" u="1"/>
        <n v="525809.39" u="1"/>
        <n v="1737834" u="1"/>
        <n v="2945463.53" u="1"/>
        <n v="7587920.3899999987" u="1"/>
        <n v="173810133.54944661" u="1"/>
        <n v="11342065.555648999" u="1"/>
        <n v="9766835" u="1"/>
        <n v="11110678.184889" u="1"/>
        <n v="2354265.0499999998" u="1"/>
        <n v="995509.89" u="1"/>
        <n v="10547517.385933999" u="1"/>
        <n v="9970513.141193999" u="1"/>
        <n v="173059251.92444661" u="1"/>
        <n v="9518548.7423339989" u="1"/>
        <n v="3784535" u="1"/>
        <n v="250606.6" u="1"/>
        <n v="9052308.3947939985" u="1"/>
        <n v="7957464.0410339981" u="1"/>
        <n v="1269454.6215999997" u="1"/>
        <n v="6657445.4499999993" u="1"/>
        <n v="6482587.364839999" u="1"/>
        <n v="446228.6" u="1"/>
        <n v="29392005.796412002" u="1"/>
        <n v="245883.8" u="1"/>
        <n v="3282724.96" u="1"/>
        <n v="173024420.75144663" u="1"/>
        <n v="6149927.159119999" u="1"/>
        <n v="1537811.54" u="1"/>
        <n v="5635803.0889449995" u="1"/>
        <n v="4660935.184045" u="1"/>
        <n v="172751654.26664662" u="1"/>
        <n v="3084055.03" u="1"/>
        <n v="8652634.5" u="1"/>
        <n v="29420278" u="1"/>
        <n v="804752.18000000017" u="1"/>
        <n v="492054.91000000003" u="1"/>
        <n v="1000475.48" u="1"/>
        <n v="507379.57" u="1"/>
        <n v="18806709" u="1"/>
        <n v="4911189.34" u="1"/>
        <n v="13268700" u="1"/>
        <n v="4629244.5" u="1"/>
        <n v="171858833.38664663" u="1"/>
        <n v="8550568.9299999997" u="1"/>
        <n v="7506078.75" u="1"/>
        <n v="29358923.295612" u="1"/>
        <n v="27572468.252412003" u="1"/>
        <n v="2506565.4" u="1"/>
        <n v="3740788.45" u="1"/>
        <n v="27537931.631212004" u="1"/>
        <n v="27163706.050812002" u="1"/>
        <n v="3059133.3200000003" u="1"/>
        <n v="229198.19" u="1"/>
        <n v="4662524.0264290003" u="1"/>
        <n v="9463005" u="1"/>
        <n v="1285240" u="1"/>
        <n v="171271735.18664664" u="1"/>
        <n v="4314108.34" u="1"/>
        <n v="1970061.04" u="1"/>
        <n v="690514.01" u="1"/>
        <n v="6646080" u="1"/>
        <n v="2865461.84" u="1"/>
        <n v="522689.46" u="1"/>
        <n v="491845.29" u="1"/>
        <n v="2154117.0299999998" u="1"/>
        <n v="4110329.7094840007" u="1"/>
        <n v="1810890.66" u="1"/>
        <n v="8061364.9000000004" u="1"/>
        <n v="171012717.81764665" u="1"/>
        <n v="2203480.5" u="1"/>
        <n v="2316934.6518538562" u="1"/>
        <n v="533828566.84999996" u="1"/>
        <n v="7172895" u="1"/>
        <n v="3919786.4478040007" u="1"/>
        <n v="2876261.3817800004" u="1"/>
        <n v="4837590" u="1"/>
        <n v="3331564.61" u="1"/>
        <n v="170740516.57664666" u="1"/>
        <n v="931500.09" u="1"/>
        <n v="507681.36" u="1"/>
        <n v="1377339.8351" u="1"/>
        <n v="956433.36330000008" u="1"/>
        <n v="3934905.2673540004" u="1"/>
        <n v="2494026.8997599999" u="1"/>
        <n v="1893550" u="1"/>
        <n v="2026591.9999999998" u="1"/>
        <n v="2277000" u="1"/>
        <n v="475914577.78999996" u="1"/>
        <n v="7828481.25" u="1"/>
        <n v="858548.04" u="1"/>
        <n v="91145.09" u="1"/>
        <n v="447638.56740000006" u="1"/>
        <n v="10432413.443347" u="1"/>
        <n v="2581186.5" u="1"/>
        <n v="1609500" u="1"/>
        <n v="170627785.20464665" u="1"/>
        <n v="26285090" u="1"/>
        <n v="170057091.61364666" u="1"/>
        <n v="1876828.68" u="1"/>
        <n v="5540367.0099999998" u="1"/>
        <n v="2694390.2" u="1"/>
        <n v="163224514.26464665" u="1"/>
        <n v="20616050" u="1"/>
        <n v="2316934.479775772" u="1"/>
        <n v="163224275.09364665" u="1"/>
        <n v="25019762.248812001" u="1"/>
        <n v="1409150.2" u="1"/>
        <n v="10407017.454806" u="1"/>
        <n v="163205619.75564665" u="1"/>
        <n v="6128834.2048500003" u="1"/>
        <n v="209264.52" u="1"/>
        <n v="18064258" u="1"/>
        <n v="14929070" u="1"/>
        <n v="21150044.126412001" u="1"/>
        <n v="19584380.642411999" u="1"/>
        <n v="457318.2" u="1"/>
        <n v="2315650.2610348803" u="1"/>
        <n v="9222655" u="1"/>
        <n v="541908.94912220002" u="1"/>
        <n v="163172079.21564665" u="1"/>
        <n v="916299.21" u="1"/>
        <n v="19074061.922412001" u="1"/>
        <n v="3529473.1941499999" u="1"/>
        <n v="472179540.75999999" u="1"/>
        <n v="5163730" u="1"/>
        <n v="154444257.32064664" u="1"/>
        <n v="18197557.144212" u="1"/>
        <n v="461258528.99000001" u="1"/>
        <n v="6123435.8100000005" u="1"/>
        <n v="416865.1" u="1"/>
        <n v="1200000" u="1"/>
        <n v="153678426.83964664" u="1"/>
        <n v="2497678.4764799997" u="1"/>
        <n v="3830951.2551540001" u="1"/>
        <n v="388103632.79000002" u="1"/>
        <n v="536243.17200000002" u="1"/>
        <n v="2619530.57925" u="1"/>
        <n v="3043127.5252140001" u="1"/>
        <n v="3424624.684539" u="1"/>
        <n v="3402303.75" u="1"/>
        <n v="3424852.4523539999" u="1"/>
        <n v="152915083.45414662" u="1"/>
        <n v="355572336.31999999" u="1"/>
        <n v="3424552.375341" u="1"/>
        <n v="143957749.14684662" u="1"/>
        <n v="7591541.1199999992" u="1"/>
        <n v="851716.12329999998" u="1"/>
        <n v="2667742.7985" u="1"/>
        <n v="1556393.6088400001" u="1"/>
        <n v="4000000" u="1"/>
        <n v="13772814.220809" u="1"/>
        <n v="6081665.2725520004" u="1"/>
        <n v="214862887.76000002" u="1"/>
        <n v="425819.42350000003" u="1"/>
        <n v="128132749.79000001" u="1"/>
        <n v="134149933.21584661" u="1"/>
        <n v="15385131.247946013" u="1"/>
        <n v="416902.867379" u="1"/>
        <n v="918768.32943300006" u="1"/>
        <n v="15233706.98796" u="1"/>
        <n v="16660346.751748038" u="1"/>
        <n v="1548972.1134299999" u="1"/>
      </sharedItems>
    </cacheField>
    <cacheField name="Pending Settlement" numFmtId="164">
      <sharedItems containsString="0" containsBlank="1" containsNumber="1" minValue="52759.519999999997" maxValue="42000000"/>
    </cacheField>
    <cacheField name="LC Balance" numFmtId="164">
      <sharedItems containsSemiMixedTypes="0" containsString="0" containsNumber="1" minValue="-1230441.1499999999" maxValue="268312511.23999998" count="1169">
        <n v="200000"/>
        <n v="134988.62"/>
        <n v="1497166.4"/>
        <n v="122268.28"/>
        <n v="88310.67"/>
        <n v="175000"/>
        <n v="0"/>
        <n v="1159045.03"/>
        <n v="6000000"/>
        <n v="561114.06999999995"/>
        <n v="7075847.5999999996"/>
        <n v="2000000"/>
        <n v="400000"/>
        <n v="477110.18"/>
        <n v="21745.119999999999"/>
        <n v="56144.91"/>
        <n v="350000"/>
        <n v="450000"/>
        <n v="1269458.03"/>
        <n v="915731.75"/>
        <n v="4946132.75"/>
        <n v="4015.18"/>
        <n v="10999250.4"/>
        <n v="401128.4"/>
        <n v="600000"/>
        <n v="703.77"/>
        <n v="5693645.4199999999"/>
        <n v="26518417.460000001"/>
        <n v="955797.2"/>
        <n v="151776.14000000001"/>
        <n v="5120131"/>
        <n v="140540.12"/>
        <n v="500000"/>
        <n v="1130293.99"/>
        <n v="947180.14"/>
        <n v="50052.6"/>
        <n v="20724744.149999999"/>
        <n v="1000000"/>
        <n v="118208.72"/>
        <n v="6889354.8499999996"/>
        <n v="708991.99"/>
        <n v="162207.9"/>
        <n v="274384"/>
        <n v="735855"/>
        <n v="11762891.02"/>
        <n v="101623.2"/>
        <n v="150000"/>
        <n v="67503.02"/>
        <n v="235325.06"/>
        <n v="300000.01"/>
        <n v="240635.61"/>
        <n v="5194866.25"/>
        <n v="11188186.699999999"/>
        <n v="443727.67"/>
        <n v="2010354.47"/>
        <n v="1228892.1399999999"/>
        <n v="300000"/>
        <n v="739450"/>
        <n v="1325316"/>
        <n v="14573.98"/>
        <n v="241.93"/>
        <n v="250000"/>
        <n v="6755274.4000000004"/>
        <n v="337933.94"/>
        <n v="2509911.0499999998"/>
        <n v="5000000"/>
        <n v="8139482.6399999997"/>
        <n v="8549405.8599999994"/>
        <n v="13483.95"/>
        <n v="12620563.560000001"/>
        <n v="11446591.18"/>
        <n v="398652.54"/>
        <n v="137231.89000000001"/>
        <n v="232813.28"/>
        <n v="1565132.87"/>
        <n v="212349.8"/>
        <n v="259159.21"/>
        <n v="275000"/>
        <n v="93058"/>
        <n v="900000"/>
        <n v="190080.6"/>
        <n v="267765.09000000003"/>
        <n v="1342830.5"/>
        <n v="173290.06"/>
        <n v="650000"/>
        <n v="863693.45"/>
        <n v="2910204.68"/>
        <n v="700000"/>
        <n v="642277.01"/>
        <n v="1350790.07"/>
        <n v="39300"/>
        <n v="263925.01"/>
        <n v="11827.52"/>
        <n v="64379.47"/>
        <n v="10330.030000000001"/>
        <n v="772046"/>
        <n v="880778.29"/>
        <n v="1882140.3" u="1"/>
        <n v="2896770" u="1"/>
        <n v="1750886.33" u="1"/>
        <n v="5307067.1500000004" u="1"/>
        <n v="9302022.5399999991" u="1"/>
        <n v="300000.73" u="1"/>
        <n v="197064" u="1"/>
        <n v="30252081.460000001" u="1"/>
        <n v="14356282.550000001" u="1"/>
        <n v="5095.45" u="1"/>
        <n v="2013645.45" u="1"/>
        <n v="103499.99" u="1"/>
        <n v="4724333.9400000004" u="1"/>
        <n v="2892642.73" u="1"/>
        <n v="20000000" u="1"/>
        <n v="9301111.4100000001" u="1"/>
        <n v="14395.08" u="1"/>
        <n v="13356103.560000001" u="1"/>
        <n v="6788879.21" u="1"/>
        <n v="2292730.5" u="1"/>
        <n v="0.45" u="1"/>
        <n v="1977211.33" u="1"/>
        <n v="4300985" u="1"/>
        <n v="12204294.369999999" u="1"/>
        <n v="1608302.6" u="1"/>
        <n v="117898.36" u="1"/>
        <n v="321752.44" u="1"/>
        <n v="8724333.9399999995" u="1"/>
        <n v="6312576.9800000004" u="1"/>
        <n v="691723" u="1"/>
        <n v="3322704.68" u="1"/>
        <n v="34091658.549999997" u="1"/>
        <n v="47.3" u="1"/>
        <n v="649.71" u="1"/>
        <n v="1017646.75" u="1"/>
        <n v="21200.74" u="1"/>
        <n v="37750" u="1"/>
        <n v="1289255.75" u="1"/>
        <n v="2500000" u="1"/>
        <n v="419445.79" u="1"/>
        <n v="34082043.030000001" u="1"/>
        <n v="1254300.8899999999" u="1"/>
        <n v="19036.63" u="1"/>
        <n v="7166286.9800000004" u="1"/>
        <n v="16666.259999999998" u="1"/>
        <n v="10557" u="1"/>
        <n v="7706920.5" u="1"/>
        <n v="4000000" u="1"/>
        <n v="150610" u="1"/>
        <n v="1044853.45" u="1"/>
        <n v="34753191.659999996" u="1"/>
        <n v="2193075.29" u="1"/>
        <n v="1500000" u="1"/>
        <n v="628258.81000000006" u="1"/>
        <n v="10034870.74" u="1"/>
        <n v="3585934.68" u="1"/>
        <n v="303361.71999999997" u="1"/>
        <n v="15724333.939999999" u="1"/>
        <n v="2193076" u="1"/>
        <n v="125000" u="1"/>
        <n v="1848629.6" u="1"/>
        <n v="21481033" u="1"/>
        <n v="714415.19" u="1"/>
        <n v="1288270.5" u="1"/>
        <n v="697211.33" u="1"/>
        <n v="37482273.969999999" u="1"/>
        <n v="5511478.5" u="1"/>
        <n v="750000" u="1"/>
        <n v="163877.47" u="1"/>
        <n v="623875" u="1"/>
        <n v="71595.039999999994" u="1"/>
        <n v="2080925.96" u="1"/>
        <n v="405352.88" u="1"/>
        <n v="12091537.630000001" u="1"/>
        <n v="458553.11" u="1"/>
        <n v="1229218.18" u="1"/>
        <n v="5693835.1500000004" u="1"/>
        <n v="7118602.9500000002" u="1"/>
        <n v="6221412.3799999999" u="1"/>
        <n v="134543.91" u="1"/>
        <n v="2707346.05" u="1"/>
        <n v="52759.519999999997" u="1"/>
        <n v="949731.62" u="1"/>
        <n v="37711424.579999998" u="1"/>
        <n v="397090" u="1"/>
        <n v="3324729" u="1"/>
        <n v="2097508.25" u="1"/>
        <n v="1870380.07" u="1"/>
        <n v="17932603.559999999" u="1"/>
        <n v="871.7" u="1"/>
        <n v="176542.45" u="1"/>
        <n v="151091.32999999999" u="1"/>
        <n v="1005428.43" u="1"/>
        <n v="4093838.95" u="1"/>
        <n v="6888325.4900000002" u="1"/>
        <n v="257982.01" u="1"/>
        <n v="4278384.68" u="1"/>
        <n v="42000000" u="1"/>
        <n v="817328.25" u="1"/>
        <n v="37828707.119999997" u="1"/>
        <n v="2744706.05" u="1"/>
        <n v="10000000" u="1"/>
        <n v="9979435.5" u="1"/>
        <n v="1042273.15" u="1"/>
        <n v="7612926.5999999996" u="1"/>
        <n v="428510.57" u="1"/>
        <n v="3558275.74" u="1"/>
        <n v="3003197.57" u="1"/>
        <n v="10408949" u="1"/>
        <n v="0.03" u="1"/>
        <n v="730430.57" u="1"/>
        <n v="18231252.960000001" u="1"/>
        <n v="13581536.119999999" u="1"/>
        <n v="4690884.68" u="1"/>
        <n v="800000" u="1"/>
        <n v="5690880.1799999997" u="1"/>
        <n v="2072033.2" u="1"/>
        <n v="2861804.59" u="1"/>
        <n v="2495972.17" u="1"/>
        <n v="6883939.7300000004" u="1"/>
        <n v="8358488.8300000001" u="1"/>
        <n v="11578170.060000001" u="1"/>
        <n v="5103384.68" u="1"/>
        <n v="50000000" u="1"/>
        <n v="25000000" u="1"/>
        <n v="38840294.710000001" u="1"/>
        <n v="6982939.7300000004" u="1"/>
        <n v="3000000" u="1"/>
        <n v="617898.36" u="1"/>
        <n v="5383334.6799999997" u="1"/>
        <n v="14039459" u="1"/>
        <n v="5802900" u="1"/>
        <n v="2140124.1600000001" u="1"/>
        <n v="12146337.43" u="1"/>
        <n v="312828.75" u="1"/>
        <n v="2074312.5" u="1"/>
        <n v="5660498" u="1"/>
        <n v="529272.69999999995" u="1"/>
        <n v="1099687.5" u="1"/>
        <n v="6977517.7999999998" u="1"/>
        <n v="11573859.460000001" u="1"/>
        <n v="18705.68" u="1"/>
        <n v="3958074.16" u="1"/>
        <n v="7054719.6600000001" u="1"/>
        <n v="817725" u="1"/>
        <n v="50963.55" u="1"/>
        <n v="12460" u="1"/>
        <n v="111274.76" u="1"/>
        <n v="674703" u="1"/>
        <n v="46773.46" u="1"/>
        <n v="4444875" u="1"/>
        <n v="8817750" u="1"/>
        <n v="100810.74" u="1"/>
        <n v="11573945" u="1"/>
        <n v="364894.32" u="1"/>
        <n v="424699.6" u="1"/>
        <n v="100383.5" u="1"/>
        <n v="501144.18" u="1"/>
        <n v="4695144.2" u="1"/>
        <n v="12000000" u="1"/>
        <n v="13000000" u="1"/>
        <n v="128094.84" u="1"/>
        <n v="1249991.3500000001" u="1"/>
        <n v="521698.4" u="1"/>
        <n v="4824.6499999999996" u="1"/>
        <n v="209875" u="1"/>
        <n v="-0.01" u="1"/>
        <n v="119.22" u="1"/>
        <n v="1310110.18" u="1"/>
        <n v="7592941.7599999998" u="1"/>
        <n v="49.08" u="1"/>
        <n v="4371482.53" u="1"/>
        <n v="1615774.26" u="1"/>
        <n v="15045303.619999999" u="1"/>
        <n v="4452518.72" u="1"/>
        <n v="565057.47" u="1"/>
        <n v="87392.960000000006" u="1"/>
        <n v="1788365.25" u="1"/>
        <n v="1618042.5" u="1"/>
        <n v="8790001.0999999996" u="1"/>
        <n v="252107.36" u="1"/>
        <n v="145360.44" u="1"/>
        <n v="353089.35" u="1"/>
        <n v="7259198.5" u="1"/>
        <n v="1235823.67" u="1"/>
        <n v="68490.09" u="1"/>
        <n v="7289224.0800000001" u="1"/>
        <n v="21522.68" u="1"/>
        <n v="151075.5" u="1"/>
        <n v="298725.34999999998" u="1"/>
        <n v="667243.80000000005" u="1"/>
        <n v="961.58" u="1"/>
        <n v="32470.799999999999" u="1"/>
        <n v="6639906.1799999997" u="1"/>
        <n v="82506.179999999993" u="1"/>
        <n v="563076.43999999994" u="1"/>
        <n v="9288000" u="1"/>
        <n v="8132727.75" u="1"/>
        <n v="6908467.5099999998" u="1"/>
        <n v="15614752.5" u="1"/>
        <n v="966000" u="1"/>
        <n v="2044458.32" u="1"/>
        <n v="1287476.92" u="1"/>
        <n v="850000" u="1"/>
        <n v="550000" u="1"/>
        <n v="1273391.8700000001" u="1"/>
        <n v="187697.25" u="1"/>
        <n v="163402.23999999999" u="1"/>
        <n v="8757506.1999999993" u="1"/>
        <n v="21600000" u="1"/>
        <n v="2037305.75" u="1"/>
        <n v="7434255.7400000002" u="1"/>
        <n v="8902077.7100000009" u="1"/>
        <n v="5644762.9800000004" u="1"/>
        <n v="3487033.23" u="1"/>
        <n v="1252435.67" u="1"/>
        <n v="16731764" u="1"/>
        <n v="5140077.71" u="1"/>
        <n v="45303.62" u="1"/>
        <n v="1900037.67" u="1"/>
        <n v="1200600" u="1"/>
        <n v="346220.51" u="1"/>
        <n v="8247932.5300000003" u="1"/>
        <n v="34881.85" u="1"/>
        <n v="-822387.22" u="1"/>
        <n v="30000000" u="1"/>
        <n v="118358.35" u="1"/>
        <n v="3269313.27" u="1"/>
        <n v="312132.31" u="1"/>
        <n v="5380965.5599999996" u="1"/>
        <n v="15298.56" u="1"/>
        <n v="251133.99" u="1"/>
        <n v="96824.63" u="1"/>
        <n v="1289476.92" u="1"/>
        <n v="37622294.710000001" u="1"/>
        <n v="2841101.91" u="1"/>
        <n v="293625.94" u="1"/>
        <n v="2613073.9199999999" u="1"/>
        <n v="333060.53999999998" u="1"/>
        <n v="66939.460000000006" u="1"/>
        <n v="37256.050000000003" u="1"/>
        <n v="282279.51" u="1"/>
        <n v="3156070.22" u="1"/>
        <n v="93771" u="1"/>
        <n v="511318.47" u="1"/>
        <n v="70863" u="1"/>
        <n v="707545.55" u="1"/>
        <n v="1960451.21" u="1"/>
        <n v="38128404.969999999" u="1"/>
        <n v="526125" u="1"/>
        <n v="8632232.3800000008" u="1"/>
        <n v="5308039.3600000003" u="1"/>
        <n v="639916.19999999995" u="1"/>
        <n v="999166" u="1"/>
        <n v="5398841.7199999997" u="1"/>
        <n v="120438.35" u="1"/>
        <n v="28000000" u="1"/>
        <n v="2547705.61" u="1"/>
        <n v="3877677.88" u="1"/>
        <n v="251134" u="1"/>
        <n v="51889.25" u="1"/>
        <n v="5973452.6600000001" u="1"/>
        <n v="575000" u="1"/>
        <n v="1020001.05" u="1"/>
        <n v="6246.6" u="1"/>
        <n v="7344594.6100000003" u="1"/>
        <n v="258500.05" u="1"/>
        <n v="8386094.5999999996" u="1"/>
        <n v="2000000.93" u="1"/>
        <n v="8247894.5499999998" u="1"/>
        <n v="5992182.4199999999" u="1"/>
        <n v="491785.64" u="1"/>
        <n v="558949" u="1"/>
        <n v="5193136.82" u="1"/>
        <n v="22768110.02" u="1"/>
        <n v="527850.01" u="1"/>
        <n v="226041.32" u="1"/>
        <n v="11490.62" u="1"/>
        <n v="19111.64" u="1"/>
        <n v="368005.11" u="1"/>
        <n v="610345.93000000005" u="1"/>
        <n v="6191000" u="1"/>
        <n v="9099845.3499999996" u="1"/>
        <n v="60000000" u="1"/>
        <n v="4318.3100000000004" u="1"/>
        <n v="0.94" u="1"/>
        <n v="2540753.5" u="1"/>
        <n v="5658" u="1"/>
        <n v="1545704.51" u="1"/>
        <n v="0.01" u="1"/>
        <n v="12.35" u="1"/>
        <n v="204357" u="1"/>
        <n v="43709.41" u="1"/>
        <n v="149743.64000000001" u="1"/>
        <n v="1298725.3500000001" u="1"/>
        <n v="7950000" u="1"/>
        <n v="456198.92" u="1"/>
        <n v="108127.47" u="1"/>
        <n v="235199.15" u="1"/>
        <n v="378574" u="1"/>
        <n v="73962.710000000006" u="1"/>
        <n v="120000" u="1"/>
        <n v="2674825.5" u="1"/>
        <n v="758079.93" u="1"/>
        <n v="18703391.850000001" u="1"/>
        <n v="9432872.1199999992" u="1"/>
        <n v="613806.35" u="1"/>
        <n v="1226506.05" u="1"/>
        <n v="7670500" u="1"/>
        <n v="922106.57" u="1"/>
        <n v="15534.24" u="1"/>
        <n v="341489" u="1"/>
        <n v="304417" u="1"/>
        <n v="94000000" u="1"/>
        <n v="20278.96" u="1"/>
        <n v="207933.08" u="1"/>
        <n v="456260.2" u="1"/>
        <n v="220506.17" u="1"/>
        <n v="13090043.83" u="1"/>
        <n v="497076" u="1"/>
        <n v="686883" u="1"/>
        <n v="1281656.55" u="1"/>
        <n v="1180195" u="1"/>
        <n v="89061.98" u="1"/>
        <n v="175153.65" u="1"/>
        <n v="918555.2" u="1"/>
        <n v="2741025" u="1"/>
        <n v="15540825" u="1"/>
        <n v="618700.01" u="1"/>
        <n v="100710.3" u="1"/>
        <n v="364580.36" u="1"/>
        <n v="153243.88" u="1"/>
        <n v="9440924.5" u="1"/>
        <n v="295975" u="1"/>
        <n v="2899613.87" u="1"/>
        <n v="817522.67" u="1"/>
        <n v="730000" u="1"/>
        <n v="871119.25" u="1"/>
        <n v="1826316.51" u="1"/>
        <n v="1200000" u="1"/>
        <n v="295168.11" u="1"/>
        <n v="109155.87" u="1"/>
        <n v="3061737.25" u="1"/>
        <n v="145761.1" u="1"/>
        <n v="41370000" u="1"/>
        <n v="153759.93" u="1"/>
        <n v="82081.84" u="1"/>
        <n v="461779.08" u="1"/>
        <n v="138804" u="1"/>
        <n v="822387.22" u="1"/>
        <n v="186896.15" u="1"/>
        <n v="4803506.7" u="1"/>
        <n v="399631.2" u="1"/>
        <n v="10095188.34" u="1"/>
        <n v="550000.15" u="1"/>
        <n v="945410" u="1"/>
        <n v="149313.35" u="1"/>
        <n v="1302055.49" u="1"/>
        <n v="3339424.59" u="1"/>
        <n v="1072868.33" u="1"/>
        <n v="547153.36" u="1"/>
        <n v="3242482.5" u="1"/>
        <n v="222582" u="1"/>
        <n v="1729600" u="1"/>
        <n v="1909956.17" u="1"/>
        <n v="657742.36" u="1"/>
        <n v="1523174.48" u="1"/>
        <n v="661198.12" u="1"/>
        <n v="1062876" u="1"/>
        <n v="945356.80000000005" u="1"/>
        <n v="1021698.4" u="1"/>
        <n v="-10" u="1"/>
        <n v="273082" u="1"/>
        <n v="1039144.29" u="1"/>
        <n v="245588.5" u="1"/>
        <n v="4312500" u="1"/>
        <n v="1491188.8" u="1"/>
        <n v="130844.12" u="1"/>
        <n v="15203.9" u="1"/>
        <n v="303062.95" u="1"/>
        <n v="1404419.62" u="1"/>
        <n v="711169" u="1"/>
        <n v="119761.29" u="1"/>
        <n v="1796530" u="1"/>
        <n v="148350" u="1"/>
        <n v="1366.49" u="1"/>
        <n v="165600" u="1"/>
        <n v="345402.56" u="1"/>
        <n v="349170.7" u="1"/>
        <n v="2383477.9500000002" u="1"/>
        <n v="351509.38" u="1"/>
        <n v="14224432.25" u="1"/>
        <n v="435085.25" u="1"/>
        <n v="15000000" u="1"/>
        <n v="24088785.199999999" u="1"/>
        <n v="806347.93" u="1"/>
        <n v="8789746.9000000004" u="1"/>
        <n v="47851.44" u="1"/>
        <n v="12505369.199999999" u="1"/>
        <n v="408291.9" u="1"/>
        <n v="784558" u="1"/>
        <n v="567886.03" u="1"/>
        <n v="205442.15" u="1"/>
        <n v="551681.93000000005" u="1"/>
        <n v="381871.86" u="1"/>
        <n v="254390" u="1"/>
        <n v="999.99" u="1"/>
        <n v="3908218.83" u="1"/>
        <n v="1872480.61" u="1"/>
        <n v="2249170" u="1"/>
        <n v="267233.01" u="1"/>
        <n v="578910" u="1"/>
        <n v="130657.78" u="1"/>
        <n v="500339.7" u="1"/>
        <n v="4141988.8" u="1"/>
        <n v="6098214.1500000004" u="1"/>
        <n v="253537.11" u="1"/>
        <n v="355517.15" u="1"/>
        <n v="1586183.25" u="1"/>
        <n v="654.37" u="1"/>
        <n v="205760" u="1"/>
        <n v="85527.8" u="1"/>
        <n v="699367" u="1"/>
        <n v="1488148.8" u="1"/>
        <n v="1989031.81" u="1"/>
        <n v="528000.93999999994" u="1"/>
        <n v="12956001.199999999" u="1"/>
        <n v="283912" u="1"/>
        <n v="350461" u="1"/>
        <n v="377983" u="1"/>
        <n v="3658999.44" u="1"/>
        <n v="2270948.7999999998" u="1"/>
        <n v="1800000" u="1"/>
        <n v="1330000" u="1"/>
        <n v="263032" u="1"/>
        <n v="0.6" u="1"/>
        <n v="123144" u="1"/>
        <n v="311571.08" u="1"/>
        <n v="1841310.12" u="1"/>
        <n v="425000" u="1"/>
        <n v="500575.54" u="1"/>
        <n v="2395477.52" u="1"/>
        <n v="65902.81" u="1"/>
        <n v="524263.78" u="1"/>
        <n v="313581.86" u="1"/>
        <n v="1964200" u="1"/>
        <n v="1459350" u="1"/>
        <n v="316864.68" u="1"/>
        <n v="48414.03" u="1"/>
        <n v="381276.62" u="1"/>
        <n v="809915" u="1"/>
        <n v="734118.99" u="1"/>
        <n v="510271" u="1"/>
        <n v="400000.94" u="1"/>
        <n v="150000.01" u="1"/>
        <n v="102859.94" u="1"/>
        <n v="17701.98" u="1"/>
        <n v="511750" u="1"/>
        <n v="-0.65" u="1"/>
        <n v="891914.65" u="1"/>
        <n v="15218268.48" u="1"/>
        <n v="-0.9" u="1"/>
        <n v="221169.19" u="1"/>
        <n v="186673.85" u="1"/>
        <n v="2233518.4" u="1"/>
        <n v="863207.81" u="1"/>
        <n v="875313.5" u="1"/>
        <n v="1539808.94" u="1"/>
        <n v="24465.11" u="1"/>
        <n v="1000000.94" u="1"/>
        <n v="154182.71" u="1"/>
        <n v="84209.12" u="1"/>
        <n v="399623.8" u="1"/>
        <n v="6250000" u="1"/>
        <n v="-472000" u="1"/>
        <n v="293143.98" u="1"/>
        <n v="47696.38" u="1"/>
        <n v="225103.44" u="1"/>
        <n v="456166" u="1"/>
        <n v="160462" u="1"/>
        <n v="552155.25" u="1"/>
        <n v="329151.09999999998" u="1"/>
        <n v="889985" u="1"/>
        <n v="450163.23" u="1"/>
        <n v="395588.5" u="1"/>
        <n v="255852.33" u="1"/>
        <n v="304000.75" u="1"/>
        <n v="245149.44" u="1"/>
        <n v="1156440.1000000001" u="1"/>
        <n v="305000" u="1"/>
        <n v="0.65" u="1"/>
        <n v="8758711.5899999999" u="1"/>
        <n v="4447370.8499999996" u="1"/>
        <n v="273781" u="1"/>
        <n v="2250000" u="1"/>
        <n v="4000010.22" u="1"/>
        <n v="1600000" u="1"/>
        <n v="3150000" u="1"/>
        <n v="1894480.71" u="1"/>
        <n v="546393.94999999995" u="1"/>
        <n v="417625.03" u="1"/>
        <n v="274964.44" u="1"/>
        <n v="2080350" u="1"/>
        <n v="150129.60999999999" u="1"/>
        <n v="937438.33" u="1"/>
        <n v="94013.23" u="1"/>
        <n v="1400000" u="1"/>
        <n v="197999.99" u="1"/>
        <n v="207741.06" u="1"/>
        <n v="699476" u="1"/>
        <n v="1150000" u="1"/>
        <n v="870662" u="1"/>
        <n v="558810.12" u="1"/>
        <n v="1342528.23" u="1"/>
        <n v="139725" u="1"/>
        <n v="4030520.1" u="1"/>
        <n v="4106471.65" u="1"/>
        <n v="2336147.9300000002" u="1"/>
        <n v="558193.28" u="1"/>
        <n v="2680069.15" u="1"/>
        <n v="4782000" u="1"/>
        <n v="712597.7" u="1"/>
        <n v="2275000" u="1"/>
        <n v="70801.16" u="1"/>
        <n v="14000000" u="1"/>
        <n v="3731112.96" u="1"/>
        <n v="2417709.42" u="1"/>
        <n v="4196636.8" u="1"/>
        <n v="249901.5" u="1"/>
        <n v="2049224.02" u="1"/>
        <n v="646875" u="1"/>
        <n v="499955.6" u="1"/>
        <n v="108757.8" u="1"/>
        <n v="4106463.76" u="1"/>
        <n v="15225939.42" u="1"/>
        <n v="3673688.84" u="1"/>
        <n v="413173.15" u="1"/>
        <n v="5262247.28" u="1"/>
        <n v="498453.81" u="1"/>
        <n v="284688.25" u="1"/>
        <n v="1280923.26" u="1"/>
        <n v="-340" u="1"/>
        <n v="13610808.380000001" u="1"/>
        <n v="602181.23" u="1"/>
        <n v="753402" u="1"/>
        <n v="2800000" u="1"/>
        <n v="4979436.8" u="1"/>
        <n v="524686.5" u="1"/>
        <n v="94929.8" u="1"/>
        <n v="214923" u="1"/>
        <n v="1098661.94" u="1"/>
        <n v="1995000" u="1"/>
        <n v="248951.2" u="1"/>
        <n v="1904115" u="1"/>
        <n v="59126.37" u="1"/>
        <n v="0.73" u="1"/>
        <n v="49191.59" u="1"/>
        <n v="19830.21" u="1"/>
        <n v="634.58000000000004" u="1"/>
        <n v="0.5" u="1"/>
        <n v="1023061.28" u="1"/>
        <n v="302213.12" u="1"/>
        <n v="9484337.5" u="1"/>
        <n v="799251" u="1"/>
        <n v="1900870.95" u="1"/>
        <n v="3320190.2" u="1"/>
        <n v="781633.28" u="1"/>
        <n v="5078412.9400000004" u="1"/>
        <n v="1798725.35" u="1"/>
        <n v="76520.850000000006" u="1"/>
        <n v="624264.62" u="1"/>
        <n v="80000" u="1"/>
        <n v="2000097.25" u="1"/>
        <n v="344111.45" u="1"/>
        <n v="440466.43" u="1"/>
        <n v="78117.13" u="1"/>
        <n v="202604.9" u="1"/>
        <n v="286074" u="1"/>
        <n v="342207.75" u="1"/>
        <n v="1033453.25" u="1"/>
        <n v="6577809.0999999996" u="1"/>
        <n v="292628.84000000003" u="1"/>
        <n v="894240" u="1"/>
        <n v="6947334" u="1"/>
        <n v="2069686.8" u="1"/>
        <n v="309487" u="1"/>
        <n v="3400" u="1"/>
        <n v="42131.23" u="1"/>
        <n v="98486.2" u="1"/>
        <n v="695145.91" u="1"/>
        <n v="15413737.5" u="1"/>
        <n v="568403.6" u="1"/>
        <n v="23391922.5" u="1"/>
        <n v="613577" u="1"/>
        <n v="783377.8" u="1"/>
        <n v="875500" u="1"/>
        <n v="274309.5" u="1"/>
        <n v="205980.49" u="1"/>
        <n v="2066646.8" u="1"/>
        <n v="3623213.98" u="1"/>
        <n v="780320.25" u="1"/>
        <n v="167957.5" u="1"/>
        <n v="335475.96000000002" u="1"/>
        <n v="3626079.26" u="1"/>
        <n v="2089446.8" u="1"/>
        <n v="155674.92000000001" u="1"/>
        <n v="124712.48" u="1"/>
        <n v="2849446.8" u="1"/>
        <n v="3458740" u="1"/>
        <n v="535185.18000000005" u="1"/>
        <n v="1108770.3" u="1"/>
        <n v="0.18" u="1"/>
        <n v="3964357.88" u="1"/>
        <n v="4639392.95" u="1"/>
        <n v="391554.28" u="1"/>
        <n v="886481.72" u="1"/>
        <n v="2709903.57" u="1"/>
        <n v="1161954.08" u="1"/>
        <n v="4252665.1100000003" u="1"/>
        <n v="15422590.25" u="1"/>
        <n v="876696.29" u="1"/>
        <n v="540000" u="1"/>
        <n v="11042622" u="1"/>
        <n v="477685.17" u="1"/>
        <n v="19322590.25" u="1"/>
        <n v="4416624.33" u="1"/>
        <n v="4228253" u="1"/>
        <n v="1097500" u="1"/>
        <n v="2565072.71" u="1"/>
        <n v="304355.37" u="1"/>
        <n v="6578032.1500000004" u="1"/>
        <n v="1336712.53" u="1"/>
        <n v="394785.5" u="1"/>
        <n v="0.42" u="1"/>
        <n v="365762.69" u="1"/>
        <n v="6817775" u="1"/>
        <n v="5335090.87" u="1"/>
        <n v="1918775" u="1"/>
        <n v="914095.57" u="1"/>
        <n v="1095964" u="1"/>
        <n v="17388" u="1"/>
        <n v="168705.07" u="1"/>
        <n v="4543540.5" u="1"/>
        <n v="2330000.0099999998" u="1"/>
        <n v="270000" u="1"/>
        <n v="2754572.98" u="1"/>
        <n v="3672.58" u="1"/>
        <n v="1679951.72" u="1"/>
        <n v="1021926.52" u="1"/>
        <n v="1334122.45" u="1"/>
        <n v="3306287.52" u="1"/>
        <n v="3332700" u="1"/>
        <n v="749450" u="1"/>
        <n v="20001453.109999999" u="1"/>
        <n v="3500000" u="1"/>
        <n v="780158" u="1"/>
        <n v="304087.03999999998" u="1"/>
        <n v="3746691.25" u="1"/>
        <n v="1237198.4099999999" u="1"/>
        <n v="1584497.6" u="1"/>
        <n v="2835037.61" u="1"/>
        <n v="17471352" u="1"/>
        <n v="112626.99" u="1"/>
        <n v="2845890" u="1"/>
        <n v="6439356" u="1"/>
        <n v="382850" u="1"/>
        <n v="5113228.88" u="1"/>
        <n v="3785250" u="1"/>
        <n v="1729344.71" u="1"/>
        <n v="513032.73" u="1"/>
        <n v="2118694.4500000002" u="1"/>
        <n v="307227.25" u="1"/>
        <n v="4935633.6500000004" u="1"/>
        <n v="7566370.25" u="1"/>
        <n v="7382296.5999999996" u="1"/>
        <n v="6125.41" u="1"/>
        <n v="1960709.2" u="1"/>
        <n v="2054613" u="1"/>
        <n v="2827275" u="1"/>
        <n v="517624.02" u="1"/>
        <n v="2139000" u="1"/>
        <n v="1960821.65" u="1"/>
        <n v="1899450" u="1"/>
        <n v="606049" u="1"/>
        <n v="10893375" u="1"/>
        <n v="2523960.2400000002" u="1"/>
        <n v="292823.18" u="1"/>
        <n v="1548105.39" u="1"/>
        <n v="15645734.949999999" u="1"/>
        <n v="1402793.96" u="1"/>
        <n v="3100806.59" u="1"/>
        <n v="18768000" u="1"/>
        <n v="3552770.99" u="1"/>
        <n v="1250000" u="1"/>
        <n v="20467120.449999999" u="1"/>
        <n v="3552664.28" u="1"/>
        <n v="182640.59" u="1"/>
        <n v="5278419.63" u="1"/>
        <n v="487054.36" u="1"/>
        <n v="5113901.13" u="1"/>
        <n v="3591000" u="1"/>
        <n v="5114044.87" u="1"/>
        <n v="53771.4" u="1"/>
        <n v="4952175" u="1"/>
        <n v="2626749.98" u="1"/>
        <n v="2622594.52" u="1"/>
        <n v="6588777.8099999996" u="1"/>
        <n v="1513032.73" u="1"/>
        <n v="332775" u="1"/>
        <n v="475009.53" u="1"/>
        <n v="20286289.93" u="1"/>
        <n v="666690.68999999994" u="1"/>
        <n v="300597.8" u="1"/>
        <n v="6588745.3799999999" u="1"/>
        <n v="1436354.79" u="1"/>
        <n v="47988.62" u="1"/>
        <n v="5753236.0499999998" u="1"/>
        <n v="4581071.46" u="1"/>
        <n v="2615568.92" u="1"/>
        <n v="20284512.170000002" u="1"/>
        <n v="5302979.0999999996" u="1"/>
        <n v="3001976.92" u="1"/>
        <n v="20302797.649999999" u="1"/>
        <n v="6921488.1200000001" u="1"/>
        <n v="499521.42" u="1"/>
        <n v="526225.02" u="1"/>
        <n v="68496.13" u="1"/>
        <n v="5916965.8499999996" u="1"/>
        <n v="450984.51" u="1"/>
        <n v="6921633.2400000002" u="1"/>
        <n v="464036.5" u="1"/>
        <n v="7435657.0999999996" u="1"/>
        <n v="1926250" u="1"/>
        <n v="1398397.71" u="1"/>
        <n v="-50535.95" u="1"/>
        <n v="8410429.9900000002" u="1"/>
        <n v="8700000" u="1"/>
        <n v="345500" u="1"/>
        <n v="300000.5" u="1"/>
        <n v="200422.65" u="1"/>
        <n v="1035000" u="1"/>
        <n v="1519664.37" u="1"/>
        <n v="3749494.62" u="1"/>
        <n v="11685707.220000001" u="1"/>
        <n v="1112374.18" u="1"/>
        <n v="8036913" u="1"/>
        <n v="450975.31" u="1"/>
        <n v="618247.46" u="1"/>
        <n v="177325.35" u="1"/>
        <n v="149393.4" u="1"/>
        <n v="8002636.4299999997" u="1"/>
        <n v="8907800.5" u="1"/>
        <n v="1219760.01" u="1"/>
        <n v="404174.93" u="1"/>
        <n v="10.45" u="1"/>
        <n v="2412079.61" u="1"/>
        <n v="347794.5" u="1"/>
        <n v="20579722" u="1"/>
        <n v="39339.97" u="1"/>
        <n v="72831" u="1"/>
        <n v="2053440" u="1"/>
        <n v="413369.1" u="1"/>
        <n v="297550.63" u="1"/>
        <n v="16731300" u="1"/>
        <n v="534721.63" u="1"/>
        <n v="20575564.140000001" u="1"/>
        <n v="6322470" u="1"/>
        <n v="3262947" u="1"/>
        <n v="234893.88" u="1"/>
        <n v="20662366.170000002" u="1"/>
        <n v="283161.25" u="1"/>
        <n v="14.14" u="1"/>
        <n v="7776931.9500000002" u="1"/>
        <n v="1165192" u="1"/>
        <n v="3035059.42" u="1"/>
        <n v="54536.47" u="1"/>
        <n v="204878.36" u="1"/>
        <n v="3120122.5" u="1"/>
        <n v="1087275.04" u="1"/>
        <n v="262166" u="1"/>
        <n v="3220534.95" u="1"/>
        <n v="3342554.55" u="1"/>
        <n v="576.75" u="1"/>
        <n v="12038604" u="1"/>
        <n v="1537811.54" u="1"/>
        <n v="11684118.369999999" u="1"/>
        <n v="3142784.48" u="1"/>
        <n v="594305.52" u="1"/>
        <n v="0.55000000000000004" u="1"/>
        <n v="476785.75" u="1"/>
        <n v="4142245.85" u="1"/>
        <n v="311121.28999999998" u="1"/>
        <n v="4370000" u="1"/>
        <n v="649056.68999999994" u="1"/>
        <n v="1467951.52" u="1"/>
        <n v="0.55000000004656613" u="1"/>
        <n v="3142784.4750000001" u="1"/>
        <n v="11684118.373571001" u="1"/>
        <n v="4142245.8461379954" u="1"/>
        <n v="14.140000000130385" u="1"/>
        <n v="3342554.5500000003" u="1"/>
        <n v="20662366.166473366" u="1"/>
        <n v="175153.65000000026" u="1"/>
        <n v="618247.46340000001" u="1"/>
        <n v="534721.63104999997" u="1"/>
        <n v="49191.589999999967" u="1"/>
        <n v="522850" u="1"/>
        <n v="-1.4551915228366852E-11" u="1"/>
        <n v="3731112.9637500001" u="1"/>
        <n v="98486.201700000092" u="1"/>
        <n v="6578032.1500000954" u="1"/>
        <n v="576.74999999976717" u="1"/>
        <n v="7776931.9500000011" u="1"/>
        <n v="311121.29249999998" u="1"/>
        <n v="1402793.9558999999" u="1"/>
        <n v="7310.539999999979" u="1"/>
        <n v="-2.5000000023283064E-3" u="1"/>
        <n v="526225.01500000095" u="1"/>
        <n v="345882.9700000002" u="1"/>
        <n v="1336712.5319791432" u="1"/>
        <n v="-50535.950000000186" u="1"/>
        <n v="1.0000000009313226E-2" u="1"/>
        <n v="-1.1641532182693481E-10" u="1"/>
        <n v="39339.969999999972" u="1"/>
        <n v="54536.470000000205" u="1"/>
        <n v="886481.72000000009" u="1"/>
        <n v="11684064.548215998" u="1"/>
        <n v="5839148" u="1"/>
        <n v="4856051.0882879952" u="1"/>
        <n v="1467951.5199999996" u="1"/>
        <n v="234131.49" u="1"/>
        <n v="2622000" u="1"/>
        <n v="12236312.690515999" u="1"/>
        <n v="20662366.166473351" u="1"/>
        <n v="5230276.6686879955" u="1"/>
        <n v="14464368" u="1"/>
        <n v="5017700" u="1"/>
        <n v="451362.57" u="1"/>
        <n v="16676059.5" u="1"/>
        <n v="1335782.1478205053" u="1"/>
        <n v="8266135.9800000004" u="1"/>
        <n v="23353920" u="1"/>
        <n v="6578032.1500000358" u="1"/>
        <n v="900400" u="1"/>
        <n v="1756508.98425" u="1"/>
        <n v="3278842.1799999997" u="1"/>
        <n v="752643.28000000026" u="1"/>
        <n v="12236312.690516001" u="1"/>
        <n v="11000000" u="1"/>
        <n v="715921" u="1"/>
        <n v="407334.49" u="1"/>
        <n v="2010022.0175861432" u="1"/>
        <n v="12426957.65038" u="1"/>
        <n v="5208739.97" u="1"/>
        <n v="2974165.33" u="1"/>
        <n v="169050" u="1"/>
        <n v="22055483.216473352" u="1"/>
        <n v="1089649.0299999998" u="1"/>
        <n v="2974166.33" u="1"/>
        <n v="245500" u="1"/>
        <n v="3342554.5500000007" u="1"/>
        <n v="49346832.150000036" u="1"/>
        <n v="13470381.01822" u="1"/>
        <n v="13330800" u="1"/>
        <n v="2868897.74" u="1"/>
        <n v="18879540" u="1"/>
        <n v="5685891.6600000001" u="1"/>
        <n v="55877.799999999988" u="1"/>
        <n v="3.2014213502407074E-10" u="1"/>
        <n v="22055483.216473348" u="1"/>
        <n v="2.9103830456733704E-11" u="1"/>
        <n v="13464537.269499999" u="1"/>
        <n v="576618.84" u="1"/>
        <n v="13480731.0085" u="1"/>
        <n v="1552467.08" u="1"/>
        <n v="507379.58" u="1"/>
        <n v="14020522.308500001" u="1"/>
        <n v="2493921.25" u="1"/>
        <n v="329688.35664599948" u="1"/>
        <n v="9033955.58024" u="1"/>
        <n v="6450" u="1"/>
        <n v="2.3283064365386963E-10" u="1"/>
        <n v="569250" u="1"/>
        <n v="308568.56000000006" u="1"/>
        <n v="807357.5" u="1"/>
        <n v="1181656.28" u="1"/>
        <n v="4262455.25" u="1"/>
        <n v="1827534" u="1"/>
        <n v="14969302.564900002" u="1"/>
        <n v="89328.747053001076" u="1"/>
        <n v="15390209.036700001" u="1"/>
        <n v="22806364.841473348" u="1"/>
        <n v="15405028.302600002" u="1"/>
        <n v="22500" u="1"/>
        <n v="15899003.832600001" u="1"/>
        <n v="772500" u="1"/>
        <n v="23083705.65847335" u="1"/>
        <n v="1458479.28" u="1"/>
        <n v="493685.89" u="1"/>
        <n v="23083705.658473358" u="1"/>
        <n v="1783011.7000000002" u="1"/>
        <n v="627575.76" u="1"/>
        <n v="431393.05" u="1"/>
        <n v="23654399.249473348" u="1"/>
        <n v="107260821.21000004" u="1"/>
        <n v="6419242.5" u="1"/>
        <n v="1253500" u="1"/>
        <n v="1248119.9900000007" u="1"/>
        <n v="12879540" u="1"/>
        <n v="2257542" u="1"/>
        <n v="41719.549999999814" u="1"/>
        <n v="23654399.249473356" u="1"/>
        <n v="455725.45" u="1"/>
        <n v="5397732" u="1"/>
        <n v="2010022.1896642274" u="1"/>
        <n v="23654638.42047336" u="1"/>
        <n v="5287195.5306879962" u="1"/>
        <n v="41719.550000000047" u="1"/>
        <n v="419175" u="1"/>
        <n v="114724.73559400067" u="1"/>
        <n v="7765605" u="1"/>
        <n v="6700000" u="1"/>
        <n v="16346642.4" u="1"/>
        <n v="24393593.533473361" u="1"/>
        <n v="114724.73559399974" u="1"/>
        <n v="252814.24" u="1"/>
        <n v="1420509.01" u="1"/>
        <n v="4392907.9855500003" u="1"/>
        <n v="3582817.67" u="1"/>
        <n v="685891.66000000015" u="1"/>
        <n v="5287195.5306879971" u="1"/>
        <n v="9156913.6530879978" u="1"/>
        <n v="531394.88" u="1"/>
        <n v="9184871.9295879975" u="1"/>
        <n v="2011306.4084051191" u="1"/>
        <n v="23822899.942473359" u="1"/>
        <n v="23714910" u="1"/>
        <n v="3785047.7203177996" u="1"/>
        <n v="24427134.073473353" u="1"/>
        <n v="16908.45000000007" u="1"/>
        <n v="4836003" u="1"/>
        <n v="1122420.1816500006" u="1"/>
        <n v="107260821.21000001" u="1"/>
        <n v="2026592" u="1"/>
        <n v="436052.14" u="1"/>
        <n v="34499.910000000033" u="1"/>
        <n v="30924344.260473352" u="1"/>
        <n v="12603195" u="1"/>
        <n v="69420.181650000624" u="1"/>
        <n v="493953.94249999995" u="1"/>
        <n v="7493710.5" u="1"/>
        <n v="1139000" u="1"/>
        <n v="30924344.260473363" u="1"/>
        <n v="3259208.68" u="1"/>
        <n v="301761.59999999998" u="1"/>
        <n v="9000429" u="1"/>
        <n v="1000475.49" u="1"/>
        <n v="514797.5" u="1"/>
        <n v="107260821.20999999" u="1"/>
        <n v="8470177.2200000007" u="1"/>
        <n v="39832996.675473362" u="1"/>
        <n v="491845.28749999998" u="1"/>
        <n v="9946.410000000149" u="1"/>
        <n v="27166.909999999683" u="1"/>
        <n v="530482.57999999996" u="1"/>
        <n v="110995858.23999999" u="1"/>
        <n v="10204065.07" u="1"/>
        <n v="12809602.077087998" u="1"/>
        <n v="804752.18" u="1"/>
        <n v="999349.72" u="1"/>
        <n v="39832996.67547337" u="1"/>
        <n v="493953.9425" u="1"/>
        <n v="40777345" u="1"/>
        <n v="9030304.0035200007" u="1"/>
        <n v="433642.36884599971" u="1"/>
        <n v="4626403.66" u="1"/>
        <n v="593400" u="1"/>
        <n v="13686106.855287997" u="1"/>
        <n v="44836270" u="1"/>
        <n v="121916870.00999998" u="1"/>
        <n v="359810.57" u="1"/>
        <n v="128535.5" u="1"/>
        <n v="3908440.3499999996" u="1"/>
        <n v="24836270" u="1"/>
        <n v="3790713.4974399991" u="1"/>
        <n v="14196425.575287998" u="1"/>
        <n v="4.6566128730773926E-10" u="1"/>
        <n v="95071766.209999979" u="1"/>
        <n v="2032362.7965500006" u="1"/>
        <n v="4392907.9855500013" u="1"/>
        <n v="34539116.009073369" u="1"/>
        <n v="1900000" u="1"/>
        <n v="450496.2326609997" u="1"/>
        <n v="71300" u="1"/>
        <n v="754128.94" u="1"/>
        <n v="530000" u="1"/>
        <n v="2003904.69" u="1"/>
        <n v="11527982.48" u="1"/>
        <n v="856595.0354609997" u="1"/>
        <n v="212095.59000000032" u="1"/>
        <n v="34485059.105473369" u="1"/>
        <n v="18000000" u="1"/>
        <n v="856367.26764599979" u="1"/>
        <n v="39823178.335973382" u="1"/>
        <n v="195071766.21000001" u="1"/>
        <n v="856667.3446589997" u="1"/>
        <n v="108100" u="1"/>
        <n v="7478614.665186001" u="1"/>
        <n v="1001635.3025" u="1"/>
        <n v="1666831.5200000003" u="1"/>
        <n v="933207.66" u="1"/>
        <n v="4326956.6694399994" u="1"/>
        <n v="482012.43" u="1"/>
        <n v="686893.71" u="1"/>
        <n v="1713600" u="1"/>
        <n v="127650" u="1"/>
        <n v="1167116.6000000001" u="1"/>
        <n v="2200000" u="1"/>
        <n v="58261711.367153384" u="1"/>
        <n v="11416060.32" u="1"/>
        <n v="4239654.4800000004" u="1"/>
        <n v="76047.34169999999" u="1"/>
        <n v="1646250" u="1"/>
        <n v="2019034.07" u="1"/>
        <n v="1984150.5773000005" u="1"/>
        <n v="2878621.2200000007" u="1"/>
        <n v="1326959.55" u="1"/>
        <n v="3059710.07" u="1"/>
        <n v="6147311.3575900011" u="1"/>
        <n v="10080.139999999898" u="1"/>
        <n v="1725000" u="1"/>
        <n v="16245948.498690998" u="1"/>
        <n v="14117915.810000001" u="1"/>
        <n v="132789.9094480006" u="1"/>
        <n v="42681.799999999988" u="1"/>
        <n v="8247656.25" u="1"/>
        <n v="268312511.23999998" u="1"/>
        <n v="1650702.09" u="1"/>
        <n v="229058.31999999983" u="1"/>
        <n v="59373789.14965339" u="1"/>
        <n v="122118479.23999998" u="1"/>
        <n v="389495.05669999996" u="1"/>
        <n v="900108.61000000127" u="1"/>
        <n v="593580.02" u="1"/>
        <n v="2171201.61" u="1"/>
        <n v="6049.6899999999441" u="1"/>
        <n v="897119.6" u="1"/>
        <n v="1792213.13" u="1"/>
        <n v="2120837" u="1"/>
        <n v="3055634" u="1"/>
        <n v="1978910.18" u="1"/>
        <n v="4971427.42" u="1"/>
        <n v="375576.84" u="1"/>
        <n v="1795147.53" u="1"/>
        <n v="1749851.86" u="1"/>
        <n v="50000" u="1"/>
        <n v="108859.83249398693" u="1"/>
        <n v="82053.274911836721" u="1"/>
        <n v="38442.697117000003" u="1"/>
        <n v="1050000" u="1"/>
        <n v="107758.0634800001" u="1"/>
        <n v="60540.467208256945" u="1"/>
        <n v="60207195.843153395" u="1"/>
        <n v="1271590.3181919642" u="1"/>
        <n v="58283400" u="1"/>
        <n v="4651893.3758000005" u="1"/>
        <n v="6154732.8530000011" u="1"/>
        <n v="3543660.2" u="1"/>
        <n v="208848617.20999998" u="1"/>
        <n v="405299.47" u="1"/>
        <n v="69667843.192153394" u="1"/>
        <n v="-1230441.1499999999" u="1"/>
      </sharedItems>
    </cacheField>
    <cacheField name="Bank Name" numFmtId="0">
      <sharedItems containsBlank="1" count="8">
        <s v="SAB"/>
        <s v="Alinma"/>
        <s v="SNB"/>
        <s v="Jazira"/>
        <s v="Riyad"/>
        <s v="NBK"/>
        <s v="BAB" u="1"/>
        <m u="1"/>
      </sharedItems>
    </cacheField>
    <cacheField name="Lines" numFmtId="0">
      <sharedItems count="2">
        <s v="Credit"/>
        <s v="Cash"/>
      </sharedItems>
    </cacheField>
    <cacheField name="Start of Week" numFmtId="166">
      <sharedItems containsNonDate="0" containsDate="1" containsString="0" containsBlank="1" minDate="2026-06-21T00:00:00" maxDate="2026-09-14T00:00:00" count="13">
        <m/>
        <d v="2026-07-05T00:00:00"/>
        <d v="2026-08-02T00:00:00"/>
        <d v="2026-07-12T00:00:00"/>
        <d v="2026-08-30T00:00:00"/>
        <d v="2026-07-19T00:00:00"/>
        <d v="2026-07-26T00:00:00"/>
        <d v="2026-06-28T00:00:00"/>
        <d v="2026-08-23T00:00:00"/>
        <d v="2026-06-21T00:00:00"/>
        <d v="2026-08-09T00:00:00"/>
        <d v="2026-08-16T00:00:00"/>
        <d v="2026-09-13T00:00:00"/>
      </sharedItems>
      <fieldGroup par="13"/>
    </cacheField>
    <cacheField name="End of Week" numFmtId="166">
      <sharedItems containsNonDate="0" containsDate="1" containsString="0" containsBlank="1" minDate="2026-06-27T00:00:00" maxDate="2026-09-20T00:00:00" count="13">
        <m/>
        <d v="2026-07-11T00:00:00"/>
        <d v="2026-08-08T00:00:00"/>
        <d v="2026-07-18T00:00:00"/>
        <d v="2026-09-05T00:00:00"/>
        <d v="2026-07-25T00:00:00"/>
        <d v="2026-08-01T00:00:00"/>
        <d v="2026-07-04T00:00:00"/>
        <d v="2026-08-29T00:00:00"/>
        <d v="2026-06-27T00:00:00"/>
        <d v="2026-08-15T00:00:00"/>
        <d v="2026-08-22T00:00:00"/>
        <d v="2026-09-19T00:00:00"/>
      </sharedItems>
      <fieldGroup par="16"/>
    </cacheField>
    <cacheField name="Days (Start of Week)" numFmtId="0" databaseField="0">
      <fieldGroup base="10">
        <rangePr groupBy="days" startDate="2026-06-21T00:00:00" endDate="2026-09-14T00:00:00"/>
        <groupItems count="368">
          <s v="&lt;21/06/2026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4/09/2026"/>
        </groupItems>
      </fieldGroup>
    </cacheField>
    <cacheField name="Months (Start of Week)" numFmtId="0" databaseField="0">
      <fieldGroup base="10">
        <rangePr groupBy="months" startDate="2026-06-21T00:00:00" endDate="2026-09-14T00:00:00"/>
        <groupItems count="14">
          <s v="&lt;21/06/2026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4/09/2026"/>
        </groupItems>
      </fieldGroup>
    </cacheField>
    <cacheField name="Months (End of Week)" numFmtId="0" databaseField="0">
      <fieldGroup base="11">
        <rangePr groupBy="months" startDate="2026-06-27T00:00:00" endDate="2026-09-20T00:00:00"/>
        <groupItems count="14">
          <s v="&lt;27/06/2026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0/09/2026"/>
        </groupItems>
      </fieldGroup>
    </cacheField>
    <cacheField name="Quarters (End of Week)" numFmtId="0" databaseField="0">
      <fieldGroup base="11">
        <rangePr groupBy="quarters" startDate="2026-06-27T00:00:00" endDate="2026-09-20T00:00:00"/>
        <groupItems count="6">
          <s v="&lt;27/06/2026"/>
          <s v="Qtr1"/>
          <s v="Qtr2"/>
          <s v="Qtr3"/>
          <s v="Qtr4"/>
          <s v="&gt;20/09/2026"/>
        </groupItems>
      </fieldGroup>
    </cacheField>
    <cacheField name="Years (End of Week)" numFmtId="0" databaseField="0">
      <fieldGroup base="11">
        <rangePr groupBy="years" startDate="2026-06-27T00:00:00" endDate="2026-09-20T00:00:00"/>
        <groupItems count="3">
          <s v="&lt;27/06/2026"/>
          <s v="2026"/>
          <s v="&gt;20/09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arhan Shaikh" refreshedDate="46197.401129861108" createdVersion="8" refreshedVersion="8" minRefreshableVersion="3" recordCount="60" xr:uid="{5198E394-D1CC-47E3-83CE-84696FCC3F78}">
  <cacheSource type="worksheet">
    <worksheetSource name="Due_Dates"/>
  </cacheSource>
  <cacheFields count="15">
    <cacheField name="LC Number" numFmtId="0">
      <sharedItems count="698">
        <s v="DCBWPM160342"/>
        <s v="DCBWPM160343"/>
        <s v="DCBWPM160355"/>
        <s v="DCBWPM160363"/>
        <s v="DCBWPM160364"/>
        <s v="DCBWPM161328"/>
        <s v="DCBWPM162992"/>
        <s v="DCBWPM162993"/>
        <s v="DCBWPM163413"/>
        <s v="DCBWPM163417"/>
        <s v="DCBWPM163945"/>
        <s v="DCBWPM163950"/>
        <s v="DCBWPM163953"/>
        <s v="DCBWPM163957"/>
        <s v="DCBWPM163960"/>
        <s v="DCBWPM163967"/>
        <s v="DCBWPM163995"/>
        <s v="DCBWPM163999"/>
        <s v="DCBWPM164001"/>
        <s v="DCBWPM164003"/>
        <s v="DCBWPM564580"/>
        <s v="DCBWPM565843"/>
        <s v="DCBWPM566634"/>
        <s v="DCBWPM567554"/>
        <s v="DCBWPM567556"/>
        <s v="DCBWPM570369"/>
        <s v="DCBWPM570384"/>
        <s v="ILC-0840-25-8164"/>
        <s v="ILC-0840-26-8758"/>
        <s v="ILC-0840-26-9073"/>
        <s v="J210104"/>
        <s v="J211681"/>
        <s v="J212030"/>
        <s v="J212140"/>
        <s v="J212311"/>
        <s v="JLC6901431_Cre"/>
        <s v="JLC7000004"/>
        <s v="JLC7000005"/>
        <s v="JLC7000007"/>
        <s v="JLC7000008"/>
        <s v="JLC7000184"/>
        <s v="JLC7000185"/>
        <s v="JLC7000193"/>
        <s v="JLC7000384"/>
        <s v="M001959"/>
        <s v="TF2517400098"/>
        <s v="TF2527100024"/>
        <s v="TF2535200021"/>
        <s v="TF2604200011_B"/>
        <s v="TF2609800008"/>
        <s v="TF2609900016"/>
        <s v="TF2610500021"/>
        <s v="JLC6901492" u="1"/>
        <s v="DCBWPM570361" u="1"/>
        <s v="JLC6902211" u="1"/>
        <s v="J212139" u="1"/>
        <s v="ILC-0840-25-8427" u="1"/>
        <s v="J211485" u="1"/>
        <s v="TF2523000034" u="1"/>
        <s v="TF2526500019" u="1"/>
        <s v="TF2606300014" u="1"/>
        <s v="DCBWPM563039" u="1"/>
        <s v="JLC7000002" u="1"/>
        <s v="JLC7000182" u="1"/>
        <s v="JLC7000183" u="1"/>
        <s v="JLC7000186" u="1"/>
        <s v="JLC7000187" u="1"/>
        <s v="JLC7000188" u="1"/>
        <s v="TF2604200011_C" u="1"/>
        <s v="TF2605600008" u="1"/>
        <s v="DCBCPM160316" u="1"/>
        <s v="DCBWPM161322" u="1"/>
        <s v="DCBWPM162155" u="1"/>
        <s v="DCBWPM570380" u="1"/>
        <s v="DCBWPM570414" u="1"/>
        <s v="J211807" u="1"/>
        <s v="J211811" u="1"/>
        <s v="TF2535200019" u="1"/>
        <s v="J211805" u="1"/>
        <s v="J211808" u="1"/>
        <s v="TF2527100025" u="1"/>
        <s v="TF2535900014" u="1"/>
        <s v="TF2604200011_A" u="1"/>
        <s v="DCBWPM161319" u="1"/>
        <s v="DCBWPM161326" u="1"/>
        <s v="DCBWPM161329" u="1"/>
        <s v="DCBWPM161331" u="1"/>
        <s v="ILC-0840-26-8820" u="1"/>
        <s v="J210617" u="1"/>
        <s v="DCBWPM161330" u="1"/>
        <s v="DCBWPM570839" u="1"/>
        <s v="TF2513500019" u="1"/>
        <s v="DCBWPM563025" u="1"/>
        <s v="ILC-0840-26-8821" u="1"/>
        <s v="ILC-0840-26-8823" u="1"/>
        <s v="J211810" u="1"/>
        <s v="JLC6902213" u="1"/>
        <s v="JLC7000006" u="1"/>
        <s v="ILC-0840-26-8819" u="1"/>
        <s v="JLC6801573" u="1"/>
        <s v="JLC7002384" u="1"/>
        <s v="TF2531600056" u="1"/>
        <s v="DCBWPM566848" u="1"/>
        <s v="ILC-0840-25-7984" u="1"/>
        <s v="ILC-0840-25-8159" u="1"/>
        <s v="TF2535200018" u="1"/>
        <s v="DCBWPM563372" u="1"/>
        <s v="J211806" u="1"/>
        <s v="TF2514700037" u="1"/>
        <s v="DCBWPM563043" u="1"/>
        <s v="J211985" u="1"/>
        <s v="TF2513100027" u="1"/>
        <s v="TF2514700025" u="1"/>
        <s v="JLC7000001" u="1"/>
        <s v="JLC7000009" u="1"/>
        <s v="DCBWPM553808" u="1"/>
        <s v="DCBWPM563027" u="1"/>
        <s v="TF2535900016" u="1"/>
        <s v="TF2531400014" u="1"/>
        <s v="TF2517400019" u="1"/>
        <s v="TF2531600053" u="1"/>
        <s v="TF2514600059" u="1"/>
        <s v="ILC-0840-25-7799" u="1"/>
        <s v="J210604" u="1"/>
        <s v="TF2533500006" u="1"/>
        <s v="JLC6901610" u="1"/>
        <s v="DCBWPM563040" u="1"/>
        <s v="DCBWPM565824" u="1"/>
        <s v="DCBWPM565832" u="1"/>
        <s v="J210611" u="1"/>
        <s v="J211809" u="1"/>
        <s v="JLC6901431_Cash" u="1"/>
        <s v="TF2531600062" u="1"/>
        <s v="ILC-0840-25-8011" u="1"/>
        <s v="J211604" u="1"/>
        <s v="JLC6701731" u="1"/>
        <s v="TF2534800029" u="1"/>
        <s v="DCBWPM563374" u="1"/>
        <s v="ILC-0840-25-7736" u="1"/>
        <s v="JLC6901608" u="1"/>
        <s v="LCI-SA-M001909" u="1"/>
        <s v="ILC-0840-25-8165" u="1"/>
        <s v="TF2514700051" u="1"/>
        <s v="TF2533500010" u="1"/>
        <s v="DCBWPM566972" u="1"/>
        <s v="TF2517700068" u="1"/>
        <s v="ILC-0840-25-8471" u="1"/>
        <s v="DCBWPM562612" u="1"/>
        <s v="DCBWPM563055" u="1"/>
        <s v="DCBWPM565846" u="1"/>
        <s v="ILC-0840-25-8473" u="1"/>
        <s v="JLC6901613" u="1"/>
        <s v="DCBWPM563030" u="1"/>
        <s v="DCBWPM565760" u="1"/>
        <s v="ILC-0840-25-7354" u="1"/>
        <s v="JLC6901612" u="1"/>
        <s v="DCBWPM558768" u="1"/>
        <s v="DCBWPM566643" u="1"/>
        <s v="TF2521100048" u="1"/>
        <s v="ILC-0840-25-8163" u="1"/>
        <s v="ILC-0840-25-8470" u="1"/>
        <s v="J210868" u="1"/>
        <s v="DCBWPM562604" u="1"/>
        <s v="DCBWPM558775" u="1"/>
        <s v="DCBWPM563017" u="1"/>
        <s v="DCBWPM563067" u="1"/>
        <s v="DCBWPM566639" u="1"/>
        <s v="ILC-0840-25-8160" u="1"/>
        <s v="TF2521100101" u="1"/>
        <s v="DCBWPM564575" u="1"/>
        <s v="DCBWPM566642" u="1"/>
        <s v="DCBWPM566842" u="1"/>
        <s v="DCBWPM565836" u="1"/>
        <s v="DCBWPM566637" u="1"/>
        <s v="DCBWPM553893" u="1"/>
        <s v="DCBWPM564596" u="1"/>
        <s v="DCBWPM565818" u="1"/>
        <s v="JLC6901611" u="1"/>
        <s v="TF2513500034" u="1"/>
        <s v="DCBWPM564584" u="1"/>
        <s v="ILC-0840-25-7982" u="1"/>
        <s v="TF2526500017" u="1"/>
        <s v="DCBWPM565841" u="1"/>
        <s v="DCBWPM555620" u="1"/>
        <s v="DCBWPM563046" u="1"/>
        <s v="IM2513233001" u="1"/>
        <s v="TF2521100088" u="1"/>
        <s v="IM2500633009_Cre" u="1"/>
        <s v="ILC-0840-25-7264" u="1"/>
        <s v="ILC-0840-25-7517" u="1"/>
        <s v="DCBWPM555615" u="1"/>
        <s v="ILC-0840-25-7407" u="1"/>
        <s v="IM2500633009" u="1"/>
        <s v="JLC6901616" u="1"/>
        <s v="TF2513500038" u="1"/>
        <s v="DCBWPM562595" u="1"/>
        <s v="DCBWPM563932" u="1"/>
        <s v="J210929" u="1"/>
        <s v="TF2513200005" u="1"/>
        <s v="TF2517700020" u="1"/>
        <s v="TF2521100016" u="1"/>
        <s v="TF2517700014" u="1"/>
        <s v="TF2517700054" u="1"/>
        <s v="TF2513100011" u="1"/>
        <s v="TF2513100026" u="1"/>
        <s v="TF2513100028" u="1"/>
        <s v="TF2513500031" u="1"/>
        <s v="TF2513500037" u="1"/>
        <s v="TF2514600068" u="1"/>
        <s v="TF2514700033" u="1"/>
        <s v="TF2514700038" u="1"/>
        <s v="TF2517400111" u="1"/>
        <s v="TF2517700028" u="1"/>
        <s v="DCBWPM558778" u="1"/>
        <s v="DCBWPM562625" u="1"/>
        <s v="DCBWPM563019" u="1"/>
        <s v="TF2521000022" u="1"/>
        <s v="DCBWPM560813" u="1"/>
        <s v="ILC-0840-25-7352" u="1"/>
        <s v="J211600" u="1"/>
        <s v="ILC-0840-25-7173" u="1"/>
        <s v="DCBWPM564579" u="1"/>
        <s v="TF2523600022" u="1"/>
        <s v="DCBWPM563814" u="1"/>
        <s v="J210676" u="1"/>
        <s v="J210944" u="1"/>
        <s v="DCBWPM562728" u="1"/>
        <s v="DCBWPM563232" u="1"/>
        <s v="DCBWPM564582" u="1"/>
        <s v="DCBWPM562628" u="1"/>
        <s v="DCBWPM563813" u="1"/>
        <s v="TF2523600029" u="1"/>
        <s v="DCBWPM558759" u="1"/>
        <s v="TF2517300038" u="1"/>
        <s v="ILC-0840-25-7570" u="1"/>
        <s v="DCBWPM563935" u="1"/>
        <s v="DCBWPM563936" u="1"/>
        <s v="DCBWPM564585" u="1"/>
        <s v="DCBWPM562620" u="1"/>
        <s v="DCBWPM563228" u="1"/>
        <s v="DCBWPM562600" u="1"/>
        <s v="IM2512733008" u="1"/>
        <s v="TF2513500039" u="1"/>
        <s v="ILC-0840-25-7992" u="1"/>
        <s v="ILC-0840-25-8161" u="1"/>
        <s v="TF2521100011" u="1"/>
        <s v="DCBWPM562605" u="1"/>
        <s v="DCBWPM562626" u="1"/>
        <s v="IM2512833004" u="1"/>
        <s v="DCBWPM558781" u="1"/>
        <s v="DCBWPM562731" u="1"/>
        <s v="DCBWPM563023" u="1"/>
        <s v="DCBWPM563026" u="1"/>
        <s v="DCBWPM563064" u="1"/>
        <s v="DCBWPM563822" u="1"/>
        <s v="TF2510400020" u="1"/>
        <s v="TF2510400021" u="1"/>
        <s v="TF2517400023" u="1"/>
        <s v="TF2517400070" u="1"/>
        <s v="TF2521100095" u="1"/>
        <s v="DCBWPM564600" u="1"/>
        <s v="J210928" u="1"/>
        <s v="TF2521000028" u="1"/>
        <s v="ILC-0840-25-7980" u="1"/>
        <s v="J210096" u="1"/>
        <s v="TF2521100037" u="1"/>
        <s v="TF2521100097" u="1"/>
        <s v="DCBWPM551279" u="1"/>
        <s v="DCBWPM564601" u="1"/>
        <s v="ILC-0840-25-7735" u="1"/>
        <s v="ILC-0840-25-8162" u="1"/>
        <s v="DCBWPM554837" u="1"/>
        <s v="DCBWPM558751" u="1"/>
        <s v="IM2512733014" u="1"/>
        <s v="TF2510400017" u="1"/>
        <s v="DCBWPM562590" u="1"/>
        <s v="DCBWPM562622" u="1"/>
        <s v="DCBWPM562615" u="1"/>
        <s v="DCBWPM563021" u="1"/>
        <s v="DCBWPM563059" u="1"/>
        <s v="J210606" u="1"/>
        <s v="DCBWPM562592" u="1"/>
        <s v="DCBWPM562598" u="1"/>
        <s v="DCBWPM563695" u="1"/>
        <s v="TF2517400057" u="1"/>
        <s v="TF2517700045" u="1"/>
        <s v="TF2517700078" u="1"/>
        <s v="DCBWPM562624" u="1"/>
        <s v="DCBWPM554250" u="1"/>
        <s v="DCBWPM563229" u="1"/>
        <s v="ILC-0840-25-7351" u="1"/>
        <s v="ILC-0840-25-7572" u="1"/>
        <s v="ILC-0840-25-7979" u="1"/>
        <s v="DCBWPM563375" u="1"/>
        <s v="TF2519600062" u="1"/>
        <s v="DCBWPM564605" u="1"/>
        <s v="TF2508300047" u="1"/>
        <s v="TF2514700030" u="1"/>
        <s v="TF2514700046" u="1"/>
        <s v="TF2517400017" u="1"/>
        <s v="TF2517400030" u="1"/>
        <s v="TF2517400044" u="1"/>
        <s v="TF2517700035" u="1"/>
        <s v="TF2517700061" u="1"/>
        <s v="DCBWPM554738" u="1"/>
        <s v="DCBWPM565536" u="1"/>
        <s v="JLC6901431" u="1"/>
        <s v="DCBWPM562730" u="1"/>
        <s v="ILC-0840-25-7986" u="1"/>
        <s v="TF2517700091" u="1"/>
        <s v="DCBWPM553955" u="1"/>
        <s v="DCBWPM558763" u="1"/>
        <s v="DCBWPM563824" u="1"/>
        <s v="JLC6901472" u="1"/>
        <s v="TF2513500018" u="1"/>
        <s v="TF2513500032" u="1"/>
        <s v="TF2514600067" u="1"/>
        <s v="TF2514700064" u="1"/>
        <s v="TF2517400062" u="1"/>
        <s v="DCBWPM558787" u="1"/>
        <s v="DCBWPM567940" u="1"/>
        <s v="ILC-0840-25-7737" u="1"/>
        <s v="DCBCPM558780" u="1"/>
        <s v="DCBWPM558776" u="1"/>
        <s v="DCBWPM558786" u="1"/>
        <s v="DCBWPM558782" u="1"/>
        <s v="DCBWPM564593" u="1"/>
        <s v="J210605" u="1"/>
        <s v="DC WPM556764" u="1"/>
        <s v="DCBWPM560155" u="1"/>
        <s v="J210607" u="1"/>
        <s v="J210608" u="1"/>
        <s v="JLC6901487" u="1"/>
        <s v="TF2513500017" u="1"/>
        <s v="TF2513500026" u="1"/>
        <s v="TF2513500030" u="1"/>
        <s v="IM2512733013" u="1"/>
        <s v="TF2513100025" u="1"/>
        <s v="TF2517400053" u="1"/>
        <s v="TF2514700056" u="1"/>
        <s v="TF2519400032" u="1"/>
        <s v="JLC6901476" u="1"/>
        <s v="TF2513100029" u="1"/>
        <s v="TF2513500016" u="1"/>
        <s v="TF2513500033" u="1"/>
        <s v="TF2513500035" u="1"/>
        <s v="TF2514700061" u="1"/>
        <s v="ILC-0840-25-7481" u="1"/>
        <s v="IM2435433001" u="1"/>
        <s v="IM2512833005" u="1"/>
        <s v="JLC6901485" u="1"/>
        <s v="DCBWPM558756" u="1"/>
        <s v="J210028" u="1"/>
        <s v="JLC6901473" u="1"/>
        <s v="JLC6901469" u="1"/>
        <s v="JLC6901481" u="1"/>
        <s v="JLC6901482" u="1"/>
        <s v="TF2512800002" u="1"/>
        <s v="TF2514700052" u="1"/>
        <s v="TF2517400038" u="1"/>
        <s v="TF2517400050" u="1"/>
        <s v="JLC6901467" u="1"/>
        <s v="TF2507700061" u="1"/>
        <s v="TF2508300031" u="1"/>
        <s v="TF2517400066" u="1"/>
        <s v="ILC-0840-25-7355" u="1"/>
        <s v="J210610" u="1"/>
        <s v="JLC6901468" u="1"/>
        <s v="JLC6901480" u="1"/>
        <s v="TF2513500029" u="1"/>
        <s v="DCBWPM553897" u="1"/>
        <s v="ILC-0840-25-7266" u="1"/>
        <s v="ILC-0840-25-7566" u="1"/>
        <s v="JLC6901483" u="1"/>
        <s v="TF2517400045" u="1"/>
        <s v="JLC6901470" u="1"/>
        <s v="JLC6901484" u="1"/>
        <s v="JLC6901486" u="1"/>
        <s v="DCBWPM558755" u="1"/>
        <s v="DCBWPM558769" u="1"/>
        <s v="IM2512733007" u="1"/>
        <s v="JLC6901474" u="1"/>
        <s v="JLC6901477" u="1"/>
        <s v="TF2514700066" u="1"/>
        <s v="JLC6901466" u="1"/>
        <s v="TF2513100024" u="1"/>
        <s v="J210386" u="1"/>
        <s v="JLC6901475" u="1"/>
        <s v="TF2502300056" u="1"/>
        <s v="TF2508300029" u="1"/>
        <s v="TF2508300035" u="1"/>
        <s v="TF2514700055" u="1"/>
        <s v="TF2517400086" u="1"/>
        <s v="IM2512733010" u="1"/>
        <s v="DCBWPM558785" u="1"/>
        <s v="J210612" u="1"/>
        <s v="JLC6901479" u="1"/>
        <s v="JLC6901489" u="1"/>
        <s v="J210609" u="1"/>
        <s v="JLC6901471" u="1"/>
        <s v="TF2513100023" u="1"/>
        <s v="TF2513500036" u="1"/>
        <s v="IM2512833009" u="1"/>
        <s v="TF2523600024" u="1"/>
        <s v="DCBWPM557847" u="1"/>
        <s v="IM2433133003" u="1"/>
        <s v="TF2508300060" u="1"/>
        <s v="ILC-0840-25-7518" u="1"/>
        <s v="ILC-0840-25-7574" u="1"/>
        <s v="IM2512733003" u="1"/>
        <s v="IM2512733017" u="1"/>
        <s v="TF2518100017" u="1"/>
        <s v="IM2512733011" u="1"/>
        <s v="TF2431898512" u="1"/>
        <s v="TF2512800006" u="1"/>
        <s v="IM2512733016" u="1"/>
        <s v="IM2512833001" u="1"/>
        <s v="IM2512833003" u="1"/>
        <s v="IM2512733012" u="1"/>
        <s v="IM2512733015" u="1"/>
        <s v="IM2512733005" u="1"/>
        <s v="IM2512733009" u="1"/>
        <s v="IM2512833002" u="1"/>
        <s v="IM2512833006" u="1"/>
        <s v="IM2513133003" u="1"/>
        <s v="ILC-0840-25-7406" u="1"/>
        <s v="J210690" u="1"/>
        <s v="TF2508300055" u="1"/>
        <s v="TF2510400028" u="1"/>
        <s v="DCBWPM559830" u="1"/>
        <s v="J210388" u="1"/>
        <s v="ILC-0840-25-7739" u="1"/>
        <s v="J210679" u="1"/>
        <s v="DCBWPM553753" u="1"/>
        <s v="ILC-0840-25-7877" u="1"/>
        <s v="TF2508300053" u="1"/>
        <s v="DCBWPM553752" u="1"/>
        <s v="TF2508300028" u="1"/>
        <s v="J210603" u="1"/>
        <s v="DCBWPM562572" u="1"/>
        <s v="TF2507700035" u="1"/>
        <s v="ILC-0840-25-7568" u="1"/>
        <s v="IM2512733006" u="1"/>
        <s v="DCBWPM554917" u="1"/>
        <s v="DC WPM554941" u="1"/>
        <s v="DCBWPM554918" u="1"/>
        <s v="TF2507700057" u="1"/>
        <s v="TF2508300036" u="1"/>
        <s v="TF2509900021" u="1"/>
        <s v="TF2429897815" u="1"/>
        <s v="TF2507700047" u="1"/>
        <s v="TF2508300030" u="1"/>
        <s v="TF2508300056" u="1"/>
        <s v="DCBWPM555723" u="1"/>
        <s v="ILC-0840-25-7267" u="1"/>
        <s v="ILC-0840-25-7571" u="1"/>
        <s v="J210387" u="1"/>
        <s v="JLC6801271" u="1"/>
        <s v="TF2508300024" u="1"/>
        <s v="TF2508300052" u="1"/>
        <s v="TF2508300059" u="1"/>
        <s v="TF2502300053" u="1"/>
        <s v="TF2507600031" u="1"/>
        <s v="TF2507700036" u="1"/>
        <s v="TF2507700038" u="1"/>
        <s v="TF2507700041" u="1"/>
        <s v="TF2507700050" u="1"/>
        <s v="TF2507700052" u="1"/>
        <s v="TF2508300006" u="1"/>
        <s v="TF2508300020" u="1"/>
        <s v="TF2508300021" u="1"/>
        <s v="TF2508300025" u="1"/>
        <s v="TF2508300026" u="1"/>
        <s v="TF2508300051" u="1"/>
        <s v="TF2502300033" u="1"/>
        <s v="TF2502300034" u="1"/>
        <s v="TF2502300038" u="1"/>
        <s v="TF2507700062" u="1"/>
        <s v="TF2508300032" u="1"/>
        <s v="TF2508300039" u="1"/>
        <s v="TF2508300048" u="1"/>
        <s v="DCBWPM553960" u="1"/>
        <s v="DCBWPM555720" u="1"/>
        <s v="DCBWPM555709" u="1"/>
        <s v="DCBWPM555618" u="1"/>
        <s v="DCBWPM555729" u="1"/>
        <s v="J210018" u="1"/>
        <s v="TF2508300046" u="1"/>
        <s v="ILC-0840-25-7269" u="1"/>
        <s v="TF2507700039" u="1"/>
        <s v="J209960" u="1"/>
        <s v="DCBWPM555614" u="1"/>
        <s v="IM2505733002" u="1"/>
        <s v="J209959" u="1"/>
        <s v="J209954" u="1"/>
        <s v="TF2500700015" u="1"/>
        <s v="TF2502300057" u="1"/>
        <s v="IM2505733001" u="1"/>
        <s v="J209514" u="1"/>
        <s v="IM2435433002" u="1"/>
        <s v="J209961" u="1"/>
        <s v="J210027" u="1"/>
        <s v="IM2433133002" u="1"/>
        <s v="IM2506533002" u="1"/>
        <s v="TF2502300037" u="1"/>
        <s v="TF2500600007" u="1"/>
        <s v="TF2500700023" u="1"/>
        <s v="TF2502300030" u="1"/>
        <s v="TF2502300062" u="1"/>
        <s v="DCBWPM553914" u="1"/>
        <s v="DPCWPM551225" u="1"/>
        <s v="IM2505633002" u="1"/>
        <s v="J209963" u="1"/>
        <s v="J209956" u="1"/>
        <s v="J210021" u="1"/>
        <s v="IM2431833001" u="1"/>
        <s v="J209065" u="1"/>
        <s v="J209517" u="1"/>
        <s v="J209621" u="1"/>
        <s v="J209951" u="1"/>
        <s v="J209962" u="1"/>
        <s v="J210023" u="1"/>
        <s v="J210026" u="1"/>
        <s v="TF2502300023" u="1"/>
        <s v="TF2502300026" u="1"/>
        <s v="TF2502300049" u="1"/>
        <s v="DCBWPM553297" u="1"/>
        <s v="J209958" u="1"/>
        <s v="J209618" u="1"/>
        <s v="TF2434399308" u="1"/>
        <s v="ILC-0840-25-7172" u="1"/>
        <s v="TF2320583838" u="1"/>
        <s v="TF2433399026" u="1"/>
        <s v="TF2502300036" u="1"/>
        <s v="TF2502300039" u="1"/>
        <s v="DCBWPM554940" u="1"/>
        <s v="J210025" u="1"/>
        <s v="J210022" u="1"/>
        <s v="TF2502300031" u="1"/>
        <s v="TF2502300040" u="1"/>
        <s v="J210017" u="1"/>
        <s v="J210019" u="1"/>
        <s v="ILC-0840-25-7171" u="1"/>
        <s v="J210020" u="1"/>
        <s v="J210024" u="1"/>
        <s v="TF2500700017" u="1"/>
        <s v="TF2500700024" u="1"/>
        <s v="TF2502300048" u="1"/>
        <s v="TF2502300059" u="1"/>
        <s v="DCBWPM554912" u="1"/>
        <s v="J209955" u="1"/>
        <s v="J209957" u="1"/>
        <s v="DCBWPM554916" u="1"/>
        <s v="TF2421995040" u="1"/>
        <s v="IM2500733003" u="1"/>
        <s v="DCBWPM554915" u="1"/>
        <s v="IM2431833003" u="1"/>
        <s v="DCBWPM554913" u="1"/>
        <s v="DCBWPM554939" u="1"/>
        <s v="IM2435033006" u="1"/>
        <s v="J209833" u="1"/>
        <s v="TF2434399302" u="1"/>
        <s v="TF2502300064" u="1"/>
        <s v="IM2500733004" u="1"/>
        <s v="IM2431133001" u="1"/>
        <s v="IM2431133005" u="1"/>
        <s v="IM2433733003" u="1"/>
        <s v="IM2434733009" u="1"/>
        <s v="J209619" u="1"/>
        <s v="J209950" u="1"/>
        <s v="TF2431898506" u="1"/>
        <s v="TF2433399024" u="1"/>
        <s v="IM2435033003" u="1"/>
        <s v="J209174" u="1"/>
        <s v="IM2500633007" u="1"/>
        <s v="IM2500733007" u="1"/>
        <s v="TF2433399028" u="1"/>
        <s v="IM2434733002" u="1"/>
        <s v="IM2500633008" u="1"/>
        <s v="J209616" u="1"/>
        <s v="J209617" u="1"/>
        <s v="IM2500633010" u="1"/>
        <s v="IM2500733002" u="1"/>
        <s v="J209789" u="1"/>
        <s v="JLC6702456" u="1"/>
        <s v="ILC-0840-25-7174" u="1"/>
        <s v="IM2435033007" u="1"/>
        <s v="IM2500733001" u="1"/>
        <s v="TF2424695983" u="1"/>
        <s v="IM2434733004" u="1"/>
        <s v="IM2435033005" u="1"/>
        <s v="J209622" u="1"/>
        <s v="J209953" u="1"/>
        <s v="TF2429897810" u="1"/>
        <s v="J209513" u="1"/>
        <s v="J209615" u="1"/>
        <s v="J209613" u="1"/>
        <s v="IM2434733007" u="1"/>
        <s v="IM2435033008" u="1"/>
        <s v="IM2435033009" u="1"/>
        <s v="TF2433399025" u="1"/>
        <s v="J209218" u="1"/>
        <s v="IM2435033004" u="1"/>
        <s v="DCBWPM510983" u="1"/>
        <s v="IM2434733005" u="1"/>
        <s v="IM2433133001" u="1"/>
        <s v="IM2434733001" u="1"/>
        <s v="IM2434733003" u="1"/>
        <s v="TF2433399031" u="1"/>
        <s v="J209426" u="1"/>
        <s v="TF2433399033" u="1"/>
        <s v="IM2431833002" u="1"/>
        <s v="TF2433399020" u="1"/>
        <s v="J209219" u="1"/>
        <s v="J209335" u="1"/>
        <s v="J209393" u="1"/>
        <s v="J209512" u="1"/>
        <s v="TF2433399032" u="1"/>
        <s v="TF2429897807" u="1"/>
        <s v="JLC6801678" u="1"/>
        <s v="IM2431933001" u="1"/>
        <s v="TF2431898505" u="1"/>
        <s v="J209515" u="1"/>
        <s v="J209516" u="1"/>
        <s v="TF2431898515" u="1"/>
        <s v="TF2429897813" u="1"/>
        <s v="JLC6800561" u="1"/>
        <s v="J209217" u="1"/>
        <s v="JLC6801574" u="1"/>
        <s v="IM2435133002" u="1"/>
        <s v="J209320" u="1"/>
        <s v="J209691" u="1"/>
        <s v="J208998" u="1"/>
        <s v="J209395" u="1"/>
        <s v="TF2431898507" u="1"/>
        <s v="J209391" u="1"/>
        <s v="JLC6801559" u="1"/>
        <s v="J209392" u="1"/>
        <s v="J209002" u="1"/>
        <s v="J209162" u="1"/>
        <s v="J209341" u="1"/>
        <s v="TF2400188729" u="1"/>
        <s v="TF2431798460" u="1"/>
        <s v="DPCWPM519485" u="1"/>
        <s v="DPCWPM519562" u="1"/>
        <s v="J209070" u="1"/>
        <s v="J209166" u="1"/>
        <s v="J209315" u="1"/>
        <s v="J209316" u="1"/>
        <s v="J209317" u="1"/>
        <s v="J209318" u="1"/>
        <s v="J209172" u="1"/>
        <s v="TF2421995039" u="1"/>
        <s v="J209003" u="1"/>
        <s v="J208999" u="1"/>
        <s v="J209000" u="1"/>
        <s v="J209001" u="1"/>
        <s v="J209004" u="1"/>
        <s v="J209005" u="1"/>
        <s v="J209006" u="1"/>
        <s v="J209060" u="1"/>
        <s v="J209061" u="1"/>
        <s v="J209062" u="1"/>
        <s v="J209063" u="1"/>
        <s v="J209066" u="1"/>
        <s v="J209067" u="1"/>
        <s v="J209068" u="1"/>
        <s v="J209069" u="1"/>
        <s v="J209071" u="1"/>
        <s v="J209072" u="1"/>
        <s v="J209163" u="1"/>
        <s v="J209164" u="1"/>
        <s v="J209165" u="1"/>
        <s v="J209167" u="1"/>
        <s v="J209169" u="1"/>
        <s v="J209170" u="1"/>
        <s v="J209171" u="1"/>
        <s v="J209173" u="1"/>
        <s v="J209175" u="1"/>
        <s v="J209239" u="1"/>
        <s v="JLC6800618" u="1"/>
        <s v="JLC6800618-Cre" u="1"/>
        <s v="TF2333887830" u="1"/>
        <s v="TF2419794178" u="1"/>
        <s v="TF2420494370" u="1"/>
        <s v="TF2420494373" u="1"/>
        <s v="TF2420494386" u="1"/>
        <s v="TF2421494832" u="1"/>
        <s v="TF2421494834" u="1"/>
        <s v="TF2421494838" u="1"/>
        <s v="TF2421494840" u="1"/>
        <s v="TF2422095042" u="1"/>
        <s v="TF2422095043" u="1"/>
        <s v="TF2423595735" u="1"/>
        <s v="J208909" u="1"/>
        <s v="TF2414292637" u="1"/>
        <s v="TF2311581369" u="1"/>
        <s v="TF2319983732" u="1"/>
      </sharedItems>
    </cacheField>
    <cacheField name="Presentation No" numFmtId="0">
      <sharedItems containsSemiMixedTypes="0" containsString="0" containsNumber="1" containsInteger="1" minValue="1" maxValue="127" count="65">
        <n v="1"/>
        <n v="2"/>
        <n v="3"/>
        <n v="4"/>
        <n v="7"/>
        <n v="8"/>
        <n v="10"/>
        <n v="11"/>
        <n v="9" u="1"/>
        <n v="6" u="1"/>
        <n v="5" u="1"/>
        <n v="127" u="1"/>
        <n v="126" u="1"/>
        <n v="125" u="1"/>
        <n v="17" u="1"/>
        <n v="16" u="1"/>
        <n v="124" u="1"/>
        <n v="123" u="1"/>
        <n v="15" u="1"/>
        <n v="14" u="1"/>
        <n v="13" u="1"/>
        <n v="12" u="1"/>
        <n v="122" u="1"/>
        <n v="121" u="1"/>
        <n v="120" u="1"/>
        <n v="119" u="1"/>
        <n v="30" u="1"/>
        <n v="29" u="1"/>
        <n v="28" u="1"/>
        <n v="27" u="1"/>
        <n v="26" u="1"/>
        <n v="25" u="1"/>
        <n v="114" u="1"/>
        <n v="22" u="1"/>
        <n v="24" u="1"/>
        <n v="23" u="1"/>
        <n v="19" u="1"/>
        <n v="21" u="1"/>
        <n v="20" u="1"/>
        <n v="101" u="1"/>
        <n v="18" u="1"/>
        <n v="118" u="1"/>
        <n v="113" u="1"/>
        <n v="117" u="1"/>
        <n v="116" u="1"/>
        <n v="115" u="1"/>
        <n v="112" u="1"/>
        <n v="109" u="1"/>
        <n v="108" u="1"/>
        <n v="111" u="1"/>
        <n v="110" u="1"/>
        <n v="106" u="1"/>
        <n v="105" u="1"/>
        <n v="107" u="1"/>
        <n v="103" u="1"/>
        <n v="102" u="1"/>
        <n v="104" u="1"/>
        <n v="99" u="1"/>
        <n v="100" u="1"/>
        <n v="97" u="1"/>
        <n v="94" u="1"/>
        <n v="93" u="1"/>
        <n v="92" u="1"/>
        <n v="90" u="1"/>
        <n v="91" u="1"/>
      </sharedItems>
    </cacheField>
    <cacheField name="Beneficiary" numFmtId="0">
      <sharedItems/>
    </cacheField>
    <cacheField name="Company" numFmtId="0">
      <sharedItems/>
    </cacheField>
    <cacheField name="Project" numFmtId="0">
      <sharedItems/>
    </cacheField>
    <cacheField name="Bank" numFmtId="0">
      <sharedItems count="7">
        <s v="SAB"/>
        <s v="Jazira"/>
        <s v="SNB"/>
        <s v="Riyad"/>
        <s v="NBK"/>
        <s v="Alinma"/>
        <s v="BAB" u="1"/>
      </sharedItems>
    </cacheField>
    <cacheField name="Lines" numFmtId="0">
      <sharedItems count="2">
        <s v="Credit"/>
        <s v="Cash" u="1"/>
      </sharedItems>
    </cacheField>
    <cacheField name="Status" numFmtId="0">
      <sharedItems/>
    </cacheField>
    <cacheField name="Curr" numFmtId="0">
      <sharedItems/>
    </cacheField>
    <cacheField name="Invoice Amt (FCY)" numFmtId="0">
      <sharedItems containsSemiMixedTypes="0" containsString="0" containsNumber="1" minValue="52759.519999999997" maxValue="42000000"/>
    </cacheField>
    <cacheField name="Rate" numFmtId="0">
      <sharedItems containsSemiMixedTypes="0" containsString="0" containsNumber="1" minValue="1" maxValue="4.4394999999999998"/>
    </cacheField>
    <cacheField name=" Invoice Amt (SAR)" numFmtId="0">
      <sharedItems containsSemiMixedTypes="0" containsString="0" containsNumber="1" minValue="52759.519999999997" maxValue="42000000"/>
    </cacheField>
    <cacheField name="Due Date" numFmtId="166">
      <sharedItems containsSemiMixedTypes="0" containsNonDate="0" containsDate="1" containsString="0" minDate="2026-06-25T00:00:00" maxDate="2026-09-18T00:00:00" count="30">
        <d v="2026-07-05T00:00:00"/>
        <d v="2026-08-02T00:00:00"/>
        <d v="2026-08-30T00:00:00"/>
        <d v="2026-07-08T00:00:00"/>
        <d v="2026-07-14T00:00:00"/>
        <d v="2026-07-13T00:00:00"/>
        <d v="2026-08-11T00:00:00"/>
        <d v="2026-08-01T00:00:00"/>
        <d v="2026-07-19T00:00:00"/>
        <d v="2026-07-12T00:00:00"/>
        <d v="2026-06-25T00:00:00"/>
        <d v="2026-09-17T00:00:00"/>
        <d v="2026-07-16T00:00:00"/>
        <d v="2026-08-03T00:00:00"/>
        <d v="2026-07-27T00:00:00"/>
        <d v="2026-06-28T00:00:00"/>
        <d v="2026-09-02T00:00:00"/>
        <d v="2026-08-24T00:00:00"/>
        <d v="2026-07-07T00:00:00"/>
        <d v="2026-06-29T00:00:00"/>
        <d v="2026-07-02T00:00:00"/>
        <d v="2026-08-19T00:00:00"/>
        <d v="2026-07-09T00:00:00"/>
        <d v="2026-07-30T00:00:00"/>
        <d v="2026-07-01T00:00:00"/>
        <d v="2026-06-26T00:00:00"/>
        <d v="2026-08-07T00:00:00"/>
        <d v="2026-07-20T00:00:00"/>
        <d v="2026-08-10T00:00:00"/>
        <d v="2026-07-18T00:00:00"/>
      </sharedItems>
    </cacheField>
    <cacheField name="Tenor" numFmtId="0">
      <sharedItems/>
    </cacheField>
    <cacheField name="Funds Utilize" numFmtId="0">
      <sharedItems containsNonDate="0" containsString="0" containsBlank="1" containsNumber="1" containsInteger="1" minValue="46028" maxValue="46028" count="2">
        <m/>
        <n v="46028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3">
  <r>
    <s v="DCBWPM166276"/>
    <d v="2026-06-04T00:00:00"/>
    <s v="AFAQ AL MALAZ TRADING CO.LTD."/>
    <x v="0"/>
    <s v="FIRST FIX"/>
    <x v="0"/>
    <s v="SAR"/>
    <n v="200000"/>
    <n v="1"/>
    <n v="200000"/>
    <n v="0"/>
    <n v="200000"/>
    <n v="0"/>
    <n v="200000"/>
    <d v="2026-08-31T00:00:00"/>
    <d v="2026-08-31T00:00:00"/>
    <x v="0"/>
    <s v="Credit"/>
    <s v="120 Days from Applicant representative sign on Invoice"/>
    <s v="Active"/>
  </r>
  <r>
    <s v="TF2531600062"/>
    <d v="2025-11-12T00:00:00"/>
    <s v="AI-Hadbania Trading Co."/>
    <x v="1"/>
    <s v="FIRST FIX"/>
    <x v="1"/>
    <s v="SAR"/>
    <n v="3487033.23"/>
    <n v="1"/>
    <n v="3487033.23"/>
    <n v="1989866.83"/>
    <n v="1497166.4"/>
    <n v="0"/>
    <n v="1497166.4"/>
    <d v="2026-06-30T00:00:00"/>
    <d v="2026-06-30T00:00:00"/>
    <x v="1"/>
    <s v="Credit"/>
    <s v="90 Days from Applicant representative sign on Invoice"/>
    <s v="Active"/>
  </r>
  <r>
    <s v="DCBWPM162993"/>
    <d v="2026-03-05T00:00:00"/>
    <s v="Ajzal United for Safety CO.LTD."/>
    <x v="0"/>
    <s v="FIRST FIX"/>
    <x v="0"/>
    <s v="SAR"/>
    <n v="600000"/>
    <n v="1"/>
    <n v="600000"/>
    <n v="0"/>
    <n v="600000"/>
    <n v="511689.33"/>
    <n v="88310.67"/>
    <d v="2026-08-31T00:00:00"/>
    <d v="2026-08-31T00:00:00"/>
    <x v="0"/>
    <s v="Credit"/>
    <s v="90 Days from Applicant representative sign on Invoice"/>
    <s v="Active"/>
  </r>
  <r>
    <s v="DCBWPM163990"/>
    <d v="2026-04-06T00:00:00"/>
    <s v="Ajzal United for Safety CO.LTD."/>
    <x v="0"/>
    <s v="FIRST FIX"/>
    <x v="0"/>
    <s v="SAR"/>
    <n v="175000"/>
    <n v="1"/>
    <n v="175000"/>
    <n v="0"/>
    <n v="175000"/>
    <n v="0"/>
    <n v="175000"/>
    <d v="2026-06-30T00:00:00"/>
    <d v="2026-06-30T00:00:00"/>
    <x v="0"/>
    <s v="Credit"/>
    <s v="90 Days from App Rep Sign on Invoice"/>
    <s v="Active"/>
  </r>
  <r>
    <s v="DCBWPM163995"/>
    <d v="2026-04-06T00:00:00"/>
    <s v="Aknan Alkhair Tranding Est"/>
    <x v="0"/>
    <s v="FIRST FIX"/>
    <x v="0"/>
    <s v="SAR"/>
    <n v="125000"/>
    <n v="1"/>
    <n v="125000"/>
    <n v="0"/>
    <n v="125000"/>
    <n v="125000"/>
    <n v="0"/>
    <d v="2026-06-30T00:00:00"/>
    <d v="2026-06-30T00:00:00"/>
    <x v="0"/>
    <s v="Credit"/>
    <s v="90 Days from App Rep Sign on Invoice"/>
    <s v="Active"/>
  </r>
  <r>
    <s v="TF2523000034"/>
    <d v="2025-08-18T00:00:00"/>
    <s v="Al Arabia Construction &amp; Building Co."/>
    <x v="1"/>
    <s v="MBL"/>
    <x v="2"/>
    <s v="SAR"/>
    <n v="3009600"/>
    <n v="1"/>
    <n v="3009600"/>
    <n v="1850554.97"/>
    <n v="1159045.03"/>
    <n v="0"/>
    <n v="1159045.03"/>
    <d v="2026-08-18T00:00:00"/>
    <d v="2026-08-18T00:00:00"/>
    <x v="1"/>
    <s v="Credit"/>
    <s v="45 Days from the Invoice Date"/>
    <s v="Active"/>
  </r>
  <r>
    <s v="J212228"/>
    <d v="2026-04-28T00:00:00"/>
    <s v="Al Dhow Gulf Company for Trading and Contracting Ltd"/>
    <x v="2"/>
    <s v="MBL/ICAD"/>
    <x v="3"/>
    <s v="SAR"/>
    <n v="6000000"/>
    <n v="1"/>
    <n v="6000000"/>
    <n v="0"/>
    <n v="6000000"/>
    <n v="0"/>
    <n v="6000000"/>
    <d v="2026-10-30T00:00:00"/>
    <d v="2026-10-30T00:00:00"/>
    <x v="2"/>
    <s v="Credit"/>
    <s v="90 Days From the Delivery Date"/>
    <s v="Active"/>
  </r>
  <r>
    <s v="ILC-0840-25-8159"/>
    <d v="2025-08-26T00:00:00"/>
    <s v="AL FALWA CO. LTD. FOR READYMIX CONCRETE"/>
    <x v="3"/>
    <s v="MBL"/>
    <x v="4"/>
    <s v="SAR"/>
    <n v="10000000"/>
    <n v="1"/>
    <n v="10000000"/>
    <n v="2924152.4000000004"/>
    <n v="7075847.5999999996"/>
    <n v="0"/>
    <n v="7075847.5999999996"/>
    <d v="2026-12-31T00:00:00"/>
    <d v="2026-12-31T00:00:00"/>
    <x v="3"/>
    <s v="Credit"/>
    <s v="60 Days from Invoice Date"/>
    <s v="Active"/>
  </r>
  <r>
    <s v="DCBWPM163999"/>
    <d v="2026-04-06T00:00:00"/>
    <s v="Al Maymanah For Contracting Co. Ltd."/>
    <x v="0"/>
    <s v="FIRST FIX"/>
    <x v="0"/>
    <s v="SAR"/>
    <n v="500000"/>
    <n v="1"/>
    <n v="500000"/>
    <n v="0"/>
    <n v="500000"/>
    <n v="500000"/>
    <n v="0"/>
    <d v="2026-06-30T00:00:00"/>
    <d v="2026-06-30T00:00:00"/>
    <x v="0"/>
    <s v="Credit"/>
    <s v="90 Days from App Rep Sign on Invoice"/>
    <s v="Active"/>
  </r>
  <r>
    <s v="DCBWPM162992"/>
    <d v="2026-03-05T00:00:00"/>
    <s v="Al NAKHEEL FOR TRADING COMPANY"/>
    <x v="0"/>
    <s v="FIRST FIX"/>
    <x v="0"/>
    <s v="SAR"/>
    <n v="1870380.07"/>
    <n v="1"/>
    <n v="1870380.07"/>
    <n v="0"/>
    <n v="1870380.07"/>
    <n v="1309266"/>
    <n v="561114.06999999995"/>
    <d v="2026-08-31T00:00:00"/>
    <d v="2026-08-31T00:00:00"/>
    <x v="0"/>
    <s v="Credit"/>
    <s v="90 Days from Applicant representative sign on Invoice"/>
    <s v="Active"/>
  </r>
  <r>
    <s v="DCBWPM166944"/>
    <d v="2026-06-23T00:00:00"/>
    <s v="AL RAMSAT CONTRACTING COMPANY"/>
    <x v="0"/>
    <s v="MBL"/>
    <x v="5"/>
    <s v="SAR"/>
    <n v="2000000"/>
    <n v="1"/>
    <n v="2000000"/>
    <n v="0"/>
    <n v="2000000"/>
    <n v="0"/>
    <n v="2000000"/>
    <d v="2026-11-20T00:00:00"/>
    <d v="2026-11-20T00:00:00"/>
    <x v="0"/>
    <s v="Credit"/>
    <s v="60 Days from Invoice Date"/>
    <s v="Active"/>
  </r>
  <r>
    <s v="J211836"/>
    <d v="2026-01-20T00:00:00"/>
    <s v="Al Talal Modern Est"/>
    <x v="2"/>
    <s v="MBL/ICAD"/>
    <x v="3"/>
    <s v="SAR"/>
    <n v="400000"/>
    <n v="1"/>
    <n v="400000"/>
    <n v="0"/>
    <n v="400000"/>
    <n v="0"/>
    <n v="400000"/>
    <d v="2026-05-31T00:00:00"/>
    <d v="2026-05-21T00:00:00"/>
    <x v="2"/>
    <s v="Credit"/>
    <s v="90 Days From the Delivery Date"/>
    <s v="Active"/>
  </r>
  <r>
    <s v="JLC7000007"/>
    <d v="2026-01-01T00:00:00"/>
    <s v="ALFANAR ELECTRICAL SYSTEMS"/>
    <x v="4"/>
    <s v="FIRST FIX"/>
    <x v="6"/>
    <s v="SAR"/>
    <n v="1044853.45"/>
    <n v="1"/>
    <n v="1044853.45"/>
    <n v="0"/>
    <n v="1044853.45"/>
    <n v="567743.27"/>
    <n v="477110.18"/>
    <d v="2026-10-01T00:00:00"/>
    <d v="2026-10-01T00:00:00"/>
    <x v="4"/>
    <s v="Credit"/>
    <s v="90 Days from Appln Rep Sign on Invoice"/>
    <s v="Active"/>
  </r>
  <r>
    <s v="ILC-0840-26-8820"/>
    <d v="2026-01-11T00:00:00"/>
    <s v="ALFANAR ELECTRICAL SYSTEMS"/>
    <x v="3"/>
    <s v="FIRST FIX"/>
    <x v="4"/>
    <s v="SAR"/>
    <n v="1500000"/>
    <n v="1"/>
    <n v="1500000"/>
    <n v="1478254.88"/>
    <n v="21745.119999999999"/>
    <n v="0"/>
    <n v="21745.119999999999"/>
    <d v="2026-05-31T00:00:00"/>
    <d v="2026-05-31T00:00:00"/>
    <x v="3"/>
    <s v="Credit"/>
    <s v="90 Days from Applicant representative sign on Invoice"/>
    <s v="Active"/>
  </r>
  <r>
    <s v="DCBWPM166267"/>
    <d v="2026-06-04T00:00:00"/>
    <s v="ALGHAMDI COMPANY FOR SANITARY WARES"/>
    <x v="0"/>
    <s v="FIRST FIX"/>
    <x v="0"/>
    <s v="SAR"/>
    <n v="350000"/>
    <n v="1"/>
    <n v="350000"/>
    <n v="0"/>
    <n v="350000"/>
    <n v="0"/>
    <n v="350000"/>
    <d v="2026-08-31T00:00:00"/>
    <d v="2026-08-31T00:00:00"/>
    <x v="0"/>
    <s v="Credit"/>
    <s v="120 Days from Applicant representative sign on Invoice"/>
    <s v="Active"/>
  </r>
  <r>
    <s v="DCBWPM163961"/>
    <d v="2026-04-06T00:00:00"/>
    <s v="Ali Manea Alyami Trading Est."/>
    <x v="0"/>
    <s v="FIRST FIX"/>
    <x v="0"/>
    <s v="SAR"/>
    <n v="450000"/>
    <n v="1"/>
    <n v="450000"/>
    <n v="0"/>
    <n v="450000"/>
    <n v="0"/>
    <n v="450000"/>
    <d v="2026-06-30T00:00:00"/>
    <d v="2026-06-30T00:00:00"/>
    <x v="0"/>
    <s v="Credit"/>
    <s v="90 Days from App Rep Sign on Invoice"/>
    <s v="Active"/>
  </r>
  <r>
    <s v="DCBWPM166294"/>
    <d v="2026-06-04T00:00:00"/>
    <s v="Ali Manea Alyami Trading Est."/>
    <x v="0"/>
    <s v="FIRST FIX"/>
    <x v="0"/>
    <s v="SAR"/>
    <n v="200000"/>
    <n v="1"/>
    <n v="200000"/>
    <n v="0"/>
    <n v="200000"/>
    <n v="0"/>
    <n v="200000"/>
    <d v="2026-08-31T00:00:00"/>
    <d v="2026-08-31T00:00:00"/>
    <x v="0"/>
    <s v="Credit"/>
    <s v="120 Days from Applicant representative sign on Invoice"/>
    <s v="Active"/>
  </r>
  <r>
    <s v="DCBWPM160340"/>
    <d v="2026-01-18T00:00:00"/>
    <s v="AlJammaz Hydrotek"/>
    <x v="5"/>
    <s v="MBL / Green Roots"/>
    <x v="7"/>
    <s v="SAR"/>
    <n v="1269458.03"/>
    <n v="1"/>
    <n v="1269458.03"/>
    <n v="0"/>
    <n v="1269458.03"/>
    <n v="0"/>
    <n v="1269458.03"/>
    <d v="2026-06-01T00:00:00"/>
    <d v="2026-05-10T00:00:00"/>
    <x v="0"/>
    <s v="Credit"/>
    <s v="45 Days from Invoice Date"/>
    <s v="Active"/>
  </r>
  <r>
    <s v="J211485"/>
    <d v="2025-11-06T00:00:00"/>
    <s v="ALNAFIE METAL INDUSTRIES CO LTD"/>
    <x v="2"/>
    <s v="MBL/AICS"/>
    <x v="3"/>
    <s v="SAR"/>
    <n v="18703391.850000001"/>
    <n v="1"/>
    <n v="18703391.850000001"/>
    <n v="17787660.100000001"/>
    <n v="915731.75"/>
    <n v="0"/>
    <n v="915731.75"/>
    <d v="2026-08-31T00:00:00"/>
    <d v="2026-08-31T00:00:00"/>
    <x v="2"/>
    <s v="Credit"/>
    <s v="90 Days from Invoice Date"/>
    <s v="Active"/>
  </r>
  <r>
    <s v="J212139"/>
    <d v="2026-04-12T00:00:00"/>
    <s v="ALNAFIE METAL INDUSTRIES CO LTD"/>
    <x v="2"/>
    <s v="MBL/AICS (L01)"/>
    <x v="3"/>
    <s v="SAR"/>
    <n v="7446132.75"/>
    <n v="1"/>
    <n v="7446132.75"/>
    <n v="2500000"/>
    <n v="4946132.75"/>
    <n v="0"/>
    <n v="4946132.75"/>
    <d v="2026-09-30T00:00:00"/>
    <d v="2026-08-31T00:00:00"/>
    <x v="2"/>
    <s v="Credit"/>
    <s v="60 Days from Invoice Date"/>
    <s v="Active"/>
  </r>
  <r>
    <s v="ILC-0840-25-8427"/>
    <d v="2025-10-21T00:00:00"/>
    <s v="Alrashid Trading and Contracting Company"/>
    <x v="3"/>
    <s v="MBL"/>
    <x v="4"/>
    <s v="SAR"/>
    <n v="16731764"/>
    <n v="1"/>
    <n v="16731764"/>
    <n v="5732513.5999999996"/>
    <n v="10999250.4"/>
    <n v="0"/>
    <n v="10999250.4"/>
    <d v="2026-06-26T00:00:00"/>
    <d v="2026-06-26T00:00:00"/>
    <x v="3"/>
    <s v="Credit"/>
    <s v="30 Days From Invoice Date"/>
    <s v="Active"/>
  </r>
  <r>
    <s v="DCBWPM166296"/>
    <d v="2026-06-04T00:00:00"/>
    <s v="Al-Sayed Center A/C for Materials Company"/>
    <x v="0"/>
    <s v="FIRST FIX"/>
    <x v="0"/>
    <s v="SAR"/>
    <n v="200000"/>
    <n v="1"/>
    <n v="200000"/>
    <n v="0"/>
    <n v="200000"/>
    <n v="0"/>
    <n v="200000"/>
    <d v="2026-08-31T00:00:00"/>
    <d v="2026-08-31T00:00:00"/>
    <x v="0"/>
    <s v="Credit"/>
    <s v="120 Days from Applicant representative sign on Invoice"/>
    <s v="Active"/>
  </r>
  <r>
    <s v="DCBWPM563232"/>
    <d v="2025-08-05T00:00:00"/>
    <s v="Alshrkt Mzaya Almttwrt Alsnaayt shkhs Wahd"/>
    <x v="6"/>
    <s v="FIRST FIX"/>
    <x v="7"/>
    <s v="SAR"/>
    <n v="500000"/>
    <n v="1"/>
    <n v="500000"/>
    <n v="98871.6"/>
    <n v="401128.4"/>
    <n v="0"/>
    <n v="401128.4"/>
    <d v="2026-06-30T00:00:00"/>
    <d v="2026-06-30T00:00:00"/>
    <x v="0"/>
    <s v="Credit"/>
    <s v="120 Days from Appl. Representative Sign"/>
    <s v="Active"/>
  </r>
  <r>
    <s v="ILC-0840-26-9256"/>
    <d v="2026-05-07T00:00:00"/>
    <s v="Al-Tawi READY -MIX FACTORY"/>
    <x v="3"/>
    <s v="MBL"/>
    <x v="4"/>
    <s v="SAR"/>
    <n v="600000"/>
    <n v="1"/>
    <n v="600000"/>
    <n v="0"/>
    <n v="600000"/>
    <n v="0"/>
    <n v="600000"/>
    <d v="2026-07-31T00:00:00"/>
    <d v="2026-07-31T00:00:00"/>
    <x v="3"/>
    <s v="Credit"/>
    <s v="90 Days From Appl sign on Invoice"/>
    <s v="Active"/>
  </r>
  <r>
    <s v="TF2610500019"/>
    <d v="2026-04-15T00:00:00"/>
    <s v="Anixter Saudi Arabia Ltd"/>
    <x v="1"/>
    <s v="ICAD"/>
    <x v="8"/>
    <s v="SAR"/>
    <n v="5693645.4199999999"/>
    <n v="1"/>
    <n v="5693645.4199999999"/>
    <n v="0"/>
    <n v="5693645.4199999999"/>
    <n v="0"/>
    <n v="5693645.4199999999"/>
    <d v="2026-06-20T00:00:00"/>
    <d v="2026-06-20T00:00:00"/>
    <x v="1"/>
    <s v="Credit"/>
    <s v="60 Days from Invoice Date"/>
    <s v="Active"/>
  </r>
  <r>
    <s v="J212290"/>
    <d v="2026-06-11T00:00:00"/>
    <s v="APLUS TRADE MIKE"/>
    <x v="2"/>
    <s v="MBL/ICAD/Baumat"/>
    <x v="3"/>
    <s v="EUR"/>
    <n v="6040641.79"/>
    <n v="4.3899999999999997"/>
    <n v="26518417.458099999"/>
    <n v="0"/>
    <n v="26518417.460000001"/>
    <n v="0"/>
    <n v="26518417.460000001"/>
    <d v="2026-12-31T00:00:00"/>
    <d v="2026-12-31T00:00:00"/>
    <x v="2"/>
    <s v="Credit"/>
    <s v="90 Days from Invoice Date"/>
    <s v="Active"/>
  </r>
  <r>
    <s v="J211681"/>
    <d v="2025-12-18T00:00:00"/>
    <s v="APS ARABIAN CONTRACTING COMPANY"/>
    <x v="2"/>
    <s v="MBL/AICS"/>
    <x v="3"/>
    <s v="SAR"/>
    <n v="2072033.2"/>
    <n v="1"/>
    <n v="2072033.2"/>
    <n v="463730.6"/>
    <n v="1608302.6"/>
    <n v="652505.4"/>
    <n v="955797.2"/>
    <d v="2026-09-30T00:00:00"/>
    <d v="2026-09-30T00:00:00"/>
    <x v="2"/>
    <s v="Credit"/>
    <s v="60 Days from Invoice Date"/>
    <s v="Active"/>
  </r>
  <r>
    <s v="TF2610500016"/>
    <d v="2026-04-15T00:00:00"/>
    <s v="APTEC SAUDI ARABIA"/>
    <x v="1"/>
    <s v="ICAD"/>
    <x v="8"/>
    <s v="SAR"/>
    <n v="5120131"/>
    <n v="1"/>
    <n v="5120131"/>
    <n v="0"/>
    <n v="5120131"/>
    <n v="0"/>
    <n v="5120131"/>
    <d v="2026-08-31T00:00:00"/>
    <d v="2025-10-25T00:00:00"/>
    <x v="1"/>
    <s v="Credit"/>
    <s v="60 Days from Invoice Date"/>
    <s v="Active"/>
  </r>
  <r>
    <s v="DCBWPM160363"/>
    <d v="2026-01-14T00:00:00"/>
    <s v="Arabian International Company For Contracting"/>
    <x v="0"/>
    <s v="FIRST FIX"/>
    <x v="0"/>
    <s v="SAR"/>
    <n v="900000"/>
    <n v="1"/>
    <n v="900000"/>
    <n v="0"/>
    <n v="900000"/>
    <n v="900000"/>
    <n v="0"/>
    <d v="2026-06-30T00:00:00"/>
    <d v="2026-06-30T00:00:00"/>
    <x v="0"/>
    <s v="Credit"/>
    <s v="90 Days from Applicant representative sign on Invoice"/>
    <s v="Active"/>
  </r>
  <r>
    <s v="DCBWPM166271"/>
    <d v="2026-06-04T00:00:00"/>
    <s v="Arabian International Company For Contracting"/>
    <x v="0"/>
    <s v="FIRST FIX"/>
    <x v="0"/>
    <s v="SAR"/>
    <n v="500000"/>
    <n v="1"/>
    <n v="500000"/>
    <n v="0"/>
    <n v="500000"/>
    <n v="0"/>
    <n v="500000"/>
    <d v="2026-08-31T00:00:00"/>
    <d v="2026-08-31T00:00:00"/>
    <x v="0"/>
    <s v="Credit"/>
    <s v="120 Days from Applicant representative sign on Invoice"/>
    <s v="Active"/>
  </r>
  <r>
    <s v="DCBWPM163953"/>
    <d v="2026-04-06T00:00:00"/>
    <s v="Atiaf International Trading Company"/>
    <x v="0"/>
    <s v="FIRST FIX"/>
    <x v="0"/>
    <s v="SAR"/>
    <n v="150000"/>
    <n v="1"/>
    <n v="150000"/>
    <n v="0"/>
    <n v="150000"/>
    <n v="93855.09"/>
    <n v="56144.91"/>
    <d v="2026-06-30T00:00:00"/>
    <d v="2026-06-30T00:00:00"/>
    <x v="0"/>
    <s v="Credit"/>
    <s v="90 Days from App Rep Sign on Invoice"/>
    <s v="Active"/>
  </r>
  <r>
    <s v="TF2606300014"/>
    <d v="2026-03-04T00:00:00"/>
    <s v="Awtad Jeddah for General Contracting Company"/>
    <x v="1"/>
    <s v="MBL"/>
    <x v="2"/>
    <s v="SAR"/>
    <n v="2495972.17"/>
    <n v="1"/>
    <n v="2495972.17"/>
    <n v="1548792.03"/>
    <n v="947180.14"/>
    <n v="0"/>
    <n v="947180.14"/>
    <d v="2026-08-01T00:00:00"/>
    <d v="2026-08-01T00:00:00"/>
    <x v="1"/>
    <s v="Credit"/>
    <s v="45 Days from Invoice Date"/>
    <s v="Active"/>
  </r>
  <r>
    <s v="ILC-0840-25-7736"/>
    <d v="2025-05-27T00:00:00"/>
    <s v="Baamer Group for Trading Company"/>
    <x v="3"/>
    <s v="FIRST FIX"/>
    <x v="4"/>
    <s v="SAR"/>
    <n v="312828.75"/>
    <n v="1"/>
    <n v="312828.75"/>
    <n v="262776.15000000002"/>
    <n v="50052.6"/>
    <n v="0"/>
    <n v="50052.6"/>
    <d v="2026-06-30T00:00:00"/>
    <d v="2026-06-30T00:00:00"/>
    <x v="3"/>
    <s v="Credit"/>
    <s v="90 Days from Invoice Date"/>
    <s v="Active"/>
  </r>
  <r>
    <s v="DCBWPM164007"/>
    <d v="2026-04-06T00:00:00"/>
    <s v="Bahra Advanced Cable Manufacture Co."/>
    <x v="0"/>
    <s v="FIRST FIX"/>
    <x v="0"/>
    <s v="SAR"/>
    <n v="1000000"/>
    <n v="1"/>
    <n v="1000000"/>
    <n v="0"/>
    <n v="1000000"/>
    <n v="0"/>
    <n v="1000000"/>
    <d v="2026-06-30T00:00:00"/>
    <d v="2026-06-30T00:00:00"/>
    <x v="0"/>
    <s v="Credit"/>
    <s v="90 Days from App Rep Sign on Invoice"/>
    <s v="Active"/>
  </r>
  <r>
    <s v="DCBWPM160343"/>
    <d v="2026-01-15T00:00:00"/>
    <s v="BAHRA ADVANCED CABLE MANUFACTURE CO. LTD"/>
    <x v="0"/>
    <s v="FIRST FIX"/>
    <x v="0"/>
    <s v="SAR"/>
    <n v="1500000"/>
    <n v="1"/>
    <n v="1500000"/>
    <n v="0"/>
    <n v="1500000"/>
    <n v="1377731.72"/>
    <n v="122268.28"/>
    <d v="2026-06-30T00:00:00"/>
    <d v="2026-06-30T00:00:00"/>
    <x v="0"/>
    <s v="Credit"/>
    <s v="90 Days from Applicant representative sign on Invoice"/>
    <s v="Active"/>
  </r>
  <r>
    <s v="DCBWPM565843"/>
    <d v="2025-09-14T00:00:00"/>
    <s v="BAHRA ADVANCED CABLE MANUFACTURE CO. LTD."/>
    <x v="0"/>
    <s v="FIRST FIX"/>
    <x v="0"/>
    <s v="SAR"/>
    <n v="1500000"/>
    <n v="1"/>
    <n v="1500000"/>
    <n v="1071489.43"/>
    <n v="428510.57"/>
    <n v="427806.8"/>
    <n v="703.77"/>
    <d v="2026-06-30T00:00:00"/>
    <d v="2026-06-30T00:00:00"/>
    <x v="0"/>
    <s v="Credit"/>
    <s v="120 Days from Invoice Date"/>
    <s v="Active"/>
  </r>
  <r>
    <s v="J209958"/>
    <d v="2025-01-27T00:00:00"/>
    <s v="Banan Thiba Trading Est (BTT)"/>
    <x v="2"/>
    <s v="FIRST FIX"/>
    <x v="9"/>
    <s v="SAR"/>
    <n v="900000"/>
    <n v="1"/>
    <n v="900000"/>
    <n v="781791.28"/>
    <n v="118208.72"/>
    <n v="0"/>
    <n v="118208.72"/>
    <d v="2026-06-30T00:00:00"/>
    <d v="2026-06-30T00:00:00"/>
    <x v="2"/>
    <s v="Credit"/>
    <s v="90 Days from Invoice Date"/>
    <s v="Active"/>
  </r>
  <r>
    <s v="J210104"/>
    <d v="2025-03-11T00:00:00"/>
    <s v="BBH-CHEMTROL INTERNATIONAL ORGANIZATION S.L"/>
    <x v="2"/>
    <s v="MBL/ICAD"/>
    <x v="3"/>
    <s v="EUR"/>
    <n v="10500000"/>
    <n v="4.056"/>
    <n v="42588000"/>
    <n v="12335918.542009998"/>
    <n v="30252081.460000001"/>
    <n v="9527337.3100000005"/>
    <n v="20724744.149999999"/>
    <d v="2027-01-21T00:00:00"/>
    <d v="2026-12-09T00:00:00"/>
    <x v="2"/>
    <s v="Credit"/>
    <s v="30 Days from Shipment Date"/>
    <s v="Active"/>
  </r>
  <r>
    <s v="TF2535900016"/>
    <d v="2025-12-25T00:00:00"/>
    <s v="BBH-CHEMTROL INTERNATIONAL ORGANIZATION S.L"/>
    <x v="1"/>
    <s v="ICAD"/>
    <x v="1"/>
    <s v="EUR"/>
    <n v="1687320.39"/>
    <n v="4.5"/>
    <n v="7592941.7549999999"/>
    <n v="703586.90607999999"/>
    <n v="6889354.8499999996"/>
    <n v="0"/>
    <n v="6889354.8499999996"/>
    <d v="2026-12-25T00:00:00"/>
    <d v="2026-12-25T00:00:00"/>
    <x v="1"/>
    <s v="Credit"/>
    <s v="60 Days from Invoice Date"/>
    <s v="Active"/>
  </r>
  <r>
    <s v="TF2527100025"/>
    <d v="2025-09-28T00:00:00"/>
    <s v="BRC Industrial (Saudia) Company"/>
    <x v="1"/>
    <s v="MBL"/>
    <x v="2"/>
    <s v="SAR"/>
    <n v="2074312.5"/>
    <n v="1"/>
    <n v="2074312.5"/>
    <n v="1365320.5099999998"/>
    <n v="708991.99"/>
    <n v="0"/>
    <n v="708991.99"/>
    <d v="2026-06-28T00:00:00"/>
    <d v="2026-06-28T00:00:00"/>
    <x v="1"/>
    <s v="Credit"/>
    <s v="120 Days from Invoice Date"/>
    <s v="Active"/>
  </r>
  <r>
    <s v="DCBWPM562604"/>
    <d v="2025-07-24T00:00:00"/>
    <s v="BROOQ ALAMAAN TRAD COMPANY"/>
    <x v="0"/>
    <s v="FIRST FIX"/>
    <x v="0"/>
    <s v="SAR"/>
    <n v="300000.01"/>
    <n v="1"/>
    <n v="300000.01"/>
    <n v="137792.10999999999"/>
    <n v="162207.9"/>
    <n v="0"/>
    <n v="162207.9"/>
    <d v="2026-06-30T00:00:00"/>
    <d v="2026-06-30T00:00:00"/>
    <x v="0"/>
    <s v="Credit"/>
    <s v="120 Days from Invoice Date"/>
    <s v="Active"/>
  </r>
  <r>
    <s v="DCBWPM566634"/>
    <d v="2025-09-29T00:00:00"/>
    <s v="BROOQ ALAMAAN TRAD COMPANY"/>
    <x v="0"/>
    <s v="FIRST FIX"/>
    <x v="0"/>
    <s v="SAR"/>
    <n v="400000"/>
    <n v="1"/>
    <n v="400000"/>
    <n v="347240.48"/>
    <n v="52759.519999999997"/>
    <n v="52759.519999999997"/>
    <n v="0"/>
    <d v="2026-04-30T00:00:00"/>
    <d v="2026-04-30T00:00:00"/>
    <x v="0"/>
    <s v="Credit"/>
    <s v="120 Days from Invoice Date"/>
    <s v="Active"/>
  </r>
  <r>
    <s v="DCBWPM160342"/>
    <d v="2026-01-14T00:00:00"/>
    <s v="BROOQ ALAMAAN TRAD COMPANY"/>
    <x v="0"/>
    <s v="FIRST FIX"/>
    <x v="0"/>
    <s v="SAR"/>
    <n v="500000"/>
    <n v="1"/>
    <n v="500000"/>
    <n v="0"/>
    <n v="500000"/>
    <n v="365011.38"/>
    <n v="134988.62"/>
    <d v="2026-06-30T00:00:00"/>
    <d v="2026-06-30T00:00:00"/>
    <x v="0"/>
    <s v="Credit"/>
    <s v="90 Days from Applicant representative sign on Invoice"/>
    <s v="Active"/>
  </r>
  <r>
    <s v="J211987"/>
    <d v="2026-02-26T00:00:00"/>
    <s v="Building System Intelligent Contractor BSICO"/>
    <x v="2"/>
    <s v="MBL/ICAD"/>
    <x v="3"/>
    <s v="SAR"/>
    <n v="274384"/>
    <n v="1"/>
    <n v="274384"/>
    <n v="0"/>
    <n v="274384"/>
    <n v="0"/>
    <n v="274384"/>
    <d v="2026-06-01T00:00:00"/>
    <d v="2026-05-15T00:00:00"/>
    <x v="2"/>
    <s v="Credit"/>
    <s v="60 Days From the Delivery Date"/>
    <s v="Active"/>
  </r>
  <r>
    <s v="DCBWPM567556"/>
    <d v="2025-10-16T00:00:00"/>
    <s v="Building System Intelligent Est."/>
    <x v="0"/>
    <s v="FIRST FIX"/>
    <x v="0"/>
    <s v="SAR"/>
    <n v="558949"/>
    <n v="1"/>
    <n v="558949"/>
    <n v="300966.99"/>
    <n v="257982.01"/>
    <n v="106205.87"/>
    <n v="151776.14000000001"/>
    <d v="2026-06-30T00:00:00"/>
    <d v="2026-06-30T00:00:00"/>
    <x v="0"/>
    <s v="Credit"/>
    <s v="120 Days from Invoice Date"/>
    <s v="Active"/>
  </r>
  <r>
    <s v="DCBWPM570384"/>
    <d v="2025-12-01T00:00:00"/>
    <s v="Daikin Air Conditioning Saudi Arabia "/>
    <x v="0"/>
    <s v="FIRST FIX"/>
    <x v="0"/>
    <s v="SAR"/>
    <n v="628258.81000000006"/>
    <n v="1"/>
    <n v="628258.81000000006"/>
    <n v="0"/>
    <n v="628258.81000000006"/>
    <n v="487718.69"/>
    <n v="140540.12"/>
    <d v="2026-06-30T00:00:00"/>
    <d v="2026-06-30T00:00:00"/>
    <x v="0"/>
    <s v="Credit"/>
    <s v="120 Days from Invoice Date"/>
    <s v="Active"/>
  </r>
  <r>
    <s v="DCBWPM165531"/>
    <d v="2026-05-10T00:00:00"/>
    <s v="DAIKIN AIR CONDITIONING SAUDI ARABIA LLC"/>
    <x v="0"/>
    <s v="MBL/ICAD"/>
    <x v="5"/>
    <s v="SAR"/>
    <n v="735855"/>
    <n v="1"/>
    <n v="735855"/>
    <n v="0"/>
    <n v="735855"/>
    <n v="0"/>
    <n v="735855"/>
    <d v="2026-06-30T00:00:00"/>
    <d v="2026-06-30T00:00:00"/>
    <x v="0"/>
    <s v="Credit"/>
    <s v="90 Days from Appln Rep Sign on Invoice"/>
    <s v="Active"/>
  </r>
  <r>
    <s v="DCBWPM166261"/>
    <d v="2026-06-04T00:00:00"/>
    <s v="DAIKIN AIR CONDITIONING SAUDI ARABIA LLC"/>
    <x v="0"/>
    <s v="FIRST FIX"/>
    <x v="0"/>
    <s v="SAR"/>
    <n v="1000000"/>
    <n v="1"/>
    <n v="1000000"/>
    <n v="0"/>
    <n v="1000000"/>
    <n v="0"/>
    <n v="1000000"/>
    <d v="2026-08-31T00:00:00"/>
    <d v="2026-08-31T00:00:00"/>
    <x v="0"/>
    <s v="Credit"/>
    <s v="120 Days from Applicant representative sign on Invoice"/>
    <s v="Active"/>
  </r>
  <r>
    <s v="TF2609900016"/>
    <d v="2026-04-09T00:00:00"/>
    <s v="Depa Saudi Arabia for Contracting and Interior Decorating Co. Ltd."/>
    <x v="1"/>
    <s v="MBL"/>
    <x v="1"/>
    <s v="SAR"/>
    <n v="20000000"/>
    <n v="1"/>
    <n v="20000000"/>
    <n v="0"/>
    <n v="20000000"/>
    <n v="8237108.9800000004"/>
    <n v="11762891.02"/>
    <d v="2026-10-31T00:00:00"/>
    <d v="2026-10-31T00:00:00"/>
    <x v="1"/>
    <s v="Credit"/>
    <s v="90 Days from Invoice Date"/>
    <s v="Active"/>
  </r>
  <r>
    <s v="ILC-0840-25-7981"/>
    <d v="2025-07-17T00:00:00"/>
    <s v="Ealla For General Contracting"/>
    <x v="3"/>
    <s v="FIRST FIX"/>
    <x v="4"/>
    <s v="SAR"/>
    <n v="101623.2"/>
    <n v="1"/>
    <n v="101623.2"/>
    <n v="0"/>
    <n v="101623.2"/>
    <n v="0"/>
    <n v="101623.2"/>
    <d v="2026-06-30T00:00:00"/>
    <d v="2026-06-30T00:00:00"/>
    <x v="3"/>
    <s v="Credit"/>
    <s v="90 Days from Invoice Date"/>
    <s v="Active"/>
  </r>
  <r>
    <s v="DCBWPM164009"/>
    <d v="2026-04-06T00:00:00"/>
    <s v="Electric House Trading Company L.L.C."/>
    <x v="0"/>
    <s v="FIRST FIX"/>
    <x v="0"/>
    <s v="SAR"/>
    <n v="1000000"/>
    <n v="1"/>
    <n v="1000000"/>
    <n v="0"/>
    <n v="1000000"/>
    <n v="0"/>
    <n v="1000000"/>
    <d v="2026-06-30T00:00:00"/>
    <d v="2026-06-30T00:00:00"/>
    <x v="0"/>
    <s v="Credit"/>
    <s v="90 Days from App Rep Sign on Invoice"/>
    <s v="Active"/>
  </r>
  <r>
    <s v="J212140"/>
    <d v="2026-04-12T00:00:00"/>
    <s v="Electric House Trading Company L.L.C."/>
    <x v="2"/>
    <s v="MBL/ICAD"/>
    <x v="3"/>
    <s v="SAR"/>
    <n v="2193076"/>
    <n v="1"/>
    <n v="2193076"/>
    <n v="0"/>
    <n v="2193076"/>
    <n v="2193076"/>
    <n v="0"/>
    <d v="2026-05-30T00:00:00"/>
    <d v="2026-05-30T00:00:00"/>
    <x v="2"/>
    <s v="Credit"/>
    <s v="90 Days from Delivery Date"/>
    <s v="Active"/>
  </r>
  <r>
    <s v="DCBWPM166259"/>
    <d v="2026-06-04T00:00:00"/>
    <s v="ELECTRIC HOUSE TRADING COMPANY LLC"/>
    <x v="0"/>
    <s v="FIRST FIX"/>
    <x v="0"/>
    <s v="SAR"/>
    <n v="1000000"/>
    <n v="1"/>
    <n v="1000000"/>
    <n v="0"/>
    <n v="1000000"/>
    <n v="0"/>
    <n v="1000000"/>
    <d v="2026-08-31T00:00:00"/>
    <d v="2026-08-31T00:00:00"/>
    <x v="0"/>
    <s v="Credit"/>
    <s v="120 Days from Applicant representative sign on Invoice"/>
    <s v="Active"/>
  </r>
  <r>
    <s v="J211810"/>
    <d v="2026-01-18T00:00:00"/>
    <s v="Electro Mechanical Supplies Company"/>
    <x v="2"/>
    <s v="MBL/ICAD"/>
    <x v="3"/>
    <s v="SAR"/>
    <n v="400000"/>
    <n v="1"/>
    <n v="400000"/>
    <n v="400000"/>
    <n v="0"/>
    <n v="0"/>
    <n v="0"/>
    <d v="2026-05-30T00:00:00"/>
    <d v="2026-05-15T00:00:00"/>
    <x v="2"/>
    <s v="Credit"/>
    <s v="90 Days from Delivery Date"/>
    <s v="Active"/>
  </r>
  <r>
    <s v="DCBWPM163971"/>
    <d v="2026-04-06T00:00:00"/>
    <s v="Elmady Solution Company"/>
    <x v="0"/>
    <s v="FIRST FIX"/>
    <x v="0"/>
    <s v="SAR"/>
    <n v="150000"/>
    <n v="1"/>
    <n v="150000"/>
    <n v="0"/>
    <n v="150000"/>
    <n v="0"/>
    <n v="150000"/>
    <d v="2026-06-30T00:00:00"/>
    <d v="2026-06-30T00:00:00"/>
    <x v="0"/>
    <s v="Credit"/>
    <s v="90 Days from App Rep Sign on Invoice"/>
    <s v="Active"/>
  </r>
  <r>
    <s v="DCBWPM164001"/>
    <d v="2026-04-06T00:00:00"/>
    <s v="Elsewedy Cables Co. Limited"/>
    <x v="0"/>
    <s v="FIRST FIX"/>
    <x v="0"/>
    <s v="SAR"/>
    <n v="1000000"/>
    <n v="1"/>
    <n v="1000000"/>
    <n v="0"/>
    <n v="1000000"/>
    <n v="995984.82"/>
    <n v="4015.18"/>
    <d v="2026-06-30T00:00:00"/>
    <d v="2026-06-30T00:00:00"/>
    <x v="0"/>
    <s v="Credit"/>
    <s v="90 Days from App Rep Sign on Invoice"/>
    <s v="Active"/>
  </r>
  <r>
    <s v="DCBWPM166257"/>
    <d v="2026-06-04T00:00:00"/>
    <s v="ELSEWEDY CABLES CO. LIMITED"/>
    <x v="0"/>
    <s v="FIRST FIX"/>
    <x v="0"/>
    <s v="SAR"/>
    <n v="1000000"/>
    <n v="1"/>
    <n v="1000000"/>
    <n v="0"/>
    <n v="1000000"/>
    <n v="0"/>
    <n v="1000000"/>
    <d v="2026-08-31T00:00:00"/>
    <d v="2026-08-31T00:00:00"/>
    <x v="0"/>
    <s v="Credit"/>
    <s v="120 Days from Applicant representative sign on Invoice"/>
    <s v="Active"/>
  </r>
  <r>
    <s v="DCBWPM166285"/>
    <d v="2026-06-04T00:00:00"/>
    <s v="Establishment Marjane El- Shammal for watertransport and distribution"/>
    <x v="0"/>
    <s v="FIRST FIX"/>
    <x v="0"/>
    <s v="SAR"/>
    <n v="200000"/>
    <n v="1"/>
    <n v="200000"/>
    <n v="0"/>
    <n v="200000"/>
    <n v="0"/>
    <n v="200000"/>
    <d v="2026-08-31T00:00:00"/>
    <d v="2026-08-31T00:00:00"/>
    <x v="0"/>
    <s v="Credit"/>
    <s v="120 Days from Applicant representative sign on Invoice"/>
    <s v="Active"/>
  </r>
  <r>
    <s v="DCBWPM563374"/>
    <d v="2025-08-06T00:00:00"/>
    <s v="EVOLVING CONSTELLATION CO. FOR ENERGY"/>
    <x v="6"/>
    <s v="FIRST FIX"/>
    <x v="7"/>
    <s v="SAR"/>
    <n v="550000.15"/>
    <n v="1"/>
    <n v="550000.15"/>
    <n v="482497.13"/>
    <n v="67503.02"/>
    <n v="0"/>
    <n v="67503.02"/>
    <d v="2026-06-30T00:00:00"/>
    <d v="2026-06-30T00:00:00"/>
    <x v="0"/>
    <s v="Credit"/>
    <s v="60 Days from Appl. Representative Sign"/>
    <s v="Active"/>
  </r>
  <r>
    <s v="TF2526500019"/>
    <d v="2025-09-24T00:00:00"/>
    <s v="Future Pipe Industries LLC"/>
    <x v="1"/>
    <s v="MBL"/>
    <x v="2"/>
    <s v="SAR"/>
    <n v="5308039.3600000003"/>
    <n v="1"/>
    <n v="5308039.3600000003"/>
    <n v="5072714.3"/>
    <n v="235325.06"/>
    <n v="0"/>
    <n v="235325.06"/>
    <d v="2026-06-21T00:00:00"/>
    <d v="2026-05-31T00:00:00"/>
    <x v="1"/>
    <s v="Credit"/>
    <s v="60 Days From the Delivery Date"/>
    <s v="Active"/>
  </r>
  <r>
    <s v="DCBWPM166292"/>
    <d v="2026-06-04T00:00:00"/>
    <s v="GALAXY TECHOLOGY CO."/>
    <x v="0"/>
    <s v="FIRST FIX"/>
    <x v="0"/>
    <s v="SAR"/>
    <n v="300000.01"/>
    <n v="1"/>
    <n v="300000.01"/>
    <n v="0"/>
    <n v="300000.01"/>
    <n v="0"/>
    <n v="300000.01"/>
    <d v="2026-08-31T00:00:00"/>
    <d v="2026-08-31T00:00:00"/>
    <x v="0"/>
    <s v="Credit"/>
    <s v="120 Days from Applicant representative sign on Invoice"/>
    <s v="Active"/>
  </r>
  <r>
    <s v="TF2514700033"/>
    <d v="2025-05-27T00:00:00"/>
    <s v="GAS SOLUTIONS"/>
    <x v="1"/>
    <s v="FIRST FIX"/>
    <x v="1"/>
    <s v="SAR"/>
    <n v="381276.62"/>
    <n v="1"/>
    <n v="381276.62"/>
    <n v="140641.01"/>
    <n v="240635.61"/>
    <n v="0"/>
    <n v="240635.61"/>
    <d v="2026-05-27T00:00:00"/>
    <d v="2026-05-27T00:00:00"/>
    <x v="1"/>
    <s v="Credit"/>
    <s v="120 Days from Invoice Date"/>
    <s v="Active"/>
  </r>
  <r>
    <s v="ILC-0840-26-8758"/>
    <d v="2026-01-01T00:00:00"/>
    <s v="Green Concrete CJSC"/>
    <x v="3"/>
    <s v="MBL"/>
    <x v="4"/>
    <s v="SAR"/>
    <n v="5802900"/>
    <n v="1"/>
    <n v="5802900"/>
    <n v="495832.85"/>
    <n v="5307067.1500000004"/>
    <n v="112200.9"/>
    <n v="5194866.25"/>
    <d v="2026-12-31T00:00:00"/>
    <d v="2026-12-31T00:00:00"/>
    <x v="3"/>
    <s v="Credit"/>
    <s v="60 Days from Invoice Date"/>
    <s v="Active"/>
  </r>
  <r>
    <s v="TF2613700036"/>
    <d v="2026-05-18T00:00:00"/>
    <s v="Green Concrete CJSC"/>
    <x v="1"/>
    <s v="MBL"/>
    <x v="8"/>
    <s v="SAR"/>
    <n v="2000000"/>
    <n v="1"/>
    <n v="2000000"/>
    <n v="0"/>
    <n v="2000000"/>
    <n v="0"/>
    <n v="2000000"/>
    <d v="2026-08-31T00:00:00"/>
    <d v="2026-08-31T00:00:00"/>
    <x v="1"/>
    <s v="Credit"/>
    <s v="60 Days from Applicant representative sign on Invoice"/>
    <s v="Active"/>
  </r>
  <r>
    <s v="J212502"/>
    <d v="2026-06-22T00:00:00"/>
    <s v="Gulf Applications - GAPP"/>
    <x v="2"/>
    <s v="MBL/ICAD"/>
    <x v="3"/>
    <s v="SAR"/>
    <n v="11188186.699999999"/>
    <n v="1"/>
    <n v="11188186.699999999"/>
    <n v="0"/>
    <n v="11188186.699999999"/>
    <n v="0"/>
    <n v="11188186.699999999"/>
    <d v="2026-08-10T00:00:00"/>
    <d v="2026-08-10T00:00:00"/>
    <x v="2"/>
    <s v="Credit"/>
    <s v="90 Days from Invoice Date"/>
    <s v="Active"/>
  </r>
  <r>
    <s v="DCBWPM163997"/>
    <d v="2026-04-06T00:00:00"/>
    <s v="Gulf Grilles Company"/>
    <x v="0"/>
    <s v="FIRST FIX"/>
    <x v="0"/>
    <s v="SAR"/>
    <n v="500000"/>
    <n v="1"/>
    <n v="500000"/>
    <n v="0"/>
    <n v="500000"/>
    <n v="0"/>
    <n v="500000"/>
    <d v="2026-06-30T00:00:00"/>
    <d v="2026-06-30T00:00:00"/>
    <x v="0"/>
    <s v="Credit"/>
    <s v="90 Days from App Rep Sign on Invoice"/>
    <s v="Active"/>
  </r>
  <r>
    <s v="DCBWPM166298"/>
    <d v="2026-06-04T00:00:00"/>
    <s v="Gulf Grilles Company"/>
    <x v="0"/>
    <s v="FIRST FIX"/>
    <x v="0"/>
    <s v="SAR"/>
    <n v="400000"/>
    <n v="1"/>
    <n v="400000"/>
    <n v="0"/>
    <n v="400000"/>
    <n v="0"/>
    <n v="400000"/>
    <d v="2026-08-31T00:00:00"/>
    <d v="2026-08-31T00:00:00"/>
    <x v="0"/>
    <s v="Credit"/>
    <s v="120 Days from Applicant representative sign on Invoice"/>
    <s v="Active"/>
  </r>
  <r>
    <s v="J211985"/>
    <d v="2026-03-01T00:00:00"/>
    <s v="High Al Shuhra Contracting Company"/>
    <x v="2"/>
    <s v="MBL"/>
    <x v="2"/>
    <s v="SAR"/>
    <n v="2140124.1600000001"/>
    <n v="1"/>
    <n v="2140124.1600000001"/>
    <n v="1696396.49"/>
    <n v="443727.67"/>
    <n v="0"/>
    <n v="443727.67"/>
    <d v="2026-08-01T00:00:00"/>
    <d v="2026-08-01T00:00:00"/>
    <x v="2"/>
    <s v="Credit"/>
    <s v="45 Days from Invoice Date"/>
    <s v="Active"/>
  </r>
  <r>
    <s v="JLC6902211"/>
    <d v="2025-12-02T00:00:00"/>
    <s v="IBA MIDDLE EAST FZE"/>
    <x v="4"/>
    <s v="MBL/United Arab Aluminum Co"/>
    <x v="6"/>
    <s v="EUR"/>
    <n v="695184.62200000009"/>
    <n v="4.32"/>
    <n v="3003197.5670400006"/>
    <n v="992843.09680000006"/>
    <n v="2010354.47"/>
    <n v="0"/>
    <n v="2010354.47"/>
    <d v="2026-12-15T00:00:00"/>
    <d v="2026-11-15T00:00:00"/>
    <x v="4"/>
    <s v="Credit"/>
    <s v="90 Days from Shipment Date"/>
    <s v="Active"/>
  </r>
  <r>
    <s v="JLC6902213"/>
    <d v="2025-12-01T00:00:00"/>
    <s v="IBA MIDDLE EAST FZE"/>
    <x v="4"/>
    <s v="MBL/United Arab Aluminum Co"/>
    <x v="6"/>
    <s v="USD"/>
    <n v="430873.13500000001"/>
    <n v="3.75"/>
    <n v="1615774.2562500001"/>
    <n v="386882.11667999998"/>
    <n v="1228892.1399999999"/>
    <n v="0"/>
    <n v="1228892.1399999999"/>
    <d v="2026-12-15T00:00:00"/>
    <d v="2026-11-15T00:00:00"/>
    <x v="4"/>
    <s v="Credit"/>
    <s v="90 Days from Shipment Date"/>
    <s v="Active"/>
  </r>
  <r>
    <s v="DCBWPM163960"/>
    <d v="2026-04-06T00:00:00"/>
    <s v="Ideal Caliber Company"/>
    <x v="0"/>
    <s v="FIRST FIX"/>
    <x v="0"/>
    <s v="SAR"/>
    <n v="150000"/>
    <n v="1"/>
    <n v="150000"/>
    <n v="0"/>
    <n v="150000"/>
    <n v="150000"/>
    <n v="0"/>
    <d v="2026-06-30T00:00:00"/>
    <d v="2026-06-30T00:00:00"/>
    <x v="0"/>
    <s v="Credit"/>
    <s v="90 Days from App Rep Sign on Invoice"/>
    <s v="Active"/>
  </r>
  <r>
    <s v="DCBWPM166281"/>
    <d v="2026-06-04T00:00:00"/>
    <s v="IDEAL CALIBER COMPANY."/>
    <x v="0"/>
    <s v="FIRST FIX"/>
    <x v="0"/>
    <s v="SAR"/>
    <n v="300000"/>
    <n v="1"/>
    <n v="300000"/>
    <n v="0"/>
    <n v="300000"/>
    <n v="0"/>
    <n v="300000"/>
    <d v="2026-08-31T00:00:00"/>
    <d v="2026-08-31T00:00:00"/>
    <x v="0"/>
    <s v="Credit"/>
    <s v="120 Days from Applicant representative sign on Invoice"/>
    <s v="Active"/>
  </r>
  <r>
    <s v="DCBWPM163413"/>
    <d v="2026-03-16T00:00:00"/>
    <s v="Innovative Contractors for Advanced Dimension (ICAD)"/>
    <x v="5"/>
    <s v="MBL"/>
    <x v="7"/>
    <s v="SAR"/>
    <n v="10000000"/>
    <n v="1"/>
    <n v="10000000"/>
    <n v="0"/>
    <n v="10000000"/>
    <n v="10000000"/>
    <n v="0"/>
    <d v="2026-06-30T00:00:00"/>
    <d v="2026-06-30T00:00:00"/>
    <x v="0"/>
    <s v="Credit"/>
    <s v="120 Days from Appl Rep Sign on Invoice"/>
    <s v="Active"/>
  </r>
  <r>
    <s v="TF2609800008"/>
    <d v="2026-04-08T00:00:00"/>
    <s v="Innovative Contractors for Advanced Dimension (ICAD)"/>
    <x v="1"/>
    <s v="MBL"/>
    <x v="7"/>
    <s v="SAR"/>
    <n v="21481033"/>
    <n v="1"/>
    <n v="21481033"/>
    <n v="0"/>
    <n v="21481033"/>
    <n v="21481033"/>
    <n v="0"/>
    <d v="2026-06-30T00:00:00"/>
    <d v="2026-06-30T00:00:00"/>
    <x v="1"/>
    <s v="Credit"/>
    <s v="120 Days from Invoice Date"/>
    <s v="Active"/>
  </r>
  <r>
    <s v="TF2610500021"/>
    <d v="2026-04-15T00:00:00"/>
    <s v="Innovative Specialized Security Solution"/>
    <x v="1"/>
    <s v="ICAD"/>
    <x v="8"/>
    <s v="SAR"/>
    <n v="15724333.939999999"/>
    <n v="1"/>
    <n v="15724333.939999999"/>
    <n v="0"/>
    <n v="15724333.939999999"/>
    <n v="15724333.939999999"/>
    <n v="0"/>
    <d v="2026-06-30T00:00:00"/>
    <d v="2026-06-20T00:00:00"/>
    <x v="1"/>
    <s v="Credit"/>
    <s v="90 Days from Applicant representative sign on Invoice"/>
    <s v="Active"/>
  </r>
  <r>
    <s v="DCBWPM161328"/>
    <d v="2026-01-28T00:00:00"/>
    <s v="INTERPLAST CO. LTD"/>
    <x v="0"/>
    <s v="FIRST FIX"/>
    <x v="0"/>
    <s v="SAR"/>
    <n v="397090"/>
    <n v="1"/>
    <n v="397090"/>
    <n v="0"/>
    <n v="397090"/>
    <n v="397090"/>
    <n v="0"/>
    <d v="2026-04-30T00:00:00"/>
    <d v="2026-04-30T00:00:00"/>
    <x v="0"/>
    <s v="Credit"/>
    <s v="90 Days from Applicant representative sign on Invoice"/>
    <s v="Active"/>
  </r>
  <r>
    <s v="ILC-0840-26-8822"/>
    <d v="2026-01-11T00:00:00"/>
    <s v="Isam Kabanni And Partners For Construction And Maintenance Co Ltd"/>
    <x v="3"/>
    <s v="FIRST FIX"/>
    <x v="4"/>
    <s v="SAR"/>
    <n v="739450"/>
    <n v="1"/>
    <n v="739450"/>
    <n v="0"/>
    <n v="739450"/>
    <n v="0"/>
    <n v="739450"/>
    <d v="2026-08-31T00:00:00"/>
    <d v="2026-08-31T00:00:00"/>
    <x v="3"/>
    <s v="Credit"/>
    <s v="90 Days from Applicant representative sign on Invoice"/>
    <s v="Active"/>
  </r>
  <r>
    <s v="DCBWPM165571"/>
    <d v="2026-05-11T00:00:00"/>
    <s v="Isam Kabbani &amp; Partners for Building and Construction"/>
    <x v="0"/>
    <s v="MBL"/>
    <x v="5"/>
    <s v="SAR"/>
    <n v="1325316"/>
    <n v="1"/>
    <n v="1325316"/>
    <n v="0"/>
    <n v="1325316"/>
    <n v="0"/>
    <n v="1325316"/>
    <d v="2026-08-01T00:00:00"/>
    <d v="2026-08-01T00:00:00"/>
    <x v="0"/>
    <s v="Credit"/>
    <s v="90 Days from Appln Rep Sign on Invoice"/>
    <s v="Active"/>
  </r>
  <r>
    <s v="JLC7000008"/>
    <d v="2026-01-01T00:00:00"/>
    <s v="ISAM KABBANI &amp; PARTNERS LTD-UNITECH"/>
    <x v="4"/>
    <s v="FIRST FIX"/>
    <x v="6"/>
    <s v="SAR"/>
    <n v="500000"/>
    <n v="1"/>
    <n v="500000"/>
    <n v="0"/>
    <n v="500000"/>
    <n v="500000"/>
    <n v="0"/>
    <d v="2026-04-30T00:00:00"/>
    <d v="2026-04-30T00:00:00"/>
    <x v="4"/>
    <s v="Credit"/>
    <s v="90 Days from Appln Rep Sign on Invoice"/>
    <s v="Active"/>
  </r>
  <r>
    <s v="DCBWPM563027"/>
    <d v="2025-07-31T00:00:00"/>
    <s v="JAD AL RIYADH Trading Co. Ltd"/>
    <x v="6"/>
    <s v="FIRST FIX"/>
    <x v="7"/>
    <s v="SAR"/>
    <n v="1400000"/>
    <n v="1"/>
    <n v="1400000"/>
    <n v="1385426.0200000003"/>
    <n v="14573.98"/>
    <n v="0"/>
    <n v="14573.98"/>
    <d v="2026-06-30T00:00:00"/>
    <d v="2026-06-30T00:00:00"/>
    <x v="0"/>
    <s v="Credit"/>
    <s v="90 Days from Appl. Representative Sign"/>
    <s v="Active"/>
  </r>
  <r>
    <s v="DCBWPM166270"/>
    <d v="2026-06-04T00:00:00"/>
    <s v="JOHNSON CONTROLS ARABIA"/>
    <x v="0"/>
    <s v="FIRST FIX"/>
    <x v="0"/>
    <s v="SAR"/>
    <n v="500000"/>
    <n v="1"/>
    <n v="500000"/>
    <n v="0"/>
    <n v="500000"/>
    <n v="0"/>
    <n v="500000"/>
    <d v="2026-08-31T00:00:00"/>
    <d v="2026-08-31T00:00:00"/>
    <x v="0"/>
    <s v="Credit"/>
    <s v="120 Days from Applicant representative sign on Invoice"/>
    <s v="Active"/>
  </r>
  <r>
    <s v="DCBWPM164010"/>
    <d v="2026-04-06T00:00:00"/>
    <s v="Johnson Controls Arabia Ltd."/>
    <x v="0"/>
    <s v="FIRST FIX"/>
    <x v="0"/>
    <s v="SAR"/>
    <n v="1000000"/>
    <n v="1"/>
    <n v="1000000"/>
    <n v="0"/>
    <n v="1000000"/>
    <n v="0"/>
    <n v="1000000"/>
    <d v="2026-06-30T00:00:00"/>
    <d v="2026-06-30T00:00:00"/>
    <x v="0"/>
    <s v="Credit"/>
    <s v="90 Days from App Rep Sign on Invoice"/>
    <s v="Active"/>
  </r>
  <r>
    <s v="DCBWPM163950"/>
    <d v="2026-04-06T00:00:00"/>
    <s v="Khereiji Showrooms Co."/>
    <x v="0"/>
    <s v="FIRST FIX"/>
    <x v="0"/>
    <s v="SAR"/>
    <n v="300000.73"/>
    <n v="1"/>
    <n v="300000.73"/>
    <n v="0"/>
    <n v="300000.73"/>
    <n v="299758.8"/>
    <n v="241.93"/>
    <d v="2026-06-30T00:00:00"/>
    <d v="2026-06-30T00:00:00"/>
    <x v="0"/>
    <s v="Credit"/>
    <s v="90 Days from App Rep Sign on Invoice"/>
    <s v="Active"/>
  </r>
  <r>
    <s v="DCBWPM166275"/>
    <d v="2026-06-04T00:00:00"/>
    <s v="KHEREIJI SHOWROOMS CO."/>
    <x v="0"/>
    <s v="FIRST FIX"/>
    <x v="0"/>
    <s v="SAR"/>
    <n v="250000"/>
    <n v="1"/>
    <n v="250000"/>
    <n v="0"/>
    <n v="250000"/>
    <n v="0"/>
    <n v="250000"/>
    <d v="2026-08-31T00:00:00"/>
    <d v="2026-08-31T00:00:00"/>
    <x v="0"/>
    <s v="Credit"/>
    <s v="120 Days from Applicant representative sign on Invoice"/>
    <s v="Active"/>
  </r>
  <r>
    <s v="JLC7000184"/>
    <d v="2026-02-04T00:00:00"/>
    <s v="Khorayef Industries"/>
    <x v="4"/>
    <s v="FIRST FIX"/>
    <x v="6"/>
    <s v="SAR"/>
    <n v="1000000"/>
    <n v="1"/>
    <n v="1000000"/>
    <n v="0"/>
    <n v="1000000"/>
    <n v="1000000"/>
    <n v="0"/>
    <d v="2026-04-30T00:00:00"/>
    <d v="2026-04-30T00:00:00"/>
    <x v="4"/>
    <s v="Credit"/>
    <s v="90 Days from Appln Rep Sign on Invoice"/>
    <s v="Active"/>
  </r>
  <r>
    <s v="J211986"/>
    <d v="2026-03-01T00:00:00"/>
    <s v="Koon Trading Company"/>
    <x v="2"/>
    <s v="MBL/ICAD"/>
    <x v="3"/>
    <s v="SAR"/>
    <n v="400000"/>
    <n v="1"/>
    <n v="400000"/>
    <n v="0"/>
    <n v="400000"/>
    <n v="0"/>
    <n v="400000"/>
    <d v="2026-07-01T00:00:00"/>
    <d v="2026-06-15T00:00:00"/>
    <x v="2"/>
    <s v="Credit"/>
    <s v="90 Days From the Delivery Date"/>
    <s v="Active"/>
  </r>
  <r>
    <s v="TF2535900014"/>
    <d v="2025-12-25T00:00:00"/>
    <s v="LSI PROJECTS LIMITED"/>
    <x v="1"/>
    <s v="ICAD"/>
    <x v="1"/>
    <s v="GBP"/>
    <n v="1534181.67"/>
    <n v="4.6399999999999997"/>
    <n v="7118602.9487999994"/>
    <n v="363328.54672888498"/>
    <n v="6755274.4000000004"/>
    <n v="0"/>
    <n v="6755274.4000000004"/>
    <d v="2026-09-30T00:00:00"/>
    <d v="2026-09-30T00:00:00"/>
    <x v="1"/>
    <s v="Credit"/>
    <s v="90 Days from Invoice Date"/>
    <s v="Active"/>
  </r>
  <r>
    <s v="TF2533600018"/>
    <d v="2025-12-04T00:00:00"/>
    <s v="LSI PROJECTS LIMITED"/>
    <x v="1"/>
    <s v="ICAD"/>
    <x v="1"/>
    <s v="GBP"/>
    <n v="72830.59"/>
    <n v="4.6399999999999997"/>
    <n v="337933.93759999995"/>
    <n v="0"/>
    <n v="337933.94"/>
    <n v="0"/>
    <n v="337933.94"/>
    <d v="2026-09-30T00:00:00"/>
    <d v="2026-09-30T00:00:00"/>
    <x v="1"/>
    <s v="Credit"/>
    <s v="90 Days from Shipment Date"/>
    <s v="Active"/>
  </r>
  <r>
    <s v="DCBWPM166290"/>
    <d v="2026-06-04T00:00:00"/>
    <s v="Machinery Land Equipment Rental."/>
    <x v="0"/>
    <s v="FIRST FIX"/>
    <x v="0"/>
    <s v="SAR"/>
    <n v="300000"/>
    <n v="1"/>
    <n v="300000"/>
    <n v="0"/>
    <n v="300000"/>
    <n v="0"/>
    <n v="300000"/>
    <d v="2026-08-31T00:00:00"/>
    <d v="2026-08-31T00:00:00"/>
    <x v="0"/>
    <s v="Credit"/>
    <s v="120 Days from Applicant representative sign on Invoice"/>
    <s v="Active"/>
  </r>
  <r>
    <s v="J212311"/>
    <d v="2026-05-07T00:00:00"/>
    <s v="Manar Alomran Company For Trading And Industrial Ltd"/>
    <x v="2"/>
    <s v="MBL"/>
    <x v="3"/>
    <s v="SAR"/>
    <n v="2896770"/>
    <n v="1"/>
    <n v="2896770"/>
    <n v="0"/>
    <n v="2896770"/>
    <n v="386858.95"/>
    <n v="2509911.0499999998"/>
    <d v="2026-08-31T00:00:00"/>
    <d v="2026-08-31T00:00:00"/>
    <x v="2"/>
    <s v="Credit"/>
    <s v="90 Days from Invoice Date"/>
    <s v="Active"/>
  </r>
  <r>
    <s v="DCBWPM166272"/>
    <d v="2026-06-04T00:00:00"/>
    <s v="MARIAM TRADING CO AND PARTNER"/>
    <x v="0"/>
    <s v="FIRST FIX"/>
    <x v="0"/>
    <s v="SAR"/>
    <n v="200000"/>
    <n v="1"/>
    <n v="200000"/>
    <n v="0"/>
    <n v="200000"/>
    <n v="0"/>
    <n v="200000"/>
    <d v="2026-08-31T00:00:00"/>
    <d v="2026-08-31T00:00:00"/>
    <x v="0"/>
    <s v="Credit"/>
    <s v="120 Days from Applicant representative sign on Invoice"/>
    <s v="Active"/>
  </r>
  <r>
    <s v="J212386"/>
    <d v="2026-06-07T00:00:00"/>
    <s v="Martin Professional Information Technology Company"/>
    <x v="2"/>
    <s v="MBL/ICAD"/>
    <x v="3"/>
    <s v="SAR"/>
    <n v="5000000"/>
    <n v="1"/>
    <n v="5000000"/>
    <n v="0"/>
    <n v="5000000"/>
    <n v="0"/>
    <n v="5000000"/>
    <d v="2026-10-08T00:00:00"/>
    <d v="2026-10-08T00:00:00"/>
    <x v="2"/>
    <s v="Credit"/>
    <s v="60 Days from Invoice Date"/>
    <s v="Active"/>
  </r>
  <r>
    <s v="DCBWPM160364"/>
    <d v="2026-01-14T00:00:00"/>
    <s v="Masdar Technical Supplies Co."/>
    <x v="0"/>
    <s v="FIRST FIX"/>
    <x v="0"/>
    <s v="SAR"/>
    <n v="500000"/>
    <n v="1"/>
    <n v="500000"/>
    <n v="0"/>
    <n v="500000"/>
    <n v="500000"/>
    <n v="0"/>
    <d v="2026-06-30T00:00:00"/>
    <d v="2026-06-30T00:00:00"/>
    <x v="0"/>
    <s v="Credit"/>
    <s v="90 Days from Applicant representative sign on Invoice"/>
    <s v="Active"/>
  </r>
  <r>
    <s v="DCBWPM163945"/>
    <d v="2026-04-06T00:00:00"/>
    <s v="Masdar Technical Supplies Co."/>
    <x v="0"/>
    <s v="FIRST FIX"/>
    <x v="0"/>
    <s v="SAR"/>
    <n v="200000"/>
    <n v="1"/>
    <n v="200000"/>
    <n v="0"/>
    <n v="200000"/>
    <n v="200000"/>
    <n v="0"/>
    <d v="2026-06-30T00:00:00"/>
    <d v="2026-06-30T00:00:00"/>
    <x v="0"/>
    <s v="Credit"/>
    <s v="90 Days from App Rep Sign on Invoice"/>
    <s v="Active"/>
  </r>
  <r>
    <s v="DCBWPM166277"/>
    <d v="2026-06-04T00:00:00"/>
    <s v="Masdar Technical Supplies Co."/>
    <x v="0"/>
    <s v="FIRST FIX"/>
    <x v="0"/>
    <s v="SAR"/>
    <n v="300000"/>
    <n v="1"/>
    <n v="300000"/>
    <n v="0"/>
    <n v="300000"/>
    <n v="0"/>
    <n v="300000"/>
    <d v="2026-08-31T00:00:00"/>
    <d v="2026-08-31T00:00:00"/>
    <x v="0"/>
    <s v="Credit"/>
    <s v="120 Days from Applicant representative sign on Invoice"/>
    <s v="Active"/>
  </r>
  <r>
    <s v="DCBWPM160344"/>
    <d v="2026-01-15T00:00:00"/>
    <s v="Mase Gulf Company"/>
    <x v="0"/>
    <s v="FIRST FIX"/>
    <x v="0"/>
    <s v="SAR"/>
    <n v="500000"/>
    <n v="1"/>
    <n v="500000"/>
    <n v="0"/>
    <n v="500000"/>
    <n v="0"/>
    <n v="500000"/>
    <d v="2026-06-30T00:00:00"/>
    <d v="2026-06-30T00:00:00"/>
    <x v="0"/>
    <s v="Credit"/>
    <s v="90 Days from Applicant representative sign on Invoice"/>
    <s v="Active"/>
  </r>
  <r>
    <s v="DCBWPM570839"/>
    <d v="2025-12-28T00:00:00"/>
    <s v="MASQ FOR ELECTRICAL TOOLS CO"/>
    <x v="0"/>
    <s v="FIRST FIX"/>
    <x v="0"/>
    <s v="SAR"/>
    <n v="8790001.0999999996"/>
    <n v="1"/>
    <n v="8790001.0999999996"/>
    <n v="650518.46"/>
    <n v="8139482.6399999997"/>
    <n v="0"/>
    <n v="8139482.6399999997"/>
    <d v="2026-06-30T00:00:00"/>
    <d v="2026-06-30T00:00:00"/>
    <x v="0"/>
    <s v="Credit"/>
    <s v="120 Days from Invoice Date"/>
    <s v="Active"/>
  </r>
  <r>
    <s v="JLC6901431_Cre"/>
    <d v="2025-09-04T00:00:00"/>
    <s v="Mat Filtrasyon Teknolojeleri A.S"/>
    <x v="4"/>
    <s v="MBL"/>
    <x v="6"/>
    <s v="SAR"/>
    <n v="25907203.759999998"/>
    <n v="1"/>
    <n v="25907203.759999998"/>
    <n v="16605181.220000001"/>
    <n v="9302022.5399999991"/>
    <n v="752616.68"/>
    <n v="8549405.8599999994"/>
    <d v="2026-10-15T00:00:00"/>
    <d v="2026-09-24T00:00:00"/>
    <x v="4"/>
    <s v="Credit"/>
    <s v="45 Days from Invoice Date"/>
    <s v="Active"/>
  </r>
  <r>
    <s v="JLC7000384"/>
    <d v="2026-03-24T00:00:00"/>
    <s v="Mat Filtrasyon Teknolojeleri A.S"/>
    <x v="4"/>
    <s v="MBL"/>
    <x v="6"/>
    <s v="SAR"/>
    <n v="17932603.559999999"/>
    <n v="1"/>
    <n v="17932603.559999999"/>
    <n v="4576500"/>
    <n v="13356103.560000001"/>
    <n v="735540"/>
    <n v="12620563.560000001"/>
    <d v="2026-08-30T00:00:00"/>
    <d v="2026-08-09T00:00:00"/>
    <x v="4"/>
    <s v="Credit"/>
    <s v="Mixed Tenor - 60 / 45 / 21 Days from Invoice Date"/>
    <s v="Active"/>
  </r>
  <r>
    <s v="ILC-0840-25-8011"/>
    <d v="2025-07-24T00:00:00"/>
    <s v="Metten Al-Arabia Ltd Co (METARA)"/>
    <x v="3"/>
    <s v="MBL"/>
    <x v="4"/>
    <s v="SAR"/>
    <n v="12956001.199999999"/>
    <n v="1"/>
    <n v="12956001.199999999"/>
    <n v="1509410.02"/>
    <n v="11446591.18"/>
    <n v="0"/>
    <n v="11446591.18"/>
    <d v="2026-06-30T00:00:00"/>
    <d v="2026-06-30T00:00:00"/>
    <x v="3"/>
    <s v="Credit"/>
    <s v="60 Days from Invoice Date"/>
    <s v="Active"/>
  </r>
  <r>
    <s v="DCBWPM160355"/>
    <d v="2026-01-15T00:00:00"/>
    <s v="Mimar for Construction Tools &amp; Trading Ltd."/>
    <x v="0"/>
    <s v="FIRST FIX"/>
    <x v="0"/>
    <s v="SAR"/>
    <n v="900000"/>
    <n v="1"/>
    <n v="900000"/>
    <n v="0"/>
    <n v="900000"/>
    <n v="900000"/>
    <n v="0"/>
    <d v="2026-06-30T00:00:00"/>
    <d v="2026-06-30T00:00:00"/>
    <x v="0"/>
    <s v="Credit"/>
    <s v="90 Days from Applicant representative sign on Invoice"/>
    <s v="Active"/>
  </r>
  <r>
    <s v="DCBWPM162995"/>
    <d v="2026-03-05T00:00:00"/>
    <s v="Mimar For Construction Tools and Trading Ltd."/>
    <x v="0"/>
    <s v="FIRST FIX"/>
    <x v="0"/>
    <s v="SAR"/>
    <n v="398652.54"/>
    <n v="1"/>
    <n v="398652.54"/>
    <n v="0"/>
    <n v="398652.54"/>
    <n v="0"/>
    <n v="398652.54"/>
    <d v="2026-08-31T00:00:00"/>
    <d v="2026-08-31T00:00:00"/>
    <x v="0"/>
    <s v="Credit"/>
    <s v="90 Days from Applicant representative sign on Invoice"/>
    <s v="Active"/>
  </r>
  <r>
    <s v="DCBWPM163957"/>
    <d v="2026-04-06T00:00:00"/>
    <s v="Mohamad Saeed Afifi Trading Est."/>
    <x v="0"/>
    <s v="FIRST FIX"/>
    <x v="0"/>
    <s v="SAR"/>
    <n v="450000"/>
    <n v="1"/>
    <n v="450000"/>
    <n v="0"/>
    <n v="450000"/>
    <n v="312768.11"/>
    <n v="137231.89000000001"/>
    <d v="2026-06-30T00:00:00"/>
    <d v="2026-06-30T00:00:00"/>
    <x v="0"/>
    <s v="Credit"/>
    <s v="90 Days from App Rep Sign on Invoice"/>
    <s v="Active"/>
  </r>
  <r>
    <s v="TF2531600056"/>
    <d v="2025-11-12T00:00:00"/>
    <s v="Mohammad Saleh Bahareth co."/>
    <x v="1"/>
    <s v="FIRST FIX"/>
    <x v="1"/>
    <s v="SAR"/>
    <n v="565057.47"/>
    <n v="1"/>
    <n v="565057.47"/>
    <n v="332244.19"/>
    <n v="232813.28"/>
    <n v="0"/>
    <n v="232813.28"/>
    <d v="2026-06-30T00:00:00"/>
    <d v="2026-06-30T00:00:00"/>
    <x v="1"/>
    <s v="Credit"/>
    <s v="90 Days from Applicant representative sign on Invoice"/>
    <s v="Active"/>
  </r>
  <r>
    <s v="J210944"/>
    <d v="2025-07-29T00:00:00"/>
    <s v="Mohammed A. Al-Awani Trading"/>
    <x v="2"/>
    <s v="MBL"/>
    <x v="2"/>
    <s v="SAR"/>
    <n v="2826301.05"/>
    <n v="1"/>
    <n v="2826301.05"/>
    <n v="1261168.18"/>
    <n v="1565132.87"/>
    <n v="0"/>
    <n v="1565132.87"/>
    <d v="2026-07-31T00:00:00"/>
    <d v="2026-07-31T00:00:00"/>
    <x v="2"/>
    <s v="Credit"/>
    <s v="45 Days from the Invoice Date"/>
    <s v="Active"/>
  </r>
  <r>
    <s v="ILC-0840-26-8823"/>
    <d v="2026-01-11T00:00:00"/>
    <s v="Mohammed Masoud Al Khaldi Est"/>
    <x v="3"/>
    <s v="FIRST FIX"/>
    <x v="4"/>
    <s v="SAR"/>
    <n v="424699.6"/>
    <n v="1"/>
    <n v="424699.6"/>
    <n v="212349.8"/>
    <n v="212349.8"/>
    <n v="0"/>
    <n v="212349.8"/>
    <d v="2026-08-31T00:00:00"/>
    <d v="2026-08-31T00:00:00"/>
    <x v="3"/>
    <s v="Credit"/>
    <s v="90 Days from Applicant representative sign on Invoice"/>
    <s v="Active"/>
  </r>
  <r>
    <s v="ILC-0840-25-8164"/>
    <d v="2025-08-26T00:00:00"/>
    <s v="Mohammed Ramadan Shat Factory"/>
    <x v="3"/>
    <s v="FIRST FIX"/>
    <x v="4"/>
    <s v="SAR"/>
    <n v="501144.18"/>
    <n v="1"/>
    <n v="501144.18"/>
    <n v="42591.07"/>
    <n v="458553.11"/>
    <n v="199393.9"/>
    <n v="259159.21"/>
    <d v="2026-08-31T00:00:00"/>
    <d v="2026-08-31T00:00:00"/>
    <x v="3"/>
    <s v="Credit"/>
    <s v="90 Days from Invoice Date"/>
    <s v="Active"/>
  </r>
  <r>
    <s v="DCBWPM164211"/>
    <d v="2026-04-12T00:00:00"/>
    <s v="Mushal Khalf Hijri For Contracting"/>
    <x v="0"/>
    <s v="FIRST FIX"/>
    <x v="0"/>
    <s v="SAR"/>
    <n v="175000"/>
    <n v="1"/>
    <n v="175000"/>
    <n v="0"/>
    <n v="175000"/>
    <n v="0"/>
    <n v="175000"/>
    <d v="2026-06-30T00:00:00"/>
    <d v="2026-06-30T00:00:00"/>
    <x v="0"/>
    <s v="Credit"/>
    <s v="90 Days from App Rep Sign on Invoice"/>
    <s v="Active"/>
  </r>
  <r>
    <s v="DCBWPM163967"/>
    <d v="2026-04-06T00:00:00"/>
    <s v="National Fire Fighting Manufacturing Fzco Br."/>
    <x v="0"/>
    <s v="FIRST FIX"/>
    <x v="0"/>
    <s v="SAR"/>
    <n v="500000"/>
    <n v="1"/>
    <n v="500000"/>
    <n v="0"/>
    <n v="500000"/>
    <n v="500000"/>
    <n v="0"/>
    <d v="2026-06-30T00:00:00"/>
    <d v="2026-06-30T00:00:00"/>
    <x v="0"/>
    <s v="Credit"/>
    <s v="90 Days from App Rep Sign on Invoice"/>
    <s v="Active"/>
  </r>
  <r>
    <s v="DCBWPM166297"/>
    <d v="2026-06-04T00:00:00"/>
    <s v="National Fire Fighting Manufacturing FZCO BR."/>
    <x v="0"/>
    <s v="FIRST FIX"/>
    <x v="0"/>
    <s v="SAR"/>
    <n v="500000"/>
    <n v="1"/>
    <n v="500000"/>
    <n v="0"/>
    <n v="500000"/>
    <n v="0"/>
    <n v="500000"/>
    <d v="2026-08-31T00:00:00"/>
    <d v="2026-08-31T00:00:00"/>
    <x v="0"/>
    <s v="Credit"/>
    <s v="120 Days from Applicant representative sign on Invoice"/>
    <s v="Active"/>
  </r>
  <r>
    <s v="DCBWPM163964"/>
    <d v="2026-04-06T00:00:00"/>
    <s v="National Marketing Est. Co. Ltd"/>
    <x v="0"/>
    <s v="FIRST FIX"/>
    <x v="0"/>
    <s v="SAR"/>
    <n v="275000"/>
    <n v="1"/>
    <n v="275000"/>
    <n v="0"/>
    <n v="275000"/>
    <n v="0"/>
    <n v="275000"/>
    <d v="2026-06-30T00:00:00"/>
    <d v="2026-06-30T00:00:00"/>
    <x v="0"/>
    <s v="Credit"/>
    <s v="90 Days from App Rep Sign on Invoice"/>
    <s v="Active"/>
  </r>
  <r>
    <s v="DCBWPM166264"/>
    <d v="2026-06-04T00:00:00"/>
    <s v="NUKHBA ALETFA CO"/>
    <x v="0"/>
    <s v="FIRST FIX"/>
    <x v="0"/>
    <s v="SAR"/>
    <n v="500000"/>
    <n v="1"/>
    <n v="500000"/>
    <n v="0"/>
    <n v="500000"/>
    <n v="0"/>
    <n v="500000"/>
    <d v="2026-08-31T00:00:00"/>
    <d v="2026-08-31T00:00:00"/>
    <x v="0"/>
    <s v="Credit"/>
    <s v="120 Days from Applicant representative sign on Invoice"/>
    <s v="Active"/>
  </r>
  <r>
    <s v="TF2535200021"/>
    <d v="2025-12-21T00:00:00"/>
    <s v="Osalas GMBH"/>
    <x v="1"/>
    <s v="MBL"/>
    <x v="8"/>
    <s v="EUR"/>
    <n v="5000000"/>
    <n v="4.4400000000000004"/>
    <n v="22200000.000000004"/>
    <n v="20908277"/>
    <n v="1291723"/>
    <n v="1198665"/>
    <n v="93058"/>
    <d v="2026-09-21T00:00:00"/>
    <d v="2026-08-31T00:00:00"/>
    <x v="1"/>
    <s v="Credit"/>
    <s v="Sight / 60 Days from Appl. Rep Sign on Invoice"/>
    <s v="Active"/>
  </r>
  <r>
    <s v="DCBWPM570369"/>
    <d v="2025-12-01T00:00:00"/>
    <s v="Power Center Company for Industries LLC"/>
    <x v="0"/>
    <s v="FIRST FIX"/>
    <x v="0"/>
    <s v="SAR"/>
    <n v="4000000"/>
    <n v="1"/>
    <n v="4000000"/>
    <n v="0"/>
    <n v="4000000"/>
    <n v="4000000"/>
    <n v="0"/>
    <d v="2026-06-30T00:00:00"/>
    <d v="2026-06-30T00:00:00"/>
    <x v="0"/>
    <s v="Credit"/>
    <s v="120 Days from Invoice Date"/>
    <s v="Active"/>
  </r>
  <r>
    <s v="DCBWPM163988"/>
    <d v="2026-04-06T00:00:00"/>
    <s v="Power Center Company For Industries Llc"/>
    <x v="0"/>
    <s v="FIRST FIX"/>
    <x v="0"/>
    <s v="SAR"/>
    <n v="900000"/>
    <n v="1"/>
    <n v="900000"/>
    <n v="0"/>
    <n v="900000"/>
    <n v="0"/>
    <n v="900000"/>
    <d v="2026-06-30T00:00:00"/>
    <d v="2026-06-30T00:00:00"/>
    <x v="0"/>
    <s v="Credit"/>
    <s v="90 Days from App Rep Sign on Invoice"/>
    <s v="Active"/>
  </r>
  <r>
    <s v="DCBWPM166278"/>
    <d v="2026-06-04T00:00:00"/>
    <s v="POWER CENTER COMPANY FOR INDUSTRIES LLC"/>
    <x v="0"/>
    <s v="FIRST FIX"/>
    <x v="0"/>
    <s v="SAR"/>
    <n v="500000"/>
    <n v="1"/>
    <n v="500000"/>
    <n v="0"/>
    <n v="500000"/>
    <n v="0"/>
    <n v="500000"/>
    <d v="2026-08-31T00:00:00"/>
    <d v="2026-08-31T00:00:00"/>
    <x v="0"/>
    <s v="Credit"/>
    <s v="120 Days from Applicant representative sign on Invoice"/>
    <s v="Active"/>
  </r>
  <r>
    <s v="DCBWPM166286"/>
    <d v="2026-06-04T00:00:00"/>
    <s v="RAPID SAUDI ARABIA CO LIMITED."/>
    <x v="0"/>
    <s v="FIRST FIX"/>
    <x v="0"/>
    <s v="SAR"/>
    <n v="190080.6"/>
    <n v="1"/>
    <n v="190080.6"/>
    <n v="0"/>
    <n v="190080.6"/>
    <n v="0"/>
    <n v="190080.6"/>
    <d v="2026-08-31T00:00:00"/>
    <d v="2026-08-31T00:00:00"/>
    <x v="0"/>
    <s v="Credit"/>
    <s v="120 Days from Applicant representative sign on Invoice"/>
    <s v="Active"/>
  </r>
  <r>
    <s v="DCBWPM555620"/>
    <d v="2025-04-13T00:00:00"/>
    <s v="Rawadf International Co."/>
    <x v="0"/>
    <s v="FIRST FIX"/>
    <x v="0"/>
    <s v="SAR"/>
    <n v="1000000"/>
    <n v="1"/>
    <n v="1000000"/>
    <n v="732234.90999999992"/>
    <n v="267765.09000000003"/>
    <n v="0"/>
    <n v="267765.09000000003"/>
    <d v="2026-06-30T00:00:00"/>
    <d v="2026-06-30T00:00:00"/>
    <x v="0"/>
    <s v="Credit"/>
    <s v="60 Days from Invoice Date"/>
    <s v="Active"/>
  </r>
  <r>
    <s v="DCBWPM166289"/>
    <d v="2026-06-04T00:00:00"/>
    <s v="RAWADF INTERNATIONAL CO."/>
    <x v="0"/>
    <s v="FIRST FIX"/>
    <x v="0"/>
    <s v="SAR"/>
    <n v="200000"/>
    <n v="1"/>
    <n v="200000"/>
    <n v="0"/>
    <n v="200000"/>
    <n v="0"/>
    <n v="200000"/>
    <d v="2026-08-31T00:00:00"/>
    <d v="2026-08-31T00:00:00"/>
    <x v="0"/>
    <s v="Credit"/>
    <s v="120 Days from Applicant representative sign on Invoice"/>
    <s v="Active"/>
  </r>
  <r>
    <s v="M001959"/>
    <d v="2026-03-11T00:00:00"/>
    <s v="Ready Mix Company Limited."/>
    <x v="7"/>
    <s v="MBL"/>
    <x v="10"/>
    <s v="SAR"/>
    <n v="5000000"/>
    <n v="1"/>
    <n v="5000000"/>
    <n v="2707269.5"/>
    <n v="2292730.5"/>
    <n v="949900"/>
    <n v="1342830.5"/>
    <d v="2026-06-30T00:00:00"/>
    <d v="2026-06-30T00:00:00"/>
    <x v="5"/>
    <s v="Credit"/>
    <s v="60 Days from Invoice Date"/>
    <s v="Active"/>
  </r>
  <r>
    <s v="JLC7000002"/>
    <d v="2026-01-01T00:00:00"/>
    <s v="Riyadh Unity for Trading"/>
    <x v="4"/>
    <s v="FIRST FIX"/>
    <x v="6"/>
    <s v="SAR"/>
    <n v="500000"/>
    <n v="1"/>
    <n v="500000"/>
    <n v="326709.94"/>
    <n v="173290.06"/>
    <n v="0"/>
    <n v="173290.06"/>
    <d v="2026-10-01T00:00:00"/>
    <d v="2026-10-01T00:00:00"/>
    <x v="4"/>
    <s v="Credit"/>
    <s v="90 Days from Appln Rep Sign on Invoice"/>
    <s v="Active"/>
  </r>
  <r>
    <s v="J212030"/>
    <d v="2026-03-08T00:00:00"/>
    <s v="Safid Co Ltd"/>
    <x v="2"/>
    <s v="MBL/ICAD"/>
    <x v="3"/>
    <s v="SAR"/>
    <n v="500000"/>
    <n v="1"/>
    <n v="500000"/>
    <n v="0"/>
    <n v="500000"/>
    <n v="500000"/>
    <n v="0"/>
    <d v="2026-06-30T00:00:00"/>
    <d v="2026-06-20T00:00:00"/>
    <x v="2"/>
    <s v="Credit"/>
    <s v="90 Days From the Delivery Date"/>
    <s v="Active"/>
  </r>
  <r>
    <s v="ILC-0840-26-9418"/>
    <d v="2026-06-17T00:00:00"/>
    <s v="Saraya Al Andalus for Construction company"/>
    <x v="3"/>
    <s v="MBL"/>
    <x v="4"/>
    <s v="SAR"/>
    <n v="5000000"/>
    <n v="1"/>
    <n v="5000000"/>
    <n v="0"/>
    <n v="5000000"/>
    <n v="0"/>
    <n v="5000000"/>
    <d v="2026-10-31T00:00:00"/>
    <d v="2026-10-31T00:00:00"/>
    <x v="3"/>
    <s v="Credit"/>
    <s v="30 Days from Appl. Rep Sign on Invoice"/>
    <s v="Active"/>
  </r>
  <r>
    <s v="DCBWPM164003"/>
    <d v="2026-04-06T00:00:00"/>
    <s v="Saudi Electric Supply Company"/>
    <x v="0"/>
    <s v="FIRST FIX"/>
    <x v="0"/>
    <s v="SAR"/>
    <n v="1000000"/>
    <n v="1"/>
    <n v="1000000"/>
    <n v="0"/>
    <n v="1000000"/>
    <n v="1000000"/>
    <n v="0"/>
    <d v="2026-06-30T00:00:00"/>
    <d v="2026-06-30T00:00:00"/>
    <x v="0"/>
    <s v="Credit"/>
    <s v="90 Days from App Rep Sign on Invoice"/>
    <s v="Active"/>
  </r>
  <r>
    <s v="J212103"/>
    <d v="2026-04-07T00:00:00"/>
    <s v="Saudi Electric Supply Company Limited(SESCO)"/>
    <x v="2"/>
    <s v="MBL/ICAD"/>
    <x v="3"/>
    <s v="SAR"/>
    <n v="650000"/>
    <n v="1"/>
    <n v="650000"/>
    <n v="0"/>
    <n v="650000"/>
    <n v="0"/>
    <n v="650000"/>
    <d v="2026-06-09T00:00:00"/>
    <d v="2026-05-09T00:00:00"/>
    <x v="2"/>
    <s v="Credit"/>
    <s v="90 Days From the Delivery Date"/>
    <s v="Active"/>
  </r>
  <r>
    <s v="DCBWPM166284"/>
    <d v="2026-06-04T00:00:00"/>
    <s v="SAUDI ELECTRIC SUPPLY COMPANY."/>
    <x v="0"/>
    <s v="FIRST FIX"/>
    <x v="0"/>
    <s v="SAR"/>
    <n v="500000"/>
    <n v="1"/>
    <n v="500000"/>
    <n v="0"/>
    <n v="500000"/>
    <n v="0"/>
    <n v="500000"/>
    <d v="2026-08-31T00:00:00"/>
    <d v="2026-08-31T00:00:00"/>
    <x v="0"/>
    <s v="Credit"/>
    <s v="120 Days from Applicant representative sign on Invoice"/>
    <s v="Active"/>
  </r>
  <r>
    <s v="ILC-0840-25-8166"/>
    <d v="2025-08-26T00:00:00"/>
    <s v="SAUDI HEPCO CO LTD"/>
    <x v="3"/>
    <s v="FIRST FIX"/>
    <x v="4"/>
    <s v="SAR"/>
    <n v="250000"/>
    <n v="1"/>
    <n v="250000"/>
    <n v="0"/>
    <n v="250000"/>
    <n v="0"/>
    <n v="250000"/>
    <d v="2026-08-31T00:00:00"/>
    <d v="2026-08-31T00:00:00"/>
    <x v="3"/>
    <s v="Credit"/>
    <s v="90 Days from Invoice Date"/>
    <s v="Active"/>
  </r>
  <r>
    <s v="ILC-0840-25-7353"/>
    <d v="2025-02-27T00:00:00"/>
    <s v="Saudi Hepco Co. Ltd"/>
    <x v="3"/>
    <s v="FIRST FIX"/>
    <x v="4"/>
    <s v="SAR"/>
    <n v="863693.45"/>
    <n v="1"/>
    <n v="863693.45"/>
    <n v="0"/>
    <n v="863693.45"/>
    <n v="0"/>
    <n v="863693.45"/>
    <d v="2026-06-30T00:00:00"/>
    <d v="2026-06-30T00:00:00"/>
    <x v="3"/>
    <s v="Credit"/>
    <s v="90 Days from Invoice Date"/>
    <s v="Active"/>
  </r>
  <r>
    <s v="TF2527100024"/>
    <d v="2025-09-28T00:00:00"/>
    <s v="Saudi Perfect Pumps Trading &amp; Manufacturing Company"/>
    <x v="1"/>
    <s v="MBL"/>
    <x v="2"/>
    <s v="SAR"/>
    <n v="7670500"/>
    <n v="1"/>
    <n v="7670500"/>
    <n v="4347795.32"/>
    <n v="3322704.68"/>
    <n v="412500"/>
    <n v="2910204.68"/>
    <d v="2026-05-31T00:00:00"/>
    <d v="2026-05-31T00:00:00"/>
    <x v="1"/>
    <s v="Credit"/>
    <s v="45 Days from Delivery Date"/>
    <s v="Active"/>
  </r>
  <r>
    <s v="J212344"/>
    <d v="2026-06-04T00:00:00"/>
    <s v="Saudi Pro-Kitchen"/>
    <x v="2"/>
    <s v="MBL/ICAD"/>
    <x v="3"/>
    <s v="SAR"/>
    <n v="700000"/>
    <n v="1"/>
    <n v="700000"/>
    <n v="0"/>
    <n v="700000"/>
    <n v="0"/>
    <n v="700000"/>
    <d v="2026-08-02T00:00:00"/>
    <d v="2026-08-02T00:00:00"/>
    <x v="2"/>
    <s v="Credit"/>
    <s v="120 Days from Applicant representative sign on Invoice"/>
    <s v="Active"/>
  </r>
  <r>
    <s v="ILC-0840-25-7517"/>
    <d v="2025-04-09T00:00:00"/>
    <s v="SAUDI VITRIFIED CLAY PIPE CO"/>
    <x v="3"/>
    <s v="FIRST FIX"/>
    <x v="4"/>
    <s v="SAR"/>
    <n v="1033453.25"/>
    <n v="1"/>
    <n v="1033453.25"/>
    <n v="391176.24"/>
    <n v="642277.01"/>
    <n v="0"/>
    <n v="642277.01"/>
    <d v="2026-06-30T00:00:00"/>
    <d v="2026-06-30T00:00:00"/>
    <x v="3"/>
    <s v="Credit"/>
    <s v="90 Days from Invoice Date"/>
    <s v="Active"/>
  </r>
  <r>
    <s v="JLC7000003"/>
    <d v="2026-01-01T00:00:00"/>
    <s v="SCHNEIDER ELECTRIC SAUDI ARABIA CO"/>
    <x v="4"/>
    <s v="FIRST FIX"/>
    <x v="6"/>
    <s v="SAR"/>
    <n v="1350790.07"/>
    <n v="1"/>
    <n v="1350790.07"/>
    <n v="0"/>
    <n v="1350790.07"/>
    <n v="0"/>
    <n v="1350790.07"/>
    <d v="2026-10-01T00:00:00"/>
    <d v="2026-10-01T00:00:00"/>
    <x v="4"/>
    <s v="Credit"/>
    <s v="90 Days from Appln Rep Sign on Invoice"/>
    <s v="Active"/>
  </r>
  <r>
    <s v="JLC7000193"/>
    <d v="2026-02-04T00:00:00"/>
    <s v="Schneider Electric Saudi Arabia Co"/>
    <x v="4"/>
    <s v="FIRST FIX"/>
    <x v="6"/>
    <s v="SAR"/>
    <n v="750000"/>
    <n v="1"/>
    <n v="750000"/>
    <n v="0"/>
    <n v="750000"/>
    <n v="710700"/>
    <n v="39300"/>
    <d v="2026-04-30T00:00:00"/>
    <d v="2026-04-30T00:00:00"/>
    <x v="4"/>
    <s v="Credit"/>
    <s v="90 Days from Appln Rep Sign on Invoice"/>
    <s v="Active"/>
  </r>
  <r>
    <s v="DCBWPM564580"/>
    <d v="2025-08-26T00:00:00"/>
    <s v="Sika Saudi Arabia Co. Ltd."/>
    <x v="0"/>
    <s v="MBL"/>
    <x v="5"/>
    <s v="SAR"/>
    <n v="2741025"/>
    <n v="1"/>
    <n v="2741025"/>
    <n v="1641337.5"/>
    <n v="1099687.5"/>
    <n v="1099687.5"/>
    <n v="0"/>
    <d v="2026-06-30T00:00:00"/>
    <d v="2026-06-15T00:00:00"/>
    <x v="0"/>
    <s v="Credit"/>
    <s v="120 Days from the Invoice Date"/>
    <s v="Active"/>
  </r>
  <r>
    <s v="DCBWPM565850"/>
    <d v="2025-09-14T00:00:00"/>
    <s v="SITE TECHNOLOGY SAUDI ARABIA CO"/>
    <x v="0"/>
    <s v="FIRST FIX"/>
    <x v="0"/>
    <s v="SAR"/>
    <n v="300000"/>
    <n v="1"/>
    <n v="300000"/>
    <n v="0"/>
    <n v="300000"/>
    <n v="0"/>
    <n v="300000"/>
    <d v="2026-06-30T00:00:00"/>
    <d v="2026-06-30T00:00:00"/>
    <x v="0"/>
    <s v="Credit"/>
    <s v="120 Days from Invoice Date"/>
    <s v="Active"/>
  </r>
  <r>
    <s v="ILC-0840-25-7407"/>
    <d v="2025-03-06T00:00:00"/>
    <s v="SITE TECHNOLOGY SAUDI ARABIA LTD"/>
    <x v="3"/>
    <s v="FIRST FIX"/>
    <x v="4"/>
    <s v="SAR"/>
    <n v="527850.01"/>
    <n v="1"/>
    <n v="527850.01"/>
    <n v="263925"/>
    <n v="263925.01"/>
    <n v="0"/>
    <n v="263925.01"/>
    <d v="2026-06-30T00:00:00"/>
    <d v="2026-06-30T00:00:00"/>
    <x v="3"/>
    <s v="Credit"/>
    <s v="60 Days from Invoice Date"/>
    <s v="Active"/>
  </r>
  <r>
    <s v="TF2517400098"/>
    <d v="2025-06-23T00:00:00"/>
    <s v="SKM AIR CONDITIONING CO"/>
    <x v="1"/>
    <s v="FIRST FIX"/>
    <x v="9"/>
    <s v="SAR"/>
    <n v="922106.57"/>
    <n v="1"/>
    <n v="922106.57"/>
    <n v="207691.38"/>
    <n v="714415.19"/>
    <n v="702587.67"/>
    <n v="11827.52"/>
    <d v="2026-06-23T00:00:00"/>
    <d v="2026-06-23T00:00:00"/>
    <x v="1"/>
    <s v="Credit"/>
    <s v="120 Days from Invoice Date"/>
    <s v="Active"/>
  </r>
  <r>
    <s v="JLC7000004"/>
    <d v="2026-01-01T00:00:00"/>
    <s v="SKM Air Conditioning Company"/>
    <x v="4"/>
    <s v="FIRST FIX"/>
    <x v="6"/>
    <s v="SAR"/>
    <n v="500000"/>
    <n v="1"/>
    <n v="500000"/>
    <n v="0"/>
    <n v="500000"/>
    <n v="500000"/>
    <n v="0"/>
    <d v="2026-04-30T00:00:00"/>
    <d v="2026-04-30T00:00:00"/>
    <x v="4"/>
    <s v="Credit"/>
    <s v="90 Days from Appln Rep Sign on Invoice"/>
    <s v="Active"/>
  </r>
  <r>
    <s v="JLC7000185"/>
    <d v="2026-02-04T00:00:00"/>
    <s v="SKM Air Conditioning Company"/>
    <x v="4"/>
    <s v="FIRST FIX"/>
    <x v="6"/>
    <s v="SAR"/>
    <n v="500000"/>
    <n v="1"/>
    <n v="500000"/>
    <n v="0"/>
    <n v="500000"/>
    <n v="500000"/>
    <n v="0"/>
    <d v="2026-04-30T00:00:00"/>
    <d v="2026-04-30T00:00:00"/>
    <x v="4"/>
    <s v="Credit"/>
    <s v="90 Days from Appln Rep Sign on Invoice"/>
    <s v="Active"/>
  </r>
  <r>
    <s v="DCBWPM166282"/>
    <d v="2026-06-04T00:00:00"/>
    <s v="SPECTRA INTERNATIONAL TRADING COMPANY"/>
    <x v="0"/>
    <s v="FIRST FIX"/>
    <x v="0"/>
    <s v="SAR"/>
    <n v="250000"/>
    <n v="1"/>
    <n v="250000"/>
    <n v="0"/>
    <n v="250000"/>
    <n v="0"/>
    <n v="250000"/>
    <d v="2026-08-31T00:00:00"/>
    <d v="2026-08-31T00:00:00"/>
    <x v="0"/>
    <s v="Credit"/>
    <s v="120 Days from Applicant representative sign on Invoice"/>
    <s v="Active"/>
  </r>
  <r>
    <s v="TF2517700087"/>
    <d v="2025-06-26T00:00:00"/>
    <s v="STAR SQUARES CO LTD"/>
    <x v="1"/>
    <s v="FIRST FIX"/>
    <x v="9"/>
    <s v="SAR"/>
    <n v="250000"/>
    <n v="1"/>
    <n v="250000"/>
    <n v="0"/>
    <n v="250000"/>
    <n v="0"/>
    <n v="250000"/>
    <d v="2026-06-26T00:00:00"/>
    <d v="2026-06-26T00:00:00"/>
    <x v="1"/>
    <s v="Credit"/>
    <s v="120 Days from Invoice Date"/>
    <s v="Active"/>
  </r>
  <r>
    <s v="JLC7000192"/>
    <d v="2026-02-04T00:00:00"/>
    <s v="Systemair For Electrical Equipment Co."/>
    <x v="4"/>
    <s v="FIRST FIX"/>
    <x v="6"/>
    <s v="SAR"/>
    <n v="500000"/>
    <n v="1"/>
    <n v="500000"/>
    <n v="0"/>
    <n v="500000"/>
    <n v="0"/>
    <n v="500000"/>
    <d v="2026-10-01T00:00:00"/>
    <d v="2026-10-01T00:00:00"/>
    <x v="4"/>
    <s v="Credit"/>
    <s v="90 Days from Appln Rep Sign on Invoice"/>
    <s v="Active"/>
  </r>
  <r>
    <s v="DCBWPM166279"/>
    <d v="2026-06-04T00:00:00"/>
    <s v="Systemair For Electrical Equipment Co."/>
    <x v="0"/>
    <s v="FIRST FIX"/>
    <x v="0"/>
    <s v="SAR"/>
    <n v="300000"/>
    <n v="1"/>
    <n v="300000"/>
    <n v="0"/>
    <n v="300000"/>
    <n v="0"/>
    <n v="300000"/>
    <d v="2026-08-31T00:00:00"/>
    <d v="2026-08-31T00:00:00"/>
    <x v="0"/>
    <s v="Credit"/>
    <s v="120 Days from Applicant representative sign on Invoice"/>
    <s v="Active"/>
  </r>
  <r>
    <s v="DCBWPM567554"/>
    <d v="2025-10-16T00:00:00"/>
    <s v="TAWREED INTEGRATED INDUSTRIES"/>
    <x v="0"/>
    <s v="FIRST FIX"/>
    <x v="0"/>
    <s v="SAR"/>
    <n v="500000"/>
    <n v="1"/>
    <n v="500000"/>
    <n v="336122.53"/>
    <n v="163877.47"/>
    <n v="99498"/>
    <n v="64379.47"/>
    <d v="2026-06-30T00:00:00"/>
    <d v="2026-06-30T00:00:00"/>
    <x v="0"/>
    <s v="Credit"/>
    <s v="120 Days from Invoice Date"/>
    <s v="Active"/>
  </r>
  <r>
    <s v="DCBWPM166287"/>
    <d v="2026-06-04T00:00:00"/>
    <s v="TECHNICAL TOOLS TRADING CO."/>
    <x v="0"/>
    <s v="FIRST FIX"/>
    <x v="0"/>
    <s v="SAR"/>
    <n v="200000"/>
    <n v="1"/>
    <n v="200000"/>
    <n v="0"/>
    <n v="200000"/>
    <n v="0"/>
    <n v="200000"/>
    <d v="2026-08-31T00:00:00"/>
    <d v="2026-08-31T00:00:00"/>
    <x v="0"/>
    <s v="Credit"/>
    <s v="120 Days from Applicant representative sign on Invoice"/>
    <s v="Active"/>
  </r>
  <r>
    <s v="DCBWPM166274"/>
    <d v="2026-06-04T00:00:00"/>
    <s v="TEN POINTS EST."/>
    <x v="0"/>
    <s v="FIRST FIX"/>
    <x v="0"/>
    <s v="SAR"/>
    <n v="450000"/>
    <n v="1"/>
    <n v="450000"/>
    <n v="0"/>
    <n v="450000"/>
    <n v="0"/>
    <n v="450000"/>
    <d v="2026-08-31T00:00:00"/>
    <d v="2026-08-31T00:00:00"/>
    <x v="0"/>
    <s v="Credit"/>
    <s v="120 Days from Applicant representative sign on Invoice"/>
    <s v="Active"/>
  </r>
  <r>
    <s v="JLC7000005"/>
    <d v="2026-01-01T00:00:00"/>
    <s v="Teqniye Al-Majra For Contracting"/>
    <x v="4"/>
    <s v="FIRST FIX"/>
    <x v="6"/>
    <s v="SAR"/>
    <n v="500000"/>
    <n v="1"/>
    <n v="500000"/>
    <n v="0"/>
    <n v="500000"/>
    <n v="489669.97"/>
    <n v="10330.030000000001"/>
    <d v="2026-06-30T00:00:00"/>
    <d v="2026-06-30T00:00:00"/>
    <x v="4"/>
    <s v="Credit"/>
    <s v="90 Days from Appln Rep Sign on Invoice"/>
    <s v="Active"/>
  </r>
  <r>
    <s v="TF2604200011_A"/>
    <d v="2026-02-11T00:00:00"/>
    <s v="The Fundamental Installation For Electric Work Co"/>
    <x v="1"/>
    <s v="FIRST FIX"/>
    <x v="11"/>
    <s v="SAR"/>
    <n v="12000000"/>
    <n v="1"/>
    <n v="12000000"/>
    <n v="12000000"/>
    <n v="0"/>
    <n v="0"/>
    <n v="0"/>
    <d v="2026-06-30T00:00:00"/>
    <d v="2026-06-30T00:00:00"/>
    <x v="1"/>
    <s v="Credit"/>
    <s v="90 Days from Invoice Date"/>
    <s v="Active"/>
  </r>
  <r>
    <s v="TF2604200011_B"/>
    <d v="2026-02-11T00:00:00"/>
    <s v="The Fundamental Installation For Electric Work Co"/>
    <x v="1"/>
    <s v="FIRST FIX"/>
    <x v="8"/>
    <s v="SAR"/>
    <n v="19000000"/>
    <n v="1"/>
    <n v="19000000"/>
    <n v="13000000"/>
    <n v="6000000"/>
    <n v="6000000"/>
    <n v="0"/>
    <d v="2026-06-30T00:00:00"/>
    <d v="2026-06-30T00:00:00"/>
    <x v="1"/>
    <s v="Credit"/>
    <s v="90 Days from Invoice Date"/>
    <s v="Active"/>
  </r>
  <r>
    <s v="TF2604200011_C"/>
    <d v="2026-03-10T00:00:00"/>
    <s v="The Fundamental Installation For Electric Work Co"/>
    <x v="1"/>
    <s v="FIRST FIX"/>
    <x v="7"/>
    <s v="SAR"/>
    <n v="50000000"/>
    <n v="1"/>
    <n v="50000000"/>
    <n v="50000000"/>
    <n v="0"/>
    <n v="0"/>
    <n v="0"/>
    <d v="2026-06-30T00:00:00"/>
    <d v="2026-06-30T00:00:00"/>
    <x v="1"/>
    <s v="Credit"/>
    <s v="90 Days from Invoice Date"/>
    <s v="Active"/>
  </r>
  <r>
    <s v="ILC-0840-26-9073"/>
    <d v="2026-03-10T00:00:00"/>
    <s v="The Fundamental Installation For Electric Work Co"/>
    <x v="3"/>
    <s v="FIRST FIX"/>
    <x v="7"/>
    <s v="SAR"/>
    <n v="67000000"/>
    <n v="1"/>
    <n v="67000000"/>
    <n v="25000000"/>
    <n v="42000000"/>
    <n v="42000000"/>
    <n v="0"/>
    <d v="2026-06-30T00:00:00"/>
    <d v="2026-06-30T00:00:00"/>
    <x v="3"/>
    <s v="Credit"/>
    <s v="90 Days from Invoice Date"/>
    <s v="Active"/>
  </r>
  <r>
    <s v="DCBWPM163417"/>
    <d v="2026-03-16T00:00:00"/>
    <s v="The Fundamental Installation For Electric Work Co"/>
    <x v="0"/>
    <s v="FIRST FIX"/>
    <x v="0"/>
    <s v="SAR"/>
    <n v="14000000"/>
    <n v="1"/>
    <n v="14000000"/>
    <n v="10000000"/>
    <n v="4000000"/>
    <n v="4000000"/>
    <n v="0"/>
    <d v="2026-08-31T00:00:00"/>
    <d v="2026-08-31T00:00:00"/>
    <x v="0"/>
    <s v="Credit"/>
    <s v="90 Days from Invoice Date"/>
    <s v="Active"/>
  </r>
  <r>
    <s v="DCBWPM165765"/>
    <d v="2026-05-19T00:00:00"/>
    <s v="TRINDEL ARABIA LTD. CO"/>
    <x v="0"/>
    <s v="MBL/ICAD"/>
    <x v="5"/>
    <s v="SAR"/>
    <n v="772046"/>
    <n v="1"/>
    <n v="772046"/>
    <n v="0"/>
    <n v="772046"/>
    <n v="0"/>
    <n v="772046"/>
    <d v="2026-07-31T00:00:00"/>
    <d v="2026-07-10T00:00:00"/>
    <x v="0"/>
    <s v="Credit"/>
    <s v="90 Days from Appln Rep Sign on Invoice"/>
    <s v="Active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x v="0"/>
    <n v="270865.19"/>
  </r>
  <r>
    <x v="0"/>
    <n v="500000"/>
  </r>
  <r>
    <x v="0"/>
    <n v="150000"/>
  </r>
  <r>
    <x v="0"/>
    <n v="200000"/>
  </r>
  <r>
    <x v="0"/>
    <n v="400000"/>
  </r>
  <r>
    <x v="0"/>
    <n v="500000"/>
  </r>
  <r>
    <x v="0"/>
    <n v="500000"/>
  </r>
  <r>
    <x v="0"/>
    <n v="300000"/>
  </r>
  <r>
    <x v="0"/>
    <n v="300000"/>
  </r>
  <r>
    <x v="0"/>
    <n v="257626.45"/>
  </r>
  <r>
    <x v="0"/>
    <n v="200000"/>
  </r>
  <r>
    <x v="1"/>
    <n v="24490379"/>
  </r>
  <r>
    <x v="2"/>
    <n v="8200000"/>
  </r>
  <r>
    <x v="3"/>
    <n v="10000000"/>
  </r>
  <r>
    <x v="3"/>
    <n v="3000000"/>
  </r>
  <r>
    <x v="0"/>
    <n v="15600000"/>
  </r>
  <r>
    <x v="4"/>
    <n v="1500000"/>
  </r>
  <r>
    <x v="4"/>
    <n v="2000000"/>
  </r>
  <r>
    <x v="4"/>
    <n v="2000000"/>
  </r>
  <r>
    <x v="4"/>
    <n v="700000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m/>
    <d v="2026-04-13T00:00:00"/>
    <s v="Luis Puente"/>
    <s v="Submitted to Bank"/>
    <x v="0"/>
    <x v="0"/>
    <s v="Innovative Contractors for Advanced Dimension (ICAD)"/>
    <s v="MBL"/>
    <x v="0"/>
    <n v="1020096"/>
    <s v="SAR"/>
    <n v="3000000"/>
    <n v="1"/>
    <n v="3000000"/>
    <d v="2026-07-31T00:00:00"/>
    <d v="2026-07-31T00:00:00"/>
    <s v="Credit"/>
    <s v="60 Days from Applicant representative sign on Invoice"/>
    <m/>
    <m/>
    <m/>
    <n v="0"/>
    <s v="to bank on 15-04 | Facility Issue"/>
    <s v="Active"/>
  </r>
  <r>
    <m/>
    <d v="2026-04-15T00:00:00"/>
    <s v="Tareeq Telmasani"/>
    <s v="Ready for Submission"/>
    <x v="1"/>
    <x v="1"/>
    <s v="Metallurgical Corporation of China Ltd (MCC) Saudi Branch."/>
    <s v="MBL"/>
    <x v="1"/>
    <n v="1020091"/>
    <s v="SAR"/>
    <n v="209346521"/>
    <n v="1"/>
    <n v="209346521"/>
    <d v="2027-02-01T00:00:00"/>
    <d v="2027-02-01T00:00:00"/>
    <s v="Credit"/>
    <s v="14 Days after Sight"/>
    <m/>
    <m/>
    <m/>
    <n v="0"/>
    <s v="Shaikh Sign Pending"/>
    <s v="Active"/>
  </r>
  <r>
    <m/>
    <d v="2026-06-17T00:00:00"/>
    <s v="Tareeq Telmasani"/>
    <s v="Ready for Submission"/>
    <x v="1"/>
    <x v="1"/>
    <s v="KINGSPAN INSULATED PANELS MANUFACTURING LLC"/>
    <s v="MBL"/>
    <x v="1"/>
    <n v="1020091"/>
    <s v="SAR"/>
    <n v="77325315.5"/>
    <n v="1"/>
    <n v="77325315.5"/>
    <d v="2026-10-30T00:00:00"/>
    <d v="2026-09-30T00:00:00"/>
    <s v="Credit"/>
    <s v="120 Days from Invoice Date"/>
    <m/>
    <m/>
    <m/>
    <n v="0"/>
    <s v="GA received | Specimen Pending for Tareq Sir Sign"/>
    <s v="Active"/>
  </r>
  <r>
    <m/>
    <d v="2026-06-22T00:00:00"/>
    <s v="Hassan Taleb"/>
    <s v="Submitted to Bank"/>
    <x v="2"/>
    <x v="2"/>
    <s v="Metal and Glass Trading Co One Person"/>
    <s v="FIRST FIX"/>
    <x v="2"/>
    <n v="1020106"/>
    <s v="SAR"/>
    <n v="3422137.8"/>
    <n v="1"/>
    <n v="3422137.8"/>
    <d v="2026-09-30T00:00:00"/>
    <d v="2026-09-30T00:00:00"/>
    <s v="Credit"/>
    <s v="90 Days from Applicant representative sign on Invoice"/>
    <m/>
    <m/>
    <m/>
    <n v="0"/>
    <s v="to bank on 23-06"/>
    <s v="Active"/>
  </r>
  <r>
    <m/>
    <d v="2026-06-22T00:00:00"/>
    <s v="Rabih Makhoul"/>
    <s v="Submitted to Bank"/>
    <x v="3"/>
    <x v="3"/>
    <s v="Al Arabia Construction &amp; Building Co."/>
    <s v="MBL"/>
    <x v="3"/>
    <n v="1020107"/>
    <s v="SAR"/>
    <n v="1017646"/>
    <n v="1"/>
    <n v="1017646"/>
    <d v="2026-10-31T00:00:00"/>
    <d v="2026-10-31T00:00:00"/>
    <s v="Credit"/>
    <s v="45 Days from the Invoice Date"/>
    <m/>
    <m/>
    <m/>
    <n v="0"/>
    <s v="to bank on 23-06"/>
    <s v="Active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3">
  <r>
    <s v="DCBWPM166276"/>
    <d v="2026-06-04T00:00:00"/>
    <s v="AFAQ AL MALAZ TRADING CO.LTD."/>
    <x v="0"/>
    <x v="0"/>
    <x v="0"/>
    <x v="0"/>
    <s v="SAR"/>
    <n v="200000"/>
    <n v="1"/>
    <n v="200000"/>
    <n v="0"/>
    <n v="0"/>
    <n v="200000"/>
    <d v="2026-08-31T00:00:00"/>
    <d v="2026-08-31T00:00:00"/>
    <s v="120 Days from Applicant representative sign on Invoice"/>
    <m/>
  </r>
  <r>
    <s v="DCBWPM160342"/>
    <d v="2026-01-14T00:00:00"/>
    <s v="BROOQ ALAMAAN TRAD COMPANY"/>
    <x v="0"/>
    <x v="0"/>
    <x v="0"/>
    <x v="0"/>
    <s v="SAR"/>
    <n v="500000"/>
    <n v="1"/>
    <n v="500000"/>
    <n v="0"/>
    <n v="365011.38"/>
    <n v="134988.62"/>
    <d v="2026-06-30T00:00:00"/>
    <d v="2026-06-30T00:00:00"/>
    <s v="90 Days from Applicant representative sign on Invoice"/>
    <s v="05/07/2026"/>
  </r>
  <r>
    <s v="TF2531600062"/>
    <d v="2025-11-12T00:00:00"/>
    <s v="AI-Hadbania Trading Co."/>
    <x v="0"/>
    <x v="1"/>
    <x v="1"/>
    <x v="0"/>
    <s v="SAR"/>
    <n v="3487033.23"/>
    <n v="1"/>
    <n v="3487033.23"/>
    <n v="1989866.83"/>
    <n v="0"/>
    <n v="1497166.4"/>
    <d v="2026-06-30T00:00:00"/>
    <d v="2026-06-30T00:00:00"/>
    <s v="90 Days from Applicant representative sign on Invoice"/>
    <m/>
  </r>
  <r>
    <s v="DCBWPM160343"/>
    <d v="2026-01-15T00:00:00"/>
    <s v="BAHRA ADVANCED CABLE MANUFACTURE CO. LTD"/>
    <x v="0"/>
    <x v="0"/>
    <x v="0"/>
    <x v="0"/>
    <s v="SAR"/>
    <n v="1500000"/>
    <n v="1"/>
    <n v="1500000"/>
    <n v="0"/>
    <n v="1377731.72"/>
    <n v="122268.28"/>
    <d v="2026-06-30T00:00:00"/>
    <d v="2026-06-30T00:00:00"/>
    <s v="90 Days from Applicant representative sign on Invoice"/>
    <s v="02/08/2026"/>
  </r>
  <r>
    <s v="DCBWPM162993"/>
    <d v="2026-03-05T00:00:00"/>
    <s v="Ajzal United for Safety CO.LTD."/>
    <x v="0"/>
    <x v="0"/>
    <x v="0"/>
    <x v="0"/>
    <s v="SAR"/>
    <n v="600000"/>
    <n v="1"/>
    <n v="600000"/>
    <n v="0"/>
    <n v="511689.33"/>
    <n v="88310.67"/>
    <d v="2026-08-31T00:00:00"/>
    <d v="2026-08-31T00:00:00"/>
    <s v="90 Days from Applicant representative sign on Invoice"/>
    <s v="05/07/2026 , 14/07/2026"/>
  </r>
  <r>
    <s v="DCBWPM163990"/>
    <d v="2026-04-06T00:00:00"/>
    <s v="Ajzal United for Safety CO.LTD."/>
    <x v="0"/>
    <x v="0"/>
    <x v="0"/>
    <x v="0"/>
    <s v="SAR"/>
    <n v="175000"/>
    <n v="1"/>
    <n v="175000"/>
    <n v="0"/>
    <n v="0"/>
    <n v="175000"/>
    <d v="2026-06-30T00:00:00"/>
    <d v="2026-06-30T00:00:00"/>
    <s v="90 Days from App Rep Sign on Invoice"/>
    <m/>
  </r>
  <r>
    <s v="DCBWPM160363"/>
    <d v="2026-01-14T00:00:00"/>
    <s v="Arabian International Company For Contracting"/>
    <x v="0"/>
    <x v="0"/>
    <x v="0"/>
    <x v="0"/>
    <s v="SAR"/>
    <n v="900000"/>
    <n v="1"/>
    <n v="900000"/>
    <n v="0"/>
    <n v="900000"/>
    <n v="0"/>
    <d v="2026-06-30T00:00:00"/>
    <d v="2026-06-30T00:00:00"/>
    <s v="90 Days from Applicant representative sign on Invoice"/>
    <s v="30/08/2026"/>
  </r>
  <r>
    <s v="DCBWPM163995"/>
    <d v="2026-04-06T00:00:00"/>
    <s v="Aknan Alkhair Tranding Est"/>
    <x v="0"/>
    <x v="0"/>
    <x v="0"/>
    <x v="0"/>
    <s v="SAR"/>
    <n v="125000"/>
    <n v="1"/>
    <n v="125000"/>
    <n v="0"/>
    <n v="125000"/>
    <n v="0"/>
    <d v="2026-06-30T00:00:00"/>
    <d v="2026-06-30T00:00:00"/>
    <s v="90 Days from App Rep Sign on Invoice"/>
    <s v="19/07/2026"/>
  </r>
  <r>
    <s v="TF2523000034"/>
    <d v="2025-08-18T00:00:00"/>
    <s v="Al Arabia Construction &amp; Building Co."/>
    <x v="1"/>
    <x v="2"/>
    <x v="1"/>
    <x v="0"/>
    <s v="SAR"/>
    <n v="3009600"/>
    <n v="1"/>
    <n v="3009600"/>
    <n v="1850554.97"/>
    <n v="0"/>
    <n v="1159045.03"/>
    <d v="2026-08-18T00:00:00"/>
    <d v="2026-08-18T00:00:00"/>
    <s v="45 Days from the Invoice Date"/>
    <m/>
  </r>
  <r>
    <s v="J212228"/>
    <d v="2026-04-28T00:00:00"/>
    <s v="Al Dhow Gulf Company for Trading and Contracting Ltd"/>
    <x v="2"/>
    <x v="3"/>
    <x v="2"/>
    <x v="0"/>
    <s v="SAR"/>
    <n v="6000000"/>
    <n v="1"/>
    <n v="6000000"/>
    <n v="0"/>
    <n v="0"/>
    <n v="6000000"/>
    <d v="2026-10-30T00:00:00"/>
    <d v="2026-10-30T00:00:00"/>
    <s v="90 Days From the Delivery Date"/>
    <m/>
  </r>
  <r>
    <s v="DCBWPM162992"/>
    <d v="2026-03-05T00:00:00"/>
    <s v="Al NAKHEEL FOR TRADING COMPANY"/>
    <x v="0"/>
    <x v="0"/>
    <x v="0"/>
    <x v="0"/>
    <s v="SAR"/>
    <n v="1870380.07"/>
    <n v="1"/>
    <n v="1870380.07"/>
    <n v="0"/>
    <n v="1309266"/>
    <n v="561114.06999999995"/>
    <d v="2026-08-31T00:00:00"/>
    <d v="2026-08-31T00:00:00"/>
    <s v="90 Days from Applicant representative sign on Invoice"/>
    <s v="08/07/2026"/>
  </r>
  <r>
    <s v="ILC-0840-25-8159"/>
    <d v="2025-08-26T00:00:00"/>
    <s v="AL FALWA CO. LTD. FOR READYMIX CONCRETE"/>
    <x v="1"/>
    <x v="4"/>
    <x v="3"/>
    <x v="0"/>
    <s v="SAR"/>
    <n v="10000000"/>
    <n v="1"/>
    <n v="10000000"/>
    <n v="2924152.4000000004"/>
    <n v="0"/>
    <n v="7075847.5999999996"/>
    <d v="2026-12-31T00:00:00"/>
    <d v="2026-12-31T00:00:00"/>
    <s v="60 Days from Invoice Date"/>
    <m/>
  </r>
  <r>
    <s v="DCBWPM163999"/>
    <d v="2026-04-06T00:00:00"/>
    <s v="Al Maymanah For Contracting Co. Ltd."/>
    <x v="0"/>
    <x v="0"/>
    <x v="0"/>
    <x v="0"/>
    <s v="SAR"/>
    <n v="500000"/>
    <n v="1"/>
    <n v="500000"/>
    <n v="0"/>
    <n v="500000"/>
    <n v="0"/>
    <d v="2026-06-30T00:00:00"/>
    <d v="2026-06-30T00:00:00"/>
    <s v="90 Days from App Rep Sign on Invoice"/>
    <s v="14/07/2026"/>
  </r>
  <r>
    <s v="DCBWPM166944"/>
    <d v="2026-06-23T00:00:00"/>
    <s v="AL RAMSAT CONTRACTING COMPANY"/>
    <x v="1"/>
    <x v="5"/>
    <x v="0"/>
    <x v="0"/>
    <s v="SAR"/>
    <n v="2000000"/>
    <n v="1"/>
    <n v="2000000"/>
    <n v="0"/>
    <n v="0"/>
    <n v="2000000"/>
    <d v="2026-11-20T00:00:00"/>
    <d v="2026-11-20T00:00:00"/>
    <s v="60 Days from Invoice Date"/>
    <m/>
  </r>
  <r>
    <s v="J211836"/>
    <d v="2026-01-20T00:00:00"/>
    <s v="Al Talal Modern Est"/>
    <x v="2"/>
    <x v="3"/>
    <x v="2"/>
    <x v="0"/>
    <s v="SAR"/>
    <n v="400000"/>
    <n v="1"/>
    <n v="400000"/>
    <n v="0"/>
    <n v="0"/>
    <n v="400000"/>
    <d v="2026-05-31T00:00:00"/>
    <d v="2026-05-21T00:00:00"/>
    <s v="90 Days From the Delivery Date"/>
    <m/>
  </r>
  <r>
    <s v="JLC7000007"/>
    <d v="2026-01-01T00:00:00"/>
    <s v="ALFANAR ELECTRICAL SYSTEMS"/>
    <x v="0"/>
    <x v="6"/>
    <x v="4"/>
    <x v="0"/>
    <s v="SAR"/>
    <n v="1044853.45"/>
    <n v="1"/>
    <n v="1044853.45"/>
    <n v="0"/>
    <n v="567743.27"/>
    <n v="477110.18"/>
    <d v="2026-10-01T00:00:00"/>
    <d v="2026-10-01T00:00:00"/>
    <s v="90 Days from Appln Rep Sign on Invoice"/>
    <s v="02/08/2026"/>
  </r>
  <r>
    <s v="DCBWPM163953"/>
    <d v="2026-04-06T00:00:00"/>
    <s v="Atiaf International Trading Company"/>
    <x v="0"/>
    <x v="0"/>
    <x v="0"/>
    <x v="0"/>
    <s v="SAR"/>
    <n v="150000"/>
    <n v="1"/>
    <n v="150000"/>
    <n v="0"/>
    <n v="93855.09"/>
    <n v="56144.91"/>
    <d v="2026-06-30T00:00:00"/>
    <d v="2026-06-30T00:00:00"/>
    <s v="90 Days from App Rep Sign on Invoice"/>
    <s v="01/08/2026"/>
  </r>
  <r>
    <s v="ILC-0840-26-8820"/>
    <d v="2026-01-11T00:00:00"/>
    <s v="ALFANAR ELECTRICAL SYSTEMS"/>
    <x v="0"/>
    <x v="4"/>
    <x v="3"/>
    <x v="0"/>
    <s v="SAR"/>
    <n v="1500000"/>
    <n v="1"/>
    <n v="1500000"/>
    <n v="1478254.88"/>
    <n v="0"/>
    <n v="21745.119999999999"/>
    <d v="2026-05-31T00:00:00"/>
    <d v="2026-05-31T00:00:00"/>
    <s v="90 Days from Applicant representative sign on Invoice"/>
    <m/>
  </r>
  <r>
    <s v="DCBWPM166267"/>
    <d v="2026-06-04T00:00:00"/>
    <s v="ALGHAMDI COMPANY FOR SANITARY WARES"/>
    <x v="0"/>
    <x v="0"/>
    <x v="0"/>
    <x v="0"/>
    <s v="SAR"/>
    <n v="350000"/>
    <n v="1"/>
    <n v="350000"/>
    <n v="0"/>
    <n v="0"/>
    <n v="350000"/>
    <d v="2026-08-31T00:00:00"/>
    <d v="2026-08-31T00:00:00"/>
    <s v="120 Days from Applicant representative sign on Invoice"/>
    <m/>
  </r>
  <r>
    <s v="DCBWPM163961"/>
    <d v="2026-04-06T00:00:00"/>
    <s v="Ali Manea Alyami Trading Est."/>
    <x v="0"/>
    <x v="0"/>
    <x v="0"/>
    <x v="0"/>
    <s v="SAR"/>
    <n v="450000"/>
    <n v="1"/>
    <n v="450000"/>
    <n v="0"/>
    <n v="0"/>
    <n v="450000"/>
    <d v="2026-06-30T00:00:00"/>
    <d v="2026-06-30T00:00:00"/>
    <s v="90 Days from App Rep Sign on Invoice"/>
    <m/>
  </r>
  <r>
    <s v="DCBWPM166294"/>
    <d v="2026-06-04T00:00:00"/>
    <s v="Ali Manea Alyami Trading Est."/>
    <x v="0"/>
    <x v="0"/>
    <x v="0"/>
    <x v="0"/>
    <s v="SAR"/>
    <n v="200000"/>
    <n v="1"/>
    <n v="200000"/>
    <n v="0"/>
    <n v="0"/>
    <n v="200000"/>
    <d v="2026-08-31T00:00:00"/>
    <d v="2026-08-31T00:00:00"/>
    <s v="120 Days from Applicant representative sign on Invoice"/>
    <m/>
  </r>
  <r>
    <s v="DCBWPM160340"/>
    <d v="2026-01-18T00:00:00"/>
    <s v="AlJammaz Hydrotek"/>
    <x v="3"/>
    <x v="7"/>
    <x v="0"/>
    <x v="0"/>
    <s v="SAR"/>
    <n v="1269458.03"/>
    <n v="1"/>
    <n v="1269458.03"/>
    <n v="0"/>
    <n v="0"/>
    <n v="1269458.03"/>
    <d v="2026-06-01T00:00:00"/>
    <d v="2026-05-10T00:00:00"/>
    <s v="45 Days from Invoice Date"/>
    <m/>
  </r>
  <r>
    <s v="J211485"/>
    <d v="2025-11-06T00:00:00"/>
    <s v="ALNAFIE METAL INDUSTRIES CO LTD"/>
    <x v="4"/>
    <x v="3"/>
    <x v="2"/>
    <x v="0"/>
    <s v="SAR"/>
    <n v="18703391.850000001"/>
    <n v="1"/>
    <n v="18703391.850000001"/>
    <n v="17787660.100000001"/>
    <n v="0"/>
    <n v="915731.75"/>
    <d v="2026-08-31T00:00:00"/>
    <d v="2026-08-31T00:00:00"/>
    <s v="90 Days from Invoice Date"/>
    <m/>
  </r>
  <r>
    <s v="J212139"/>
    <d v="2026-04-12T00:00:00"/>
    <s v="ALNAFIE METAL INDUSTRIES CO LTD"/>
    <x v="5"/>
    <x v="3"/>
    <x v="2"/>
    <x v="0"/>
    <s v="SAR"/>
    <n v="7446132.75"/>
    <n v="1"/>
    <n v="7446132.75"/>
    <n v="2500000"/>
    <n v="0"/>
    <n v="4946132.75"/>
    <d v="2026-09-30T00:00:00"/>
    <d v="2026-08-31T00:00:00"/>
    <s v="60 Days from Invoice Date"/>
    <m/>
  </r>
  <r>
    <s v="ILC-0840-25-8427"/>
    <d v="2025-10-21T00:00:00"/>
    <s v="Alrashid Trading and Contracting Company"/>
    <x v="1"/>
    <x v="4"/>
    <x v="3"/>
    <x v="0"/>
    <s v="SAR"/>
    <n v="16731764"/>
    <n v="1"/>
    <n v="16731764"/>
    <n v="5732513.5999999996"/>
    <n v="0"/>
    <n v="10999250.4"/>
    <d v="2026-06-26T00:00:00"/>
    <d v="2026-06-26T00:00:00"/>
    <s v="30 Days From Invoice Date"/>
    <m/>
  </r>
  <r>
    <s v="DCBWPM166296"/>
    <d v="2026-06-04T00:00:00"/>
    <s v="Al-Sayed Center A/C for Materials Company"/>
    <x v="0"/>
    <x v="0"/>
    <x v="0"/>
    <x v="0"/>
    <s v="SAR"/>
    <n v="200000"/>
    <n v="1"/>
    <n v="200000"/>
    <n v="0"/>
    <n v="0"/>
    <n v="200000"/>
    <d v="2026-08-31T00:00:00"/>
    <d v="2026-08-31T00:00:00"/>
    <s v="120 Days from Applicant representative sign on Invoice"/>
    <m/>
  </r>
  <r>
    <s v="DCBWPM565843"/>
    <d v="2025-09-14T00:00:00"/>
    <s v="BAHRA ADVANCED CABLE MANUFACTURE CO. LTD."/>
    <x v="0"/>
    <x v="0"/>
    <x v="0"/>
    <x v="0"/>
    <s v="SAR"/>
    <n v="1500000"/>
    <n v="1"/>
    <n v="1500000"/>
    <n v="1071489.43"/>
    <n v="427806.8"/>
    <n v="703.77"/>
    <d v="2026-06-30T00:00:00"/>
    <d v="2026-06-30T00:00:00"/>
    <s v="120 Days from Invoice Date"/>
    <s v="16/07/2026"/>
  </r>
  <r>
    <s v="DCBWPM563232"/>
    <d v="2025-08-05T00:00:00"/>
    <s v="Alshrkt Mzaya Almttwrt Alsnaayt shkhs Wahd"/>
    <x v="0"/>
    <x v="7"/>
    <x v="0"/>
    <x v="0"/>
    <s v="SAR"/>
    <n v="500000"/>
    <n v="1"/>
    <n v="500000"/>
    <n v="98871.6"/>
    <n v="0"/>
    <n v="401128.4"/>
    <d v="2026-06-30T00:00:00"/>
    <d v="2026-06-30T00:00:00"/>
    <s v="120 Days from Appl. Representative Sign"/>
    <m/>
  </r>
  <r>
    <s v="DCBWPM566634"/>
    <d v="2025-09-29T00:00:00"/>
    <s v="BROOQ ALAMAAN TRAD COMPANY"/>
    <x v="0"/>
    <x v="0"/>
    <x v="0"/>
    <x v="0"/>
    <s v="SAR"/>
    <n v="400000"/>
    <n v="1"/>
    <n v="400000"/>
    <n v="347240.48"/>
    <n v="52759.519999999997"/>
    <n v="0"/>
    <d v="2026-04-30T00:00:00"/>
    <d v="2026-04-30T00:00:00"/>
    <s v="120 Days from Invoice Date"/>
    <s v="03/08/2026"/>
  </r>
  <r>
    <s v="ILC-0840-26-9256"/>
    <d v="2026-05-07T00:00:00"/>
    <s v="Al-Tawi READY -MIX FACTORY"/>
    <x v="1"/>
    <x v="4"/>
    <x v="3"/>
    <x v="0"/>
    <s v="SAR"/>
    <n v="600000"/>
    <n v="1"/>
    <n v="600000"/>
    <n v="0"/>
    <n v="0"/>
    <n v="600000"/>
    <d v="2026-07-31T00:00:00"/>
    <d v="2026-07-31T00:00:00"/>
    <s v="90 Days From Appl sign on Invoice"/>
    <m/>
  </r>
  <r>
    <s v="TF2610500019"/>
    <d v="2026-04-15T00:00:00"/>
    <s v="Anixter Saudi Arabia Ltd"/>
    <x v="6"/>
    <x v="8"/>
    <x v="1"/>
    <x v="0"/>
    <s v="SAR"/>
    <n v="5693645.4199999999"/>
    <n v="1"/>
    <n v="5693645.4199999999"/>
    <n v="0"/>
    <n v="0"/>
    <n v="5693645.4199999999"/>
    <d v="2026-06-20T00:00:00"/>
    <d v="2026-06-20T00:00:00"/>
    <s v="60 Days from Invoice Date"/>
    <m/>
  </r>
  <r>
    <s v="DCBWPM567556"/>
    <d v="2025-10-16T00:00:00"/>
    <s v="Building System Intelligent Est."/>
    <x v="0"/>
    <x v="0"/>
    <x v="0"/>
    <x v="0"/>
    <s v="SAR"/>
    <n v="558949"/>
    <n v="1"/>
    <n v="558949"/>
    <n v="300966.99"/>
    <n v="106205.87"/>
    <n v="151776.14000000001"/>
    <d v="2026-06-30T00:00:00"/>
    <d v="2026-06-30T00:00:00"/>
    <s v="120 Days from Invoice Date"/>
    <s v="28/06/2026"/>
  </r>
  <r>
    <s v="J212290"/>
    <d v="2026-06-11T00:00:00"/>
    <s v="APLUS TRADE MIKE"/>
    <x v="7"/>
    <x v="3"/>
    <x v="2"/>
    <x v="0"/>
    <s v="EUR"/>
    <n v="6040641.79"/>
    <n v="4.3899999999999997"/>
    <n v="26518417.458099999"/>
    <n v="0"/>
    <n v="0"/>
    <n v="26518417.460000001"/>
    <d v="2026-12-31T00:00:00"/>
    <d v="2026-12-31T00:00:00"/>
    <s v="90 Days from Invoice Date"/>
    <m/>
  </r>
  <r>
    <s v="J211681"/>
    <d v="2025-12-18T00:00:00"/>
    <s v="APS ARABIAN CONTRACTING COMPANY"/>
    <x v="4"/>
    <x v="3"/>
    <x v="2"/>
    <x v="0"/>
    <s v="SAR"/>
    <n v="2072033.2"/>
    <n v="1"/>
    <n v="2072033.2"/>
    <n v="463730.6"/>
    <n v="652505.4"/>
    <n v="955797.2"/>
    <d v="2026-09-30T00:00:00"/>
    <d v="2026-09-30T00:00:00"/>
    <s v="60 Days from Invoice Date"/>
    <s v="02/07/2026"/>
  </r>
  <r>
    <s v="DCBWPM570384"/>
    <d v="2025-12-01T00:00:00"/>
    <s v="Daikin Air Conditioning Saudi Arabia "/>
    <x v="0"/>
    <x v="0"/>
    <x v="0"/>
    <x v="0"/>
    <s v="SAR"/>
    <n v="628258.81000000006"/>
    <n v="1"/>
    <n v="628258.81000000006"/>
    <n v="0"/>
    <n v="487718.69"/>
    <n v="140540.12"/>
    <d v="2026-06-30T00:00:00"/>
    <d v="2026-06-30T00:00:00"/>
    <s v="120 Days from Invoice Date"/>
    <s v="24/08/2026 , 05/07/2026"/>
  </r>
  <r>
    <s v="TF2610500016"/>
    <d v="2026-04-15T00:00:00"/>
    <s v="APTEC SAUDI ARABIA"/>
    <x v="6"/>
    <x v="8"/>
    <x v="1"/>
    <x v="0"/>
    <s v="SAR"/>
    <n v="5120131"/>
    <n v="1"/>
    <n v="5120131"/>
    <n v="0"/>
    <n v="0"/>
    <n v="5120131"/>
    <d v="2026-08-31T00:00:00"/>
    <d v="2025-10-25T00:00:00"/>
    <s v="60 Days from Invoice Date"/>
    <m/>
  </r>
  <r>
    <s v="DCBWPM166271"/>
    <d v="2026-06-04T00:00:00"/>
    <s v="Arabian International Company For Contracting"/>
    <x v="0"/>
    <x v="0"/>
    <x v="0"/>
    <x v="0"/>
    <s v="SAR"/>
    <n v="500000"/>
    <n v="1"/>
    <n v="500000"/>
    <n v="0"/>
    <n v="0"/>
    <n v="500000"/>
    <d v="2026-08-31T00:00:00"/>
    <d v="2026-08-31T00:00:00"/>
    <s v="120 Days from Applicant representative sign on Invoice"/>
    <m/>
  </r>
  <r>
    <s v="JLC6701731"/>
    <d v="2023-08-30T00:00:00"/>
    <s v="ATELIER HOSPITALITY SRL"/>
    <x v="1"/>
    <x v="9"/>
    <x v="4"/>
    <x v="1"/>
    <s v="EUR"/>
    <n v="50762045.400000006"/>
    <n v="4.1680000000000001"/>
    <n v="211576205.22720003"/>
    <n v="210445911.24020118"/>
    <n v="0"/>
    <n v="1130293.99"/>
    <d v="2026-06-30T00:00:00"/>
    <d v="2025-04-15T00:00:00"/>
    <s v="30 days from the date of comm. inv."/>
    <m/>
  </r>
  <r>
    <s v="J210104"/>
    <d v="2025-03-11T00:00:00"/>
    <s v="BBH-CHEMTROL INTERNATIONAL ORGANIZATION S.L"/>
    <x v="2"/>
    <x v="3"/>
    <x v="2"/>
    <x v="0"/>
    <s v="EUR"/>
    <n v="10500000"/>
    <n v="4.056"/>
    <n v="42588000"/>
    <n v="12335918.542009998"/>
    <n v="9527337.3100000005"/>
    <n v="20724744.149999999"/>
    <d v="2027-01-21T00:00:00"/>
    <d v="2026-12-09T00:00:00"/>
    <s v="30 Days from Shipment Date"/>
    <s v="25/06/2026 , 29/06/2026"/>
  </r>
  <r>
    <s v="TF2606300014"/>
    <d v="2026-03-04T00:00:00"/>
    <s v="Awtad Jeddah for General Contracting Company"/>
    <x v="1"/>
    <x v="2"/>
    <x v="1"/>
    <x v="0"/>
    <s v="SAR"/>
    <n v="2495972.17"/>
    <n v="1"/>
    <n v="2495972.17"/>
    <n v="1548792.03"/>
    <n v="0"/>
    <n v="947180.14"/>
    <d v="2026-08-01T00:00:00"/>
    <d v="2026-08-01T00:00:00"/>
    <s v="45 Days from Invoice Date"/>
    <m/>
  </r>
  <r>
    <s v="ILC-0840-25-7736"/>
    <d v="2025-05-27T00:00:00"/>
    <s v="Baamer Group for Trading Company"/>
    <x v="0"/>
    <x v="4"/>
    <x v="3"/>
    <x v="0"/>
    <s v="SAR"/>
    <n v="312828.75"/>
    <n v="1"/>
    <n v="312828.75"/>
    <n v="262776.15000000002"/>
    <n v="0"/>
    <n v="50052.6"/>
    <d v="2026-06-30T00:00:00"/>
    <d v="2026-06-30T00:00:00"/>
    <s v="90 Days from Invoice Date"/>
    <m/>
  </r>
  <r>
    <s v="J212140"/>
    <d v="2026-04-12T00:00:00"/>
    <s v="Electric House Trading Company L.L.C."/>
    <x v="2"/>
    <x v="3"/>
    <x v="2"/>
    <x v="0"/>
    <s v="SAR"/>
    <n v="2193076"/>
    <n v="1"/>
    <n v="2193076"/>
    <n v="0"/>
    <n v="2193076"/>
    <n v="0"/>
    <d v="2026-05-30T00:00:00"/>
    <d v="2026-05-30T00:00:00"/>
    <s v="90 Days from Delivery Date"/>
    <s v="19/07/2026"/>
  </r>
  <r>
    <s v="DCBWPM164007"/>
    <d v="2026-04-06T00:00:00"/>
    <s v="Bahra Advanced Cable Manufacture Co."/>
    <x v="0"/>
    <x v="0"/>
    <x v="0"/>
    <x v="0"/>
    <s v="SAR"/>
    <n v="1000000"/>
    <n v="1"/>
    <n v="1000000"/>
    <n v="0"/>
    <n v="0"/>
    <n v="1000000"/>
    <d v="2026-06-30T00:00:00"/>
    <d v="2026-06-30T00:00:00"/>
    <s v="90 Days from App Rep Sign on Invoice"/>
    <m/>
  </r>
  <r>
    <s v="J209958"/>
    <d v="2025-01-27T00:00:00"/>
    <s v="Banan Thiba Trading Est (BTT)"/>
    <x v="0"/>
    <x v="10"/>
    <x v="2"/>
    <x v="0"/>
    <s v="SAR"/>
    <n v="900000"/>
    <n v="1"/>
    <n v="900000"/>
    <n v="781791.28"/>
    <n v="0"/>
    <n v="118208.72"/>
    <d v="2026-06-30T00:00:00"/>
    <d v="2026-06-30T00:00:00"/>
    <s v="90 Days from Invoice Date"/>
    <m/>
  </r>
  <r>
    <s v="TF2535900016"/>
    <d v="2025-12-25T00:00:00"/>
    <s v="BBH-CHEMTROL INTERNATIONAL ORGANIZATION S.L"/>
    <x v="6"/>
    <x v="1"/>
    <x v="1"/>
    <x v="0"/>
    <s v="EUR"/>
    <n v="1687320.39"/>
    <n v="4.5"/>
    <n v="7592941.7549999999"/>
    <n v="703586.90607999999"/>
    <n v="0"/>
    <n v="6889354.8499999996"/>
    <d v="2026-12-25T00:00:00"/>
    <d v="2026-12-25T00:00:00"/>
    <s v="60 Days from Invoice Date"/>
    <m/>
  </r>
  <r>
    <s v="TF2527100025"/>
    <d v="2025-09-28T00:00:00"/>
    <s v="BRC Industrial (Saudia) Company"/>
    <x v="1"/>
    <x v="2"/>
    <x v="1"/>
    <x v="0"/>
    <s v="SAR"/>
    <n v="2074312.5"/>
    <n v="1"/>
    <n v="2074312.5"/>
    <n v="1365320.5099999998"/>
    <n v="0"/>
    <n v="708991.99"/>
    <d v="2026-06-28T00:00:00"/>
    <d v="2026-06-28T00:00:00"/>
    <s v="120 Days from Invoice Date"/>
    <m/>
  </r>
  <r>
    <s v="DCBWPM562604"/>
    <d v="2025-07-24T00:00:00"/>
    <s v="BROOQ ALAMAAN TRAD COMPANY"/>
    <x v="0"/>
    <x v="0"/>
    <x v="0"/>
    <x v="0"/>
    <s v="SAR"/>
    <n v="300000.01"/>
    <n v="1"/>
    <n v="300000.01"/>
    <n v="137792.10999999999"/>
    <n v="0"/>
    <n v="162207.9"/>
    <d v="2026-06-30T00:00:00"/>
    <d v="2026-06-30T00:00:00"/>
    <s v="120 Days from Invoice Date"/>
    <m/>
  </r>
  <r>
    <s v="J211987"/>
    <d v="2026-02-26T00:00:00"/>
    <s v="Building System Intelligent Contractor BSICO"/>
    <x v="2"/>
    <x v="3"/>
    <x v="2"/>
    <x v="0"/>
    <s v="SAR"/>
    <n v="274384"/>
    <n v="1"/>
    <n v="274384"/>
    <n v="0"/>
    <n v="0"/>
    <n v="274384"/>
    <d v="2026-06-01T00:00:00"/>
    <d v="2026-05-15T00:00:00"/>
    <s v="60 Days From the Delivery Date"/>
    <m/>
  </r>
  <r>
    <s v="DCBWPM165531"/>
    <d v="2026-05-10T00:00:00"/>
    <s v="DAIKIN AIR CONDITIONING SAUDI ARABIA LLC"/>
    <x v="2"/>
    <x v="5"/>
    <x v="0"/>
    <x v="0"/>
    <s v="SAR"/>
    <n v="735855"/>
    <n v="1"/>
    <n v="735855"/>
    <n v="0"/>
    <n v="0"/>
    <n v="735855"/>
    <d v="2026-06-30T00:00:00"/>
    <d v="2026-06-30T00:00:00"/>
    <s v="90 Days from Appln Rep Sign on Invoice"/>
    <m/>
  </r>
  <r>
    <s v="DCBWPM166261"/>
    <d v="2026-06-04T00:00:00"/>
    <s v="DAIKIN AIR CONDITIONING SAUDI ARABIA LLC"/>
    <x v="0"/>
    <x v="0"/>
    <x v="0"/>
    <x v="0"/>
    <s v="SAR"/>
    <n v="1000000"/>
    <n v="1"/>
    <n v="1000000"/>
    <n v="0"/>
    <n v="0"/>
    <n v="1000000"/>
    <d v="2026-08-31T00:00:00"/>
    <d v="2026-08-31T00:00:00"/>
    <s v="120 Days from Applicant representative sign on Invoice"/>
    <m/>
  </r>
  <r>
    <s v="TF2609900016"/>
    <d v="2026-04-09T00:00:00"/>
    <s v="Depa Saudi Arabia for Contracting and Interior Decorating Co. Ltd."/>
    <x v="1"/>
    <x v="1"/>
    <x v="1"/>
    <x v="0"/>
    <s v="SAR"/>
    <n v="20000000"/>
    <n v="1"/>
    <n v="20000000"/>
    <n v="0"/>
    <n v="8237108.9800000004"/>
    <n v="11762891.02"/>
    <d v="2026-10-31T00:00:00"/>
    <d v="2026-10-31T00:00:00"/>
    <s v="90 Days from Invoice Date"/>
    <s v="20/07/2026 , 10/08/2026"/>
  </r>
  <r>
    <s v="ILC-0840-25-7981"/>
    <d v="2025-07-17T00:00:00"/>
    <s v="Ealla For General Contracting"/>
    <x v="0"/>
    <x v="4"/>
    <x v="3"/>
    <x v="0"/>
    <s v="SAR"/>
    <n v="101623.2"/>
    <n v="1"/>
    <n v="101623.2"/>
    <n v="0"/>
    <n v="0"/>
    <n v="101623.2"/>
    <d v="2026-06-30T00:00:00"/>
    <d v="2026-06-30T00:00:00"/>
    <s v="90 Days from Invoice Date"/>
    <m/>
  </r>
  <r>
    <s v="DCBWPM164009"/>
    <d v="2026-04-06T00:00:00"/>
    <s v="Electric House Trading Company L.L.C."/>
    <x v="0"/>
    <x v="0"/>
    <x v="0"/>
    <x v="0"/>
    <s v="SAR"/>
    <n v="1000000"/>
    <n v="1"/>
    <n v="1000000"/>
    <n v="0"/>
    <n v="0"/>
    <n v="1000000"/>
    <d v="2026-06-30T00:00:00"/>
    <d v="2026-06-30T00:00:00"/>
    <s v="90 Days from App Rep Sign on Invoice"/>
    <m/>
  </r>
  <r>
    <s v="DCBWPM166259"/>
    <d v="2026-06-04T00:00:00"/>
    <s v="ELECTRIC HOUSE TRADING COMPANY LLC"/>
    <x v="0"/>
    <x v="0"/>
    <x v="0"/>
    <x v="0"/>
    <s v="SAR"/>
    <n v="1000000"/>
    <n v="1"/>
    <n v="1000000"/>
    <n v="0"/>
    <n v="0"/>
    <n v="1000000"/>
    <d v="2026-08-31T00:00:00"/>
    <d v="2026-08-31T00:00:00"/>
    <s v="120 Days from Applicant representative sign on Invoice"/>
    <m/>
  </r>
  <r>
    <s v="DCBWPM163971"/>
    <d v="2026-04-06T00:00:00"/>
    <s v="Elmady Solution Company"/>
    <x v="0"/>
    <x v="0"/>
    <x v="0"/>
    <x v="0"/>
    <s v="SAR"/>
    <n v="150000"/>
    <n v="1"/>
    <n v="150000"/>
    <n v="0"/>
    <n v="0"/>
    <n v="150000"/>
    <d v="2026-06-30T00:00:00"/>
    <d v="2026-06-30T00:00:00"/>
    <s v="90 Days from App Rep Sign on Invoice"/>
    <m/>
  </r>
  <r>
    <s v="DCBWPM164001"/>
    <d v="2026-04-06T00:00:00"/>
    <s v="Elsewedy Cables Co. Limited"/>
    <x v="0"/>
    <x v="0"/>
    <x v="0"/>
    <x v="0"/>
    <s v="SAR"/>
    <n v="1000000"/>
    <n v="1"/>
    <n v="1000000"/>
    <n v="0"/>
    <n v="995984.82"/>
    <n v="4015.18"/>
    <d v="2026-06-30T00:00:00"/>
    <d v="2026-06-30T00:00:00"/>
    <s v="90 Days from App Rep Sign on Invoice"/>
    <s v="30/08/2026"/>
  </r>
  <r>
    <s v="DCBWPM166257"/>
    <d v="2026-06-04T00:00:00"/>
    <s v="ELSEWEDY CABLES CO. LIMITED"/>
    <x v="0"/>
    <x v="0"/>
    <x v="0"/>
    <x v="0"/>
    <s v="SAR"/>
    <n v="1000000"/>
    <n v="1"/>
    <n v="1000000"/>
    <n v="0"/>
    <n v="0"/>
    <n v="1000000"/>
    <d v="2026-08-31T00:00:00"/>
    <d v="2026-08-31T00:00:00"/>
    <s v="120 Days from Applicant representative sign on Invoice"/>
    <m/>
  </r>
  <r>
    <s v="DCBWPM166285"/>
    <d v="2026-06-04T00:00:00"/>
    <s v="Establishment Marjane El- Shammal for watertransport and distribution"/>
    <x v="0"/>
    <x v="0"/>
    <x v="0"/>
    <x v="0"/>
    <s v="SAR"/>
    <n v="200000"/>
    <n v="1"/>
    <n v="200000"/>
    <n v="0"/>
    <n v="0"/>
    <n v="200000"/>
    <d v="2026-08-31T00:00:00"/>
    <d v="2026-08-31T00:00:00"/>
    <s v="120 Days from Applicant representative sign on Invoice"/>
    <m/>
  </r>
  <r>
    <s v="DCBWPM563374"/>
    <d v="2025-08-06T00:00:00"/>
    <s v="EVOLVING CONSTELLATION CO. FOR ENERGY"/>
    <x v="0"/>
    <x v="7"/>
    <x v="0"/>
    <x v="0"/>
    <s v="SAR"/>
    <n v="550000.15"/>
    <n v="1"/>
    <n v="550000.15"/>
    <n v="482497.13"/>
    <n v="0"/>
    <n v="67503.02"/>
    <d v="2026-06-30T00:00:00"/>
    <d v="2026-06-30T00:00:00"/>
    <s v="60 Days from Appl. Representative Sign"/>
    <m/>
  </r>
  <r>
    <s v="TF2526500019"/>
    <d v="2025-09-24T00:00:00"/>
    <s v="Future Pipe Industries LLC"/>
    <x v="1"/>
    <x v="2"/>
    <x v="1"/>
    <x v="0"/>
    <s v="SAR"/>
    <n v="5308039.3600000003"/>
    <n v="1"/>
    <n v="5308039.3600000003"/>
    <n v="5072714.3"/>
    <n v="0"/>
    <n v="235325.06"/>
    <d v="2026-06-21T00:00:00"/>
    <d v="2026-05-31T00:00:00"/>
    <s v="60 Days From the Delivery Date"/>
    <m/>
  </r>
  <r>
    <s v="DCBWPM166292"/>
    <d v="2026-06-04T00:00:00"/>
    <s v="GALAXY TECHOLOGY CO."/>
    <x v="0"/>
    <x v="0"/>
    <x v="0"/>
    <x v="0"/>
    <s v="SAR"/>
    <n v="300000.01"/>
    <n v="1"/>
    <n v="300000.01"/>
    <n v="0"/>
    <n v="0"/>
    <n v="300000.01"/>
    <d v="2026-08-31T00:00:00"/>
    <d v="2026-08-31T00:00:00"/>
    <s v="120 Days from Applicant representative sign on Invoice"/>
    <m/>
  </r>
  <r>
    <s v="TF2514700033"/>
    <d v="2025-05-27T00:00:00"/>
    <s v="GAS SOLUTIONS"/>
    <x v="0"/>
    <x v="1"/>
    <x v="1"/>
    <x v="0"/>
    <s v="SAR"/>
    <n v="381276.62"/>
    <n v="1"/>
    <n v="381276.62"/>
    <n v="140641.01"/>
    <n v="0"/>
    <n v="240635.61"/>
    <d v="2026-05-27T00:00:00"/>
    <d v="2026-05-27T00:00:00"/>
    <s v="120 Days from Invoice Date"/>
    <m/>
  </r>
  <r>
    <s v="ILC-0840-26-8758"/>
    <d v="2026-01-01T00:00:00"/>
    <s v="Green Concrete CJSC"/>
    <x v="1"/>
    <x v="4"/>
    <x v="3"/>
    <x v="0"/>
    <s v="SAR"/>
    <n v="5802900"/>
    <n v="1"/>
    <n v="5802900"/>
    <n v="495832.85"/>
    <n v="112200.9"/>
    <n v="5194866.25"/>
    <d v="2026-12-31T00:00:00"/>
    <d v="2026-12-31T00:00:00"/>
    <s v="60 Days from Invoice Date"/>
    <s v="12/07/2026"/>
  </r>
  <r>
    <s v="TF2613700036"/>
    <d v="2026-05-18T00:00:00"/>
    <s v="Green Concrete CJSC"/>
    <x v="1"/>
    <x v="8"/>
    <x v="1"/>
    <x v="0"/>
    <s v="SAR"/>
    <n v="2000000"/>
    <n v="1"/>
    <n v="2000000"/>
    <n v="0"/>
    <n v="0"/>
    <n v="2000000"/>
    <d v="2026-08-31T00:00:00"/>
    <d v="2026-08-31T00:00:00"/>
    <s v="60 Days from Applicant representative sign on Invoice"/>
    <m/>
  </r>
  <r>
    <s v="J212502"/>
    <d v="2026-06-22T00:00:00"/>
    <s v="Gulf Applications - GAPP"/>
    <x v="2"/>
    <x v="3"/>
    <x v="2"/>
    <x v="0"/>
    <s v="SAR"/>
    <n v="11188186.699999999"/>
    <n v="1"/>
    <n v="11188186.699999999"/>
    <n v="0"/>
    <n v="0"/>
    <n v="11188186.699999999"/>
    <d v="2026-08-10T00:00:00"/>
    <d v="2026-08-10T00:00:00"/>
    <s v="90 Days from Invoice Date"/>
    <m/>
  </r>
  <r>
    <s v="DCBWPM163997"/>
    <d v="2026-04-06T00:00:00"/>
    <s v="Gulf Grilles Company"/>
    <x v="0"/>
    <x v="0"/>
    <x v="0"/>
    <x v="0"/>
    <s v="SAR"/>
    <n v="500000"/>
    <n v="1"/>
    <n v="500000"/>
    <n v="0"/>
    <n v="0"/>
    <n v="500000"/>
    <d v="2026-06-30T00:00:00"/>
    <d v="2026-06-30T00:00:00"/>
    <s v="90 Days from App Rep Sign on Invoice"/>
    <m/>
  </r>
  <r>
    <s v="DCBWPM166298"/>
    <d v="2026-06-04T00:00:00"/>
    <s v="Gulf Grilles Company"/>
    <x v="0"/>
    <x v="0"/>
    <x v="0"/>
    <x v="0"/>
    <s v="SAR"/>
    <n v="400000"/>
    <n v="1"/>
    <n v="400000"/>
    <n v="0"/>
    <n v="0"/>
    <n v="400000"/>
    <d v="2026-08-31T00:00:00"/>
    <d v="2026-08-31T00:00:00"/>
    <s v="120 Days from Applicant representative sign on Invoice"/>
    <m/>
  </r>
  <r>
    <s v="J211985"/>
    <d v="2026-03-01T00:00:00"/>
    <s v="High Al Shuhra Contracting Company"/>
    <x v="1"/>
    <x v="2"/>
    <x v="2"/>
    <x v="0"/>
    <s v="SAR"/>
    <n v="2140124.1600000001"/>
    <n v="1"/>
    <n v="2140124.1600000001"/>
    <n v="1696396.49"/>
    <n v="0"/>
    <n v="443727.67"/>
    <d v="2026-08-01T00:00:00"/>
    <d v="2026-08-01T00:00:00"/>
    <s v="45 Days from Invoice Date"/>
    <m/>
  </r>
  <r>
    <s v="JLC6902211"/>
    <d v="2025-12-02T00:00:00"/>
    <s v="IBA MIDDLE EAST FZE"/>
    <x v="8"/>
    <x v="6"/>
    <x v="4"/>
    <x v="0"/>
    <s v="EUR"/>
    <n v="695184.62200000009"/>
    <n v="4.32"/>
    <n v="3003197.5670400006"/>
    <n v="992843.09680000006"/>
    <n v="0"/>
    <n v="2010354.47"/>
    <d v="2026-12-15T00:00:00"/>
    <d v="2026-11-15T00:00:00"/>
    <s v="90 Days from Shipment Date"/>
    <m/>
  </r>
  <r>
    <s v="JLC6902213"/>
    <d v="2025-12-01T00:00:00"/>
    <s v="IBA MIDDLE EAST FZE"/>
    <x v="8"/>
    <x v="6"/>
    <x v="4"/>
    <x v="0"/>
    <s v="USD"/>
    <n v="430873.13500000001"/>
    <n v="3.75"/>
    <n v="1615774.2562500001"/>
    <n v="386882.11667999998"/>
    <n v="0"/>
    <n v="1228892.1399999999"/>
    <d v="2026-12-15T00:00:00"/>
    <d v="2026-11-15T00:00:00"/>
    <s v="90 Days from Shipment Date"/>
    <m/>
  </r>
  <r>
    <s v="DCBWPM163960"/>
    <d v="2026-04-06T00:00:00"/>
    <s v="Ideal Caliber Company"/>
    <x v="0"/>
    <x v="0"/>
    <x v="0"/>
    <x v="0"/>
    <s v="SAR"/>
    <n v="150000"/>
    <n v="1"/>
    <n v="150000"/>
    <n v="0"/>
    <n v="150000"/>
    <n v="0"/>
    <d v="2026-06-30T00:00:00"/>
    <d v="2026-06-30T00:00:00"/>
    <s v="90 Days from App Rep Sign on Invoice"/>
    <s v="12/07/2026"/>
  </r>
  <r>
    <s v="DCBWPM166281"/>
    <d v="2026-06-04T00:00:00"/>
    <s v="IDEAL CALIBER COMPANY."/>
    <x v="0"/>
    <x v="0"/>
    <x v="0"/>
    <x v="0"/>
    <s v="SAR"/>
    <n v="300000"/>
    <n v="1"/>
    <n v="300000"/>
    <n v="0"/>
    <n v="0"/>
    <n v="300000"/>
    <d v="2026-08-31T00:00:00"/>
    <d v="2026-08-31T00:00:00"/>
    <s v="120 Days from Applicant representative sign on Invoice"/>
    <m/>
  </r>
  <r>
    <s v="DCBWPM163413"/>
    <d v="2026-03-16T00:00:00"/>
    <s v="Innovative Contractors for Advanced Dimension (ICAD)"/>
    <x v="1"/>
    <x v="7"/>
    <x v="0"/>
    <x v="0"/>
    <s v="SAR"/>
    <n v="10000000"/>
    <n v="1"/>
    <n v="10000000"/>
    <n v="0"/>
    <n v="10000000"/>
    <n v="0"/>
    <d v="2026-06-30T00:00:00"/>
    <d v="2026-06-30T00:00:00"/>
    <s v="120 Days from Appl Rep Sign on Invoice"/>
    <s v="02/08/2026"/>
  </r>
  <r>
    <s v="TF2609800008"/>
    <d v="2026-04-08T00:00:00"/>
    <s v="Innovative Contractors for Advanced Dimension (ICAD)"/>
    <x v="1"/>
    <x v="7"/>
    <x v="1"/>
    <x v="0"/>
    <s v="SAR"/>
    <n v="21481033"/>
    <n v="1"/>
    <n v="21481033"/>
    <n v="0"/>
    <n v="21481033"/>
    <n v="0"/>
    <d v="2026-06-30T00:00:00"/>
    <d v="2026-06-30T00:00:00"/>
    <s v="120 Days from Invoice Date"/>
    <s v="07/08/2026"/>
  </r>
  <r>
    <s v="TF2610500021"/>
    <d v="2026-04-15T00:00:00"/>
    <s v="Innovative Specialized Security Solution"/>
    <x v="6"/>
    <x v="8"/>
    <x v="1"/>
    <x v="0"/>
    <s v="SAR"/>
    <n v="15724333.939999999"/>
    <n v="1"/>
    <n v="15724333.939999999"/>
    <n v="0"/>
    <n v="15724333.939999999"/>
    <n v="0"/>
    <d v="2026-06-30T00:00:00"/>
    <d v="2026-06-20T00:00:00"/>
    <s v="90 Days from Applicant representative sign on Invoice"/>
    <s v="19/07/2026 , 18/07/2026 , 18/07/2026"/>
  </r>
  <r>
    <s v="DCBWPM161328"/>
    <d v="2026-01-28T00:00:00"/>
    <s v="INTERPLAST CO. LTD"/>
    <x v="0"/>
    <x v="0"/>
    <x v="0"/>
    <x v="0"/>
    <s v="SAR"/>
    <n v="397090"/>
    <n v="1"/>
    <n v="397090"/>
    <n v="0"/>
    <n v="397090"/>
    <n v="0"/>
    <d v="2026-04-30T00:00:00"/>
    <d v="2026-04-30T00:00:00"/>
    <s v="90 Days from Applicant representative sign on Invoice"/>
    <s v="05/07/2026"/>
  </r>
  <r>
    <s v="ILC-0840-26-8822"/>
    <d v="2026-01-11T00:00:00"/>
    <s v="Isam Kabanni And Partners For Construction And Maintenance Co Ltd"/>
    <x v="0"/>
    <x v="4"/>
    <x v="3"/>
    <x v="0"/>
    <s v="SAR"/>
    <n v="739450"/>
    <n v="1"/>
    <n v="739450"/>
    <n v="0"/>
    <n v="0"/>
    <n v="739450"/>
    <d v="2026-08-31T00:00:00"/>
    <d v="2026-08-31T00:00:00"/>
    <s v="90 Days from Applicant representative sign on Invoice"/>
    <m/>
  </r>
  <r>
    <s v="DCBWPM165571"/>
    <d v="2026-05-11T00:00:00"/>
    <s v="Isam Kabbani &amp; Partners for Building and Construction"/>
    <x v="1"/>
    <x v="5"/>
    <x v="0"/>
    <x v="0"/>
    <s v="SAR"/>
    <n v="1325316"/>
    <n v="1"/>
    <n v="1325316"/>
    <n v="0"/>
    <n v="0"/>
    <n v="1325316"/>
    <d v="2026-08-01T00:00:00"/>
    <d v="2026-08-01T00:00:00"/>
    <s v="90 Days from Appln Rep Sign on Invoice"/>
    <m/>
  </r>
  <r>
    <s v="JLC7000008"/>
    <d v="2026-01-01T00:00:00"/>
    <s v="ISAM KABBANI &amp; PARTNERS LTD-UNITECH"/>
    <x v="0"/>
    <x v="6"/>
    <x v="4"/>
    <x v="0"/>
    <s v="SAR"/>
    <n v="500000"/>
    <n v="1"/>
    <n v="500000"/>
    <n v="0"/>
    <n v="500000"/>
    <n v="0"/>
    <d v="2026-04-30T00:00:00"/>
    <d v="2026-04-30T00:00:00"/>
    <s v="90 Days from Appln Rep Sign on Invoice"/>
    <s v="14/07/2026"/>
  </r>
  <r>
    <s v="DCBWPM563027"/>
    <d v="2025-07-31T00:00:00"/>
    <s v="JAD AL RIYADH Trading Co. Ltd"/>
    <x v="0"/>
    <x v="7"/>
    <x v="0"/>
    <x v="0"/>
    <s v="SAR"/>
    <n v="1400000"/>
    <n v="1"/>
    <n v="1400000"/>
    <n v="1385426.0200000003"/>
    <n v="0"/>
    <n v="14573.98"/>
    <d v="2026-06-30T00:00:00"/>
    <d v="2026-06-30T00:00:00"/>
    <s v="90 Days from Appl. Representative Sign"/>
    <m/>
  </r>
  <r>
    <s v="DCBWPM166270"/>
    <d v="2026-06-04T00:00:00"/>
    <s v="JOHNSON CONTROLS ARABIA"/>
    <x v="0"/>
    <x v="0"/>
    <x v="0"/>
    <x v="0"/>
    <s v="SAR"/>
    <n v="500000"/>
    <n v="1"/>
    <n v="500000"/>
    <n v="0"/>
    <n v="0"/>
    <n v="500000"/>
    <d v="2026-08-31T00:00:00"/>
    <d v="2026-08-31T00:00:00"/>
    <s v="120 Days from Applicant representative sign on Invoice"/>
    <m/>
  </r>
  <r>
    <s v="DCBWPM164010"/>
    <d v="2026-04-06T00:00:00"/>
    <s v="Johnson Controls Arabia Ltd."/>
    <x v="0"/>
    <x v="0"/>
    <x v="0"/>
    <x v="0"/>
    <s v="SAR"/>
    <n v="1000000"/>
    <n v="1"/>
    <n v="1000000"/>
    <n v="0"/>
    <n v="0"/>
    <n v="1000000"/>
    <d v="2026-06-30T00:00:00"/>
    <d v="2026-06-30T00:00:00"/>
    <s v="90 Days from App Rep Sign on Invoice"/>
    <m/>
  </r>
  <r>
    <s v="DCBWPM163950"/>
    <d v="2026-04-06T00:00:00"/>
    <s v="Khereiji Showrooms Co."/>
    <x v="0"/>
    <x v="0"/>
    <x v="0"/>
    <x v="0"/>
    <s v="SAR"/>
    <n v="300000.73"/>
    <n v="1"/>
    <n v="300000.73"/>
    <n v="0"/>
    <n v="299758.8"/>
    <n v="241.93"/>
    <d v="2026-06-30T00:00:00"/>
    <d v="2026-06-30T00:00:00"/>
    <s v="90 Days from App Rep Sign on Invoice"/>
    <s v="30/08/2026"/>
  </r>
  <r>
    <s v="DCBWPM166275"/>
    <d v="2026-06-04T00:00:00"/>
    <s v="KHEREIJI SHOWROOMS CO."/>
    <x v="0"/>
    <x v="0"/>
    <x v="0"/>
    <x v="0"/>
    <s v="SAR"/>
    <n v="250000"/>
    <n v="1"/>
    <n v="250000"/>
    <n v="0"/>
    <n v="0"/>
    <n v="250000"/>
    <d v="2026-08-31T00:00:00"/>
    <d v="2026-08-31T00:00:00"/>
    <s v="120 Days from Applicant representative sign on Invoice"/>
    <m/>
  </r>
  <r>
    <s v="JLC7000184"/>
    <d v="2026-02-04T00:00:00"/>
    <s v="Khorayef Industries"/>
    <x v="0"/>
    <x v="6"/>
    <x v="4"/>
    <x v="0"/>
    <s v="SAR"/>
    <n v="1000000"/>
    <n v="1"/>
    <n v="1000000"/>
    <n v="0"/>
    <n v="1000000"/>
    <n v="0"/>
    <d v="2026-04-30T00:00:00"/>
    <d v="2026-04-30T00:00:00"/>
    <s v="90 Days from Appln Rep Sign on Invoice"/>
    <s v="14/07/2026"/>
  </r>
  <r>
    <s v="J211986"/>
    <d v="2026-03-01T00:00:00"/>
    <s v="Koon Trading Company"/>
    <x v="2"/>
    <x v="3"/>
    <x v="2"/>
    <x v="0"/>
    <s v="SAR"/>
    <n v="400000"/>
    <n v="1"/>
    <n v="400000"/>
    <n v="0"/>
    <n v="0"/>
    <n v="400000"/>
    <d v="2026-07-01T00:00:00"/>
    <d v="2026-06-15T00:00:00"/>
    <s v="90 Days From the Delivery Date"/>
    <m/>
  </r>
  <r>
    <s v="TF2535900014"/>
    <d v="2025-12-25T00:00:00"/>
    <s v="LSI PROJECTS LIMITED"/>
    <x v="6"/>
    <x v="1"/>
    <x v="1"/>
    <x v="0"/>
    <s v="GBP"/>
    <n v="1534181.67"/>
    <n v="4.6399999999999997"/>
    <n v="7118602.9487999994"/>
    <n v="363328.54672888498"/>
    <n v="0"/>
    <n v="6755274.4000000004"/>
    <d v="2026-09-30T00:00:00"/>
    <d v="2026-09-30T00:00:00"/>
    <s v="90 Days from Invoice Date"/>
    <m/>
  </r>
  <r>
    <s v="TF2533600018"/>
    <d v="2025-12-04T00:00:00"/>
    <s v="LSI PROJECTS LIMITED"/>
    <x v="6"/>
    <x v="1"/>
    <x v="1"/>
    <x v="0"/>
    <s v="GBP"/>
    <n v="72830.59"/>
    <n v="4.6399999999999997"/>
    <n v="337933.93759999995"/>
    <n v="0"/>
    <n v="0"/>
    <n v="337933.94"/>
    <d v="2026-09-30T00:00:00"/>
    <d v="2026-09-30T00:00:00"/>
    <s v="90 Days from Shipment Date"/>
    <m/>
  </r>
  <r>
    <s v="DCBWPM166290"/>
    <d v="2026-06-04T00:00:00"/>
    <s v="Machinery Land Equipment Rental."/>
    <x v="0"/>
    <x v="0"/>
    <x v="0"/>
    <x v="0"/>
    <s v="SAR"/>
    <n v="300000"/>
    <n v="1"/>
    <n v="300000"/>
    <n v="0"/>
    <n v="0"/>
    <n v="300000"/>
    <d v="2026-08-31T00:00:00"/>
    <d v="2026-08-31T00:00:00"/>
    <s v="120 Days from Applicant representative sign on Invoice"/>
    <m/>
  </r>
  <r>
    <s v="J212311"/>
    <d v="2026-05-07T00:00:00"/>
    <s v="Manar Alomran Company For Trading And Industrial Ltd"/>
    <x v="1"/>
    <x v="3"/>
    <x v="2"/>
    <x v="0"/>
    <s v="SAR"/>
    <n v="2896770"/>
    <n v="1"/>
    <n v="2896770"/>
    <n v="0"/>
    <n v="386858.95"/>
    <n v="2509911.0499999998"/>
    <d v="2026-08-31T00:00:00"/>
    <d v="2026-08-31T00:00:00"/>
    <s v="90 Days from Invoice Date"/>
    <s v="19/08/2026"/>
  </r>
  <r>
    <s v="DCBWPM166272"/>
    <d v="2026-06-04T00:00:00"/>
    <s v="MARIAM TRADING CO AND PARTNER"/>
    <x v="0"/>
    <x v="0"/>
    <x v="0"/>
    <x v="0"/>
    <s v="SAR"/>
    <n v="200000"/>
    <n v="1"/>
    <n v="200000"/>
    <n v="0"/>
    <n v="0"/>
    <n v="200000"/>
    <d v="2026-08-31T00:00:00"/>
    <d v="2026-08-31T00:00:00"/>
    <s v="120 Days from Applicant representative sign on Invoice"/>
    <m/>
  </r>
  <r>
    <s v="J212386"/>
    <d v="2026-06-07T00:00:00"/>
    <s v="Martin Professional Information Technology Company"/>
    <x v="2"/>
    <x v="3"/>
    <x v="2"/>
    <x v="0"/>
    <s v="SAR"/>
    <n v="5000000"/>
    <n v="1"/>
    <n v="5000000"/>
    <n v="0"/>
    <n v="0"/>
    <n v="5000000"/>
    <d v="2026-10-08T00:00:00"/>
    <d v="2026-10-08T00:00:00"/>
    <s v="60 Days from Invoice Date"/>
    <m/>
  </r>
  <r>
    <s v="DCBWPM160364"/>
    <d v="2026-01-14T00:00:00"/>
    <s v="Masdar Technical Supplies Co."/>
    <x v="0"/>
    <x v="0"/>
    <x v="0"/>
    <x v="0"/>
    <s v="SAR"/>
    <n v="500000"/>
    <n v="1"/>
    <n v="500000"/>
    <n v="0"/>
    <n v="500000"/>
    <n v="0"/>
    <d v="2026-06-30T00:00:00"/>
    <d v="2026-06-30T00:00:00"/>
    <s v="90 Days from Applicant representative sign on Invoice"/>
    <s v="30/08/2026"/>
  </r>
  <r>
    <s v="DCBWPM163945"/>
    <d v="2026-04-06T00:00:00"/>
    <s v="Masdar Technical Supplies Co."/>
    <x v="0"/>
    <x v="0"/>
    <x v="0"/>
    <x v="0"/>
    <s v="SAR"/>
    <n v="200000"/>
    <n v="1"/>
    <n v="200000"/>
    <n v="0"/>
    <n v="200000"/>
    <n v="0"/>
    <d v="2026-06-30T00:00:00"/>
    <d v="2026-06-30T00:00:00"/>
    <s v="90 Days from App Rep Sign on Invoice"/>
    <s v="11/08/2026"/>
  </r>
  <r>
    <s v="DCBWPM166277"/>
    <d v="2026-06-04T00:00:00"/>
    <s v="Masdar Technical Supplies Co."/>
    <x v="0"/>
    <x v="0"/>
    <x v="0"/>
    <x v="0"/>
    <s v="SAR"/>
    <n v="300000"/>
    <n v="1"/>
    <n v="300000"/>
    <n v="0"/>
    <n v="0"/>
    <n v="300000"/>
    <d v="2026-08-31T00:00:00"/>
    <d v="2026-08-31T00:00:00"/>
    <s v="120 Days from Applicant representative sign on Invoice"/>
    <m/>
  </r>
  <r>
    <s v="DCBWPM160344"/>
    <d v="2026-01-15T00:00:00"/>
    <s v="Mase Gulf Company"/>
    <x v="0"/>
    <x v="0"/>
    <x v="0"/>
    <x v="0"/>
    <s v="SAR"/>
    <n v="500000"/>
    <n v="1"/>
    <n v="500000"/>
    <n v="0"/>
    <n v="0"/>
    <n v="500000"/>
    <d v="2026-06-30T00:00:00"/>
    <d v="2026-06-30T00:00:00"/>
    <s v="90 Days from Applicant representative sign on Invoice"/>
    <m/>
  </r>
  <r>
    <s v="DCBWPM570839"/>
    <d v="2025-12-28T00:00:00"/>
    <s v="MASQ FOR ELECTRICAL TOOLS CO"/>
    <x v="0"/>
    <x v="0"/>
    <x v="0"/>
    <x v="0"/>
    <s v="SAR"/>
    <n v="8790001.0999999996"/>
    <n v="1"/>
    <n v="8790001.0999999996"/>
    <n v="650518.46"/>
    <n v="0"/>
    <n v="8139482.6399999997"/>
    <d v="2026-06-30T00:00:00"/>
    <d v="2026-06-30T00:00:00"/>
    <s v="120 Days from Invoice Date"/>
    <m/>
  </r>
  <r>
    <s v="JLC6901431_Cre"/>
    <d v="2025-09-04T00:00:00"/>
    <s v="Mat Filtrasyon Teknolojeleri A.S"/>
    <x v="1"/>
    <x v="6"/>
    <x v="4"/>
    <x v="0"/>
    <s v="SAR"/>
    <n v="25907203.759999998"/>
    <n v="1"/>
    <n v="25907203.759999998"/>
    <n v="16605181.220000001"/>
    <n v="752616.68"/>
    <n v="8549405.8599999994"/>
    <d v="2026-10-15T00:00:00"/>
    <d v="2026-09-24T00:00:00"/>
    <s v="45 Days from Invoice Date"/>
    <s v="09/07/2026 , 02/07/2026"/>
  </r>
  <r>
    <s v="JLC6901431_Cash"/>
    <d v="2025-09-04T00:00:00"/>
    <s v="Mat Filtrasyon Teknolojeleri A.S"/>
    <x v="1"/>
    <x v="6"/>
    <x v="4"/>
    <x v="1"/>
    <s v="SAR"/>
    <n v="4092796.2399999998"/>
    <n v="1"/>
    <n v="4092796.2399999998"/>
    <n v="4079312.29"/>
    <n v="0"/>
    <n v="13483.95"/>
    <d v="2026-10-15T00:00:00"/>
    <d v="2026-09-24T00:00:00"/>
    <s v="45 Days from Invoice Date"/>
    <m/>
  </r>
  <r>
    <s v="JLC7000384"/>
    <d v="2026-03-24T00:00:00"/>
    <s v="Mat Filtrasyon Teknolojeleri A.S"/>
    <x v="1"/>
    <x v="6"/>
    <x v="4"/>
    <x v="0"/>
    <s v="SAR"/>
    <n v="17932603.559999999"/>
    <n v="1"/>
    <n v="17932603.559999999"/>
    <n v="4576500"/>
    <n v="735540"/>
    <n v="12620563.560000001"/>
    <d v="2026-08-30T00:00:00"/>
    <d v="2026-08-09T00:00:00"/>
    <s v="Mixed Tenor - 60 / 45 / 21 Days from Invoice Date"/>
    <s v="05/07/2026"/>
  </r>
  <r>
    <s v="ILC-0840-25-8011"/>
    <d v="2025-07-24T00:00:00"/>
    <s v="Metten Al-Arabia Ltd Co (METARA)"/>
    <x v="1"/>
    <x v="4"/>
    <x v="3"/>
    <x v="0"/>
    <s v="SAR"/>
    <n v="12956001.199999999"/>
    <n v="1"/>
    <n v="12956001.199999999"/>
    <n v="1509410.02"/>
    <n v="0"/>
    <n v="11446591.18"/>
    <d v="2026-06-30T00:00:00"/>
    <d v="2026-06-30T00:00:00"/>
    <s v="60 Days from Invoice Date"/>
    <m/>
  </r>
  <r>
    <s v="DCBWPM160355"/>
    <d v="2026-01-15T00:00:00"/>
    <s v="Mimar for Construction Tools &amp; Trading Ltd."/>
    <x v="0"/>
    <x v="0"/>
    <x v="0"/>
    <x v="0"/>
    <s v="SAR"/>
    <n v="900000"/>
    <n v="1"/>
    <n v="900000"/>
    <n v="0"/>
    <n v="900000"/>
    <n v="0"/>
    <d v="2026-06-30T00:00:00"/>
    <d v="2026-06-30T00:00:00"/>
    <s v="90 Days from Applicant representative sign on Invoice"/>
    <s v="02/08/2026"/>
  </r>
  <r>
    <s v="DCBWPM162995"/>
    <d v="2026-03-05T00:00:00"/>
    <s v="Mimar For Construction Tools and Trading Ltd."/>
    <x v="0"/>
    <x v="0"/>
    <x v="0"/>
    <x v="0"/>
    <s v="SAR"/>
    <n v="398652.54"/>
    <n v="1"/>
    <n v="398652.54"/>
    <n v="0"/>
    <n v="0"/>
    <n v="398652.54"/>
    <d v="2026-08-31T00:00:00"/>
    <d v="2026-08-31T00:00:00"/>
    <s v="90 Days from Applicant representative sign on Invoice"/>
    <m/>
  </r>
  <r>
    <s v="DCBWPM163957"/>
    <d v="2026-04-06T00:00:00"/>
    <s v="Mohamad Saeed Afifi Trading Est."/>
    <x v="0"/>
    <x v="0"/>
    <x v="0"/>
    <x v="0"/>
    <s v="SAR"/>
    <n v="450000"/>
    <n v="1"/>
    <n v="450000"/>
    <n v="0"/>
    <n v="312768.11"/>
    <n v="137231.89000000001"/>
    <d v="2026-06-30T00:00:00"/>
    <d v="2026-06-30T00:00:00"/>
    <s v="90 Days from App Rep Sign on Invoice"/>
    <s v="19/07/2026"/>
  </r>
  <r>
    <s v="TF2531600056"/>
    <d v="2025-11-12T00:00:00"/>
    <s v="Mohammad Saleh Bahareth co."/>
    <x v="0"/>
    <x v="1"/>
    <x v="1"/>
    <x v="0"/>
    <s v="SAR"/>
    <n v="565057.47"/>
    <n v="1"/>
    <n v="565057.47"/>
    <n v="332244.19"/>
    <n v="0"/>
    <n v="232813.28"/>
    <d v="2026-06-30T00:00:00"/>
    <d v="2026-06-30T00:00:00"/>
    <s v="90 Days from Applicant representative sign on Invoice"/>
    <m/>
  </r>
  <r>
    <s v="J210944"/>
    <d v="2025-07-29T00:00:00"/>
    <s v="Mohammed A. Al-Awani Trading"/>
    <x v="1"/>
    <x v="2"/>
    <x v="2"/>
    <x v="0"/>
    <s v="SAR"/>
    <n v="2826301.05"/>
    <n v="1"/>
    <n v="2826301.05"/>
    <n v="1261168.18"/>
    <n v="0"/>
    <n v="1565132.87"/>
    <d v="2026-07-31T00:00:00"/>
    <d v="2026-07-31T00:00:00"/>
    <s v="45 Days from the Invoice Date"/>
    <m/>
  </r>
  <r>
    <s v="ILC-0840-26-8823"/>
    <d v="2026-01-11T00:00:00"/>
    <s v="Mohammed Masoud Al Khaldi Est"/>
    <x v="0"/>
    <x v="4"/>
    <x v="3"/>
    <x v="0"/>
    <s v="SAR"/>
    <n v="424699.6"/>
    <n v="1"/>
    <n v="424699.6"/>
    <n v="212349.8"/>
    <n v="0"/>
    <n v="212349.8"/>
    <d v="2026-08-31T00:00:00"/>
    <d v="2026-08-31T00:00:00"/>
    <s v="90 Days from Applicant representative sign on Invoice"/>
    <m/>
  </r>
  <r>
    <s v="ILC-0840-25-8164"/>
    <d v="2025-08-26T00:00:00"/>
    <s v="Mohammed Ramadan Shat Factory"/>
    <x v="0"/>
    <x v="4"/>
    <x v="3"/>
    <x v="0"/>
    <s v="SAR"/>
    <n v="501144.18"/>
    <n v="1"/>
    <n v="501144.18"/>
    <n v="42591.07"/>
    <n v="199393.9"/>
    <n v="259159.21"/>
    <d v="2026-08-31T00:00:00"/>
    <d v="2026-08-31T00:00:00"/>
    <s v="90 Days from Invoice Date"/>
    <s v="07/07/2026"/>
  </r>
  <r>
    <s v="DCBWPM164211"/>
    <d v="2026-04-12T00:00:00"/>
    <s v="Mushal Khalf Hijri For Contracting"/>
    <x v="0"/>
    <x v="0"/>
    <x v="0"/>
    <x v="0"/>
    <s v="SAR"/>
    <n v="175000"/>
    <n v="1"/>
    <n v="175000"/>
    <n v="0"/>
    <n v="0"/>
    <n v="175000"/>
    <d v="2026-06-30T00:00:00"/>
    <d v="2026-06-30T00:00:00"/>
    <s v="90 Days from App Rep Sign on Invoice"/>
    <m/>
  </r>
  <r>
    <s v="DCBWPM163967"/>
    <d v="2026-04-06T00:00:00"/>
    <s v="National Fire Fighting Manufacturing Fzco Br."/>
    <x v="0"/>
    <x v="0"/>
    <x v="0"/>
    <x v="0"/>
    <s v="SAR"/>
    <n v="500000"/>
    <n v="1"/>
    <n v="500000"/>
    <n v="0"/>
    <n v="500000"/>
    <n v="0"/>
    <d v="2026-06-30T00:00:00"/>
    <d v="2026-06-30T00:00:00"/>
    <s v="90 Days from App Rep Sign on Invoice"/>
    <s v="14/07/2026"/>
  </r>
  <r>
    <s v="DCBWPM166297"/>
    <d v="2026-06-04T00:00:00"/>
    <s v="National Fire Fighting Manufacturing FZCO BR."/>
    <x v="0"/>
    <x v="0"/>
    <x v="0"/>
    <x v="0"/>
    <s v="SAR"/>
    <n v="500000"/>
    <n v="1"/>
    <n v="500000"/>
    <n v="0"/>
    <n v="0"/>
    <n v="500000"/>
    <d v="2026-08-31T00:00:00"/>
    <d v="2026-08-31T00:00:00"/>
    <s v="120 Days from Applicant representative sign on Invoice"/>
    <m/>
  </r>
  <r>
    <s v="DCBWPM163964"/>
    <d v="2026-04-06T00:00:00"/>
    <s v="National Marketing Est. Co. Ltd"/>
    <x v="0"/>
    <x v="0"/>
    <x v="0"/>
    <x v="0"/>
    <s v="SAR"/>
    <n v="275000"/>
    <n v="1"/>
    <n v="275000"/>
    <n v="0"/>
    <n v="0"/>
    <n v="275000"/>
    <d v="2026-06-30T00:00:00"/>
    <d v="2026-06-30T00:00:00"/>
    <s v="90 Days from App Rep Sign on Invoice"/>
    <m/>
  </r>
  <r>
    <s v="DCBWPM166264"/>
    <d v="2026-06-04T00:00:00"/>
    <s v="NUKHBA ALETFA CO"/>
    <x v="0"/>
    <x v="0"/>
    <x v="0"/>
    <x v="0"/>
    <s v="SAR"/>
    <n v="500000"/>
    <n v="1"/>
    <n v="500000"/>
    <n v="0"/>
    <n v="0"/>
    <n v="500000"/>
    <d v="2026-08-31T00:00:00"/>
    <d v="2026-08-31T00:00:00"/>
    <s v="120 Days from Applicant representative sign on Invoice"/>
    <m/>
  </r>
  <r>
    <s v="TF2535200021"/>
    <d v="2025-12-21T00:00:00"/>
    <s v="Osalas GMBH"/>
    <x v="1"/>
    <x v="8"/>
    <x v="1"/>
    <x v="0"/>
    <s v="EUR"/>
    <n v="5000000"/>
    <n v="4.4400000000000004"/>
    <n v="22200000.000000004"/>
    <n v="20908277"/>
    <n v="1198665"/>
    <n v="93058"/>
    <d v="2026-09-21T00:00:00"/>
    <d v="2026-08-31T00:00:00"/>
    <s v="Sight / 60 Days from Appl. Rep Sign on Invoice"/>
    <s v="26/06/2026"/>
  </r>
  <r>
    <s v="DCBWPM570369"/>
    <d v="2025-12-01T00:00:00"/>
    <s v="Power Center Company for Industries LLC"/>
    <x v="0"/>
    <x v="0"/>
    <x v="0"/>
    <x v="0"/>
    <s v="SAR"/>
    <n v="4000000"/>
    <n v="1"/>
    <n v="4000000"/>
    <n v="0"/>
    <n v="4000000"/>
    <n v="0"/>
    <d v="2026-06-30T00:00:00"/>
    <d v="2026-06-30T00:00:00"/>
    <s v="120 Days from Invoice Date"/>
    <s v="02/09/2026"/>
  </r>
  <r>
    <s v="DCBWPM163988"/>
    <d v="2026-04-06T00:00:00"/>
    <s v="Power Center Company For Industries Llc"/>
    <x v="0"/>
    <x v="0"/>
    <x v="0"/>
    <x v="0"/>
    <s v="SAR"/>
    <n v="900000"/>
    <n v="1"/>
    <n v="900000"/>
    <n v="0"/>
    <n v="0"/>
    <n v="900000"/>
    <d v="2026-06-30T00:00:00"/>
    <d v="2026-06-30T00:00:00"/>
    <s v="90 Days from App Rep Sign on Invoice"/>
    <m/>
  </r>
  <r>
    <s v="DCBWPM166278"/>
    <d v="2026-06-04T00:00:00"/>
    <s v="POWER CENTER COMPANY FOR INDUSTRIES LLC"/>
    <x v="0"/>
    <x v="0"/>
    <x v="0"/>
    <x v="0"/>
    <s v="SAR"/>
    <n v="500000"/>
    <n v="1"/>
    <n v="500000"/>
    <n v="0"/>
    <n v="0"/>
    <n v="500000"/>
    <d v="2026-08-31T00:00:00"/>
    <d v="2026-08-31T00:00:00"/>
    <s v="120 Days from Applicant representative sign on Invoice"/>
    <m/>
  </r>
  <r>
    <s v="DCBWPM166286"/>
    <d v="2026-06-04T00:00:00"/>
    <s v="RAPID SAUDI ARABIA CO LIMITED."/>
    <x v="0"/>
    <x v="0"/>
    <x v="0"/>
    <x v="0"/>
    <s v="SAR"/>
    <n v="190080.6"/>
    <n v="1"/>
    <n v="190080.6"/>
    <n v="0"/>
    <n v="0"/>
    <n v="190080.6"/>
    <d v="2026-08-31T00:00:00"/>
    <d v="2026-08-31T00:00:00"/>
    <s v="120 Days from Applicant representative sign on Invoice"/>
    <m/>
  </r>
  <r>
    <s v="DCBWPM555620"/>
    <d v="2025-04-13T00:00:00"/>
    <s v="Rawadf International Co."/>
    <x v="0"/>
    <x v="0"/>
    <x v="0"/>
    <x v="0"/>
    <s v="SAR"/>
    <n v="1000000"/>
    <n v="1"/>
    <n v="1000000"/>
    <n v="732234.90999999992"/>
    <n v="0"/>
    <n v="267765.09000000003"/>
    <d v="2026-06-30T00:00:00"/>
    <d v="2026-06-30T00:00:00"/>
    <s v="60 Days from Invoice Date"/>
    <m/>
  </r>
  <r>
    <s v="DCBWPM166289"/>
    <d v="2026-06-04T00:00:00"/>
    <s v="RAWADF INTERNATIONAL CO."/>
    <x v="0"/>
    <x v="0"/>
    <x v="0"/>
    <x v="0"/>
    <s v="SAR"/>
    <n v="200000"/>
    <n v="1"/>
    <n v="200000"/>
    <n v="0"/>
    <n v="0"/>
    <n v="200000"/>
    <d v="2026-08-31T00:00:00"/>
    <d v="2026-08-31T00:00:00"/>
    <s v="120 Days from Applicant representative sign on Invoice"/>
    <m/>
  </r>
  <r>
    <s v="M001959"/>
    <d v="2026-03-11T00:00:00"/>
    <s v="Ready Mix Company Limited."/>
    <x v="1"/>
    <x v="11"/>
    <x v="5"/>
    <x v="0"/>
    <s v="SAR"/>
    <n v="5000000"/>
    <n v="1"/>
    <n v="5000000"/>
    <n v="2707269.5"/>
    <n v="949900"/>
    <n v="1342830.5"/>
    <d v="2026-06-30T00:00:00"/>
    <d v="2026-06-30T00:00:00"/>
    <s v="60 Days from Invoice Date"/>
    <s v="12/07/2026"/>
  </r>
  <r>
    <s v="JLC7000002"/>
    <d v="2026-01-01T00:00:00"/>
    <s v="Riyadh Unity for Trading"/>
    <x v="0"/>
    <x v="6"/>
    <x v="4"/>
    <x v="0"/>
    <s v="SAR"/>
    <n v="500000"/>
    <n v="1"/>
    <n v="500000"/>
    <n v="326709.94"/>
    <n v="0"/>
    <n v="173290.06"/>
    <d v="2026-10-01T00:00:00"/>
    <d v="2026-10-01T00:00:00"/>
    <s v="90 Days from Appln Rep Sign on Invoice"/>
    <m/>
  </r>
  <r>
    <s v="J212030"/>
    <d v="2026-03-08T00:00:00"/>
    <s v="Safid Co Ltd"/>
    <x v="2"/>
    <x v="3"/>
    <x v="2"/>
    <x v="0"/>
    <s v="SAR"/>
    <n v="500000"/>
    <n v="1"/>
    <n v="500000"/>
    <n v="0"/>
    <n v="500000"/>
    <n v="0"/>
    <d v="2026-06-30T00:00:00"/>
    <d v="2026-06-20T00:00:00"/>
    <s v="90 Days From the Delivery Date"/>
    <s v="12/07/2026"/>
  </r>
  <r>
    <s v="ILC-0840-26-9418"/>
    <d v="2026-06-17T00:00:00"/>
    <s v="Saraya Al Andalus for Construction company"/>
    <x v="1"/>
    <x v="4"/>
    <x v="3"/>
    <x v="0"/>
    <s v="SAR"/>
    <n v="5000000"/>
    <n v="1"/>
    <n v="5000000"/>
    <n v="0"/>
    <n v="0"/>
    <n v="5000000"/>
    <d v="2026-10-31T00:00:00"/>
    <d v="2026-10-31T00:00:00"/>
    <s v="30 Days from Appl. Rep Sign on Invoice"/>
    <m/>
  </r>
  <r>
    <s v="DCBWPM164003"/>
    <d v="2026-04-06T00:00:00"/>
    <s v="Saudi Electric Supply Company"/>
    <x v="0"/>
    <x v="0"/>
    <x v="0"/>
    <x v="0"/>
    <s v="SAR"/>
    <n v="1000000"/>
    <n v="1"/>
    <n v="1000000"/>
    <n v="0"/>
    <n v="1000000"/>
    <n v="0"/>
    <d v="2026-06-30T00:00:00"/>
    <d v="2026-06-30T00:00:00"/>
    <s v="90 Days from App Rep Sign on Invoice"/>
    <s v="19/07/2026"/>
  </r>
  <r>
    <s v="J212103"/>
    <d v="2026-04-07T00:00:00"/>
    <s v="Saudi Electric Supply Company Limited(SESCO)"/>
    <x v="2"/>
    <x v="3"/>
    <x v="2"/>
    <x v="0"/>
    <s v="SAR"/>
    <n v="650000"/>
    <n v="1"/>
    <n v="650000"/>
    <n v="0"/>
    <n v="0"/>
    <n v="650000"/>
    <d v="2026-06-09T00:00:00"/>
    <d v="2026-05-09T00:00:00"/>
    <s v="90 Days From the Delivery Date"/>
    <m/>
  </r>
  <r>
    <s v="DCBWPM166284"/>
    <d v="2026-06-04T00:00:00"/>
    <s v="SAUDI ELECTRIC SUPPLY COMPANY."/>
    <x v="0"/>
    <x v="0"/>
    <x v="0"/>
    <x v="0"/>
    <s v="SAR"/>
    <n v="500000"/>
    <n v="1"/>
    <n v="500000"/>
    <n v="0"/>
    <n v="0"/>
    <n v="500000"/>
    <d v="2026-08-31T00:00:00"/>
    <d v="2026-08-31T00:00:00"/>
    <s v="120 Days from Applicant representative sign on Invoice"/>
    <m/>
  </r>
  <r>
    <s v="ILC-0840-25-8166"/>
    <d v="2025-08-26T00:00:00"/>
    <s v="SAUDI HEPCO CO LTD"/>
    <x v="0"/>
    <x v="4"/>
    <x v="3"/>
    <x v="0"/>
    <s v="SAR"/>
    <n v="250000"/>
    <n v="1"/>
    <n v="250000"/>
    <n v="0"/>
    <n v="0"/>
    <n v="250000"/>
    <d v="2026-08-31T00:00:00"/>
    <d v="2026-08-31T00:00:00"/>
    <s v="90 Days from Invoice Date"/>
    <m/>
  </r>
  <r>
    <s v="ILC-0840-25-7353"/>
    <d v="2025-02-27T00:00:00"/>
    <s v="Saudi Hepco Co. Ltd"/>
    <x v="0"/>
    <x v="4"/>
    <x v="3"/>
    <x v="0"/>
    <s v="SAR"/>
    <n v="863693.45"/>
    <n v="1"/>
    <n v="863693.45"/>
    <n v="0"/>
    <n v="0"/>
    <n v="863693.45"/>
    <d v="2026-06-30T00:00:00"/>
    <d v="2026-06-30T00:00:00"/>
    <s v="90 Days from Invoice Date"/>
    <m/>
  </r>
  <r>
    <s v="TF2527100024"/>
    <d v="2025-09-28T00:00:00"/>
    <s v="Saudi Perfect Pumps Trading &amp; Manufacturing Company"/>
    <x v="1"/>
    <x v="2"/>
    <x v="1"/>
    <x v="0"/>
    <s v="SAR"/>
    <n v="7670500"/>
    <n v="1"/>
    <n v="7670500"/>
    <n v="4347795.32"/>
    <n v="412500"/>
    <n v="2910204.68"/>
    <d v="2026-05-31T00:00:00"/>
    <d v="2026-05-31T00:00:00"/>
    <s v="45 Days from Delivery Date"/>
    <s v="01/07/2026"/>
  </r>
  <r>
    <s v="J212344"/>
    <d v="2026-06-04T00:00:00"/>
    <s v="Saudi Pro-Kitchen"/>
    <x v="2"/>
    <x v="3"/>
    <x v="2"/>
    <x v="0"/>
    <s v="SAR"/>
    <n v="700000"/>
    <n v="1"/>
    <n v="700000"/>
    <n v="0"/>
    <n v="0"/>
    <n v="700000"/>
    <d v="2026-08-02T00:00:00"/>
    <d v="2026-08-02T00:00:00"/>
    <s v="120 Days from Applicant representative sign on Invoice"/>
    <m/>
  </r>
  <r>
    <s v="ILC-0840-25-7517"/>
    <d v="2025-04-09T00:00:00"/>
    <s v="SAUDI VITRIFIED CLAY PIPE CO"/>
    <x v="0"/>
    <x v="4"/>
    <x v="3"/>
    <x v="0"/>
    <s v="SAR"/>
    <n v="1033453.25"/>
    <n v="1"/>
    <n v="1033453.25"/>
    <n v="391176.24"/>
    <n v="0"/>
    <n v="642277.01"/>
    <d v="2026-06-30T00:00:00"/>
    <d v="2026-06-30T00:00:00"/>
    <s v="90 Days from Invoice Date"/>
    <m/>
  </r>
  <r>
    <s v="JLC7000003"/>
    <d v="2026-01-01T00:00:00"/>
    <s v="SCHNEIDER ELECTRIC SAUDI ARABIA CO"/>
    <x v="0"/>
    <x v="6"/>
    <x v="4"/>
    <x v="0"/>
    <s v="SAR"/>
    <n v="1350790.07"/>
    <n v="1"/>
    <n v="1350790.07"/>
    <n v="0"/>
    <n v="0"/>
    <n v="1350790.07"/>
    <d v="2026-10-01T00:00:00"/>
    <d v="2026-10-01T00:00:00"/>
    <s v="90 Days from Appln Rep Sign on Invoice"/>
    <m/>
  </r>
  <r>
    <s v="JLC7000193"/>
    <d v="2026-02-04T00:00:00"/>
    <s v="Schneider Electric Saudi Arabia Co"/>
    <x v="0"/>
    <x v="6"/>
    <x v="4"/>
    <x v="0"/>
    <s v="SAR"/>
    <n v="750000"/>
    <n v="1"/>
    <n v="750000"/>
    <n v="0"/>
    <n v="710700"/>
    <n v="39300"/>
    <d v="2026-04-30T00:00:00"/>
    <d v="2026-04-30T00:00:00"/>
    <s v="90 Days from Appln Rep Sign on Invoice"/>
    <s v="14/07/2026"/>
  </r>
  <r>
    <s v="DCBWPM564580"/>
    <d v="2025-08-26T00:00:00"/>
    <s v="Sika Saudi Arabia Co. Ltd."/>
    <x v="1"/>
    <x v="5"/>
    <x v="0"/>
    <x v="0"/>
    <s v="SAR"/>
    <n v="2741025"/>
    <n v="1"/>
    <n v="2741025"/>
    <n v="1641337.5"/>
    <n v="1099687.5"/>
    <n v="0"/>
    <d v="2026-06-30T00:00:00"/>
    <d v="2026-06-15T00:00:00"/>
    <s v="120 Days from the Invoice Date"/>
    <s v="25/06/2026 , 17/09/2026"/>
  </r>
  <r>
    <s v="DCBWPM565850"/>
    <d v="2025-09-14T00:00:00"/>
    <s v="SITE TECHNOLOGY SAUDI ARABIA CO"/>
    <x v="0"/>
    <x v="0"/>
    <x v="0"/>
    <x v="0"/>
    <s v="SAR"/>
    <n v="300000"/>
    <n v="1"/>
    <n v="300000"/>
    <n v="0"/>
    <n v="0"/>
    <n v="300000"/>
    <d v="2026-06-30T00:00:00"/>
    <d v="2026-06-30T00:00:00"/>
    <s v="120 Days from Invoice Date"/>
    <m/>
  </r>
  <r>
    <s v="ILC-0840-25-7407"/>
    <d v="2025-03-06T00:00:00"/>
    <s v="SITE TECHNOLOGY SAUDI ARABIA LTD"/>
    <x v="0"/>
    <x v="4"/>
    <x v="3"/>
    <x v="0"/>
    <s v="SAR"/>
    <n v="527850.01"/>
    <n v="1"/>
    <n v="527850.01"/>
    <n v="263925"/>
    <n v="0"/>
    <n v="263925.01"/>
    <d v="2026-06-30T00:00:00"/>
    <d v="2026-06-30T00:00:00"/>
    <s v="60 Days from Invoice Date"/>
    <m/>
  </r>
  <r>
    <s v="TF2517400098"/>
    <d v="2025-06-23T00:00:00"/>
    <s v="SKM AIR CONDITIONING CO"/>
    <x v="0"/>
    <x v="10"/>
    <x v="1"/>
    <x v="0"/>
    <s v="SAR"/>
    <n v="922106.57"/>
    <n v="1"/>
    <n v="922106.57"/>
    <n v="207691.38"/>
    <n v="702587.67"/>
    <n v="11827.52"/>
    <d v="2026-06-23T00:00:00"/>
    <d v="2026-06-23T00:00:00"/>
    <s v="120 Days from Invoice Date"/>
    <s v="30/07/2026"/>
  </r>
  <r>
    <s v="JLC7000004"/>
    <d v="2026-01-01T00:00:00"/>
    <s v="SKM Air Conditioning Company"/>
    <x v="0"/>
    <x v="6"/>
    <x v="4"/>
    <x v="0"/>
    <s v="SAR"/>
    <n v="500000"/>
    <n v="1"/>
    <n v="500000"/>
    <n v="0"/>
    <n v="500000"/>
    <n v="0"/>
    <d v="2026-04-30T00:00:00"/>
    <d v="2026-04-30T00:00:00"/>
    <s v="90 Days from Appln Rep Sign on Invoice"/>
    <s v="19/07/2026"/>
  </r>
  <r>
    <s v="JLC7000185"/>
    <d v="2026-02-04T00:00:00"/>
    <s v="SKM Air Conditioning Company"/>
    <x v="0"/>
    <x v="6"/>
    <x v="4"/>
    <x v="0"/>
    <s v="SAR"/>
    <n v="500000"/>
    <n v="1"/>
    <n v="500000"/>
    <n v="0"/>
    <n v="500000"/>
    <n v="0"/>
    <d v="2026-04-30T00:00:00"/>
    <d v="2026-04-30T00:00:00"/>
    <s v="90 Days from Appln Rep Sign on Invoice"/>
    <s v="05/07/2026"/>
  </r>
  <r>
    <s v="DCBWPM166282"/>
    <d v="2026-06-04T00:00:00"/>
    <s v="SPECTRA INTERNATIONAL TRADING COMPANY"/>
    <x v="0"/>
    <x v="0"/>
    <x v="0"/>
    <x v="0"/>
    <s v="SAR"/>
    <n v="250000"/>
    <n v="1"/>
    <n v="250000"/>
    <n v="0"/>
    <n v="0"/>
    <n v="250000"/>
    <d v="2026-08-31T00:00:00"/>
    <d v="2026-08-31T00:00:00"/>
    <s v="120 Days from Applicant representative sign on Invoice"/>
    <m/>
  </r>
  <r>
    <s v="TF2517700087"/>
    <d v="2025-06-26T00:00:00"/>
    <s v="STAR SQUARES CO LTD"/>
    <x v="0"/>
    <x v="10"/>
    <x v="1"/>
    <x v="0"/>
    <s v="SAR"/>
    <n v="250000"/>
    <n v="1"/>
    <n v="250000"/>
    <n v="0"/>
    <n v="0"/>
    <n v="250000"/>
    <d v="2026-06-26T00:00:00"/>
    <d v="2026-06-26T00:00:00"/>
    <s v="120 Days from Invoice Date"/>
    <m/>
  </r>
  <r>
    <s v="JLC7000192"/>
    <d v="2026-02-04T00:00:00"/>
    <s v="Systemair For Electrical Equipment Co."/>
    <x v="0"/>
    <x v="6"/>
    <x v="4"/>
    <x v="0"/>
    <s v="SAR"/>
    <n v="500000"/>
    <n v="1"/>
    <n v="500000"/>
    <n v="0"/>
    <n v="0"/>
    <n v="500000"/>
    <d v="2026-10-01T00:00:00"/>
    <d v="2026-10-01T00:00:00"/>
    <s v="90 Days from Appln Rep Sign on Invoice"/>
    <m/>
  </r>
  <r>
    <s v="DCBWPM166279"/>
    <d v="2026-06-04T00:00:00"/>
    <s v="Systemair For Electrical Equipment Co."/>
    <x v="0"/>
    <x v="0"/>
    <x v="0"/>
    <x v="0"/>
    <s v="SAR"/>
    <n v="300000"/>
    <n v="1"/>
    <n v="300000"/>
    <n v="0"/>
    <n v="0"/>
    <n v="300000"/>
    <d v="2026-08-31T00:00:00"/>
    <d v="2026-08-31T00:00:00"/>
    <s v="120 Days from Applicant representative sign on Invoice"/>
    <m/>
  </r>
  <r>
    <s v="DCBWPM567554"/>
    <d v="2025-10-16T00:00:00"/>
    <s v="TAWREED INTEGRATED INDUSTRIES"/>
    <x v="0"/>
    <x v="0"/>
    <x v="0"/>
    <x v="0"/>
    <s v="SAR"/>
    <n v="500000"/>
    <n v="1"/>
    <n v="500000"/>
    <n v="336122.53"/>
    <n v="99498"/>
    <n v="64379.47"/>
    <d v="2026-06-30T00:00:00"/>
    <d v="2026-06-30T00:00:00"/>
    <s v="120 Days from Invoice Date"/>
    <s v="27/07/2026"/>
  </r>
  <r>
    <s v="DCBWPM166287"/>
    <d v="2026-06-04T00:00:00"/>
    <s v="TECHNICAL TOOLS TRADING CO."/>
    <x v="0"/>
    <x v="0"/>
    <x v="0"/>
    <x v="0"/>
    <s v="SAR"/>
    <n v="200000"/>
    <n v="1"/>
    <n v="200000"/>
    <n v="0"/>
    <n v="0"/>
    <n v="200000"/>
    <d v="2026-08-31T00:00:00"/>
    <d v="2026-08-31T00:00:00"/>
    <s v="120 Days from Applicant representative sign on Invoice"/>
    <m/>
  </r>
  <r>
    <s v="DCBWPM166274"/>
    <d v="2026-06-04T00:00:00"/>
    <s v="TEN POINTS EST."/>
    <x v="0"/>
    <x v="0"/>
    <x v="0"/>
    <x v="0"/>
    <s v="SAR"/>
    <n v="450000"/>
    <n v="1"/>
    <n v="450000"/>
    <n v="0"/>
    <n v="0"/>
    <n v="450000"/>
    <d v="2026-08-31T00:00:00"/>
    <d v="2026-08-31T00:00:00"/>
    <s v="120 Days from Applicant representative sign on Invoice"/>
    <m/>
  </r>
  <r>
    <s v="JLC7000005"/>
    <d v="2026-01-01T00:00:00"/>
    <s v="Teqniye Al-Majra For Contracting"/>
    <x v="0"/>
    <x v="6"/>
    <x v="4"/>
    <x v="0"/>
    <s v="SAR"/>
    <n v="500000"/>
    <n v="1"/>
    <n v="500000"/>
    <n v="0"/>
    <n v="489669.97"/>
    <n v="10330.030000000001"/>
    <d v="2026-06-30T00:00:00"/>
    <d v="2026-06-30T00:00:00"/>
    <s v="90 Days from Appln Rep Sign on Invoice"/>
    <s v="02/08/2026"/>
  </r>
  <r>
    <s v="TF2604200011_B"/>
    <d v="2026-02-11T00:00:00"/>
    <s v="The Fundamental Installation For Electric Work Co"/>
    <x v="0"/>
    <x v="8"/>
    <x v="1"/>
    <x v="0"/>
    <s v="SAR"/>
    <n v="19000000"/>
    <n v="1"/>
    <n v="19000000"/>
    <n v="13000000"/>
    <n v="6000000"/>
    <n v="0"/>
    <d v="2026-06-30T00:00:00"/>
    <d v="2026-06-30T00:00:00"/>
    <s v="90 Days from Invoice Date"/>
    <s v="29/06/2026"/>
  </r>
  <r>
    <s v="ILC-0840-26-9073"/>
    <d v="2026-03-10T00:00:00"/>
    <s v="The Fundamental Installation For Electric Work Co"/>
    <x v="0"/>
    <x v="7"/>
    <x v="3"/>
    <x v="0"/>
    <s v="SAR"/>
    <n v="67000000"/>
    <n v="1"/>
    <n v="67000000"/>
    <n v="25000000"/>
    <n v="42000000"/>
    <n v="0"/>
    <d v="2026-06-30T00:00:00"/>
    <d v="2026-06-30T00:00:00"/>
    <s v="90 Days from Invoice Date"/>
    <s v="29/06/2026"/>
  </r>
  <r>
    <s v="DCBWPM163417"/>
    <d v="2026-03-16T00:00:00"/>
    <s v="The Fundamental Installation For Electric Work Co"/>
    <x v="0"/>
    <x v="0"/>
    <x v="0"/>
    <x v="0"/>
    <s v="SAR"/>
    <n v="14000000"/>
    <n v="1"/>
    <n v="14000000"/>
    <n v="10000000"/>
    <n v="4000000"/>
    <n v="0"/>
    <d v="2026-08-31T00:00:00"/>
    <d v="2026-08-31T00:00:00"/>
    <s v="90 Days from Invoice Date"/>
    <s v="13/07/2026"/>
  </r>
  <r>
    <s v="DCBWPM165765"/>
    <d v="2026-05-19T00:00:00"/>
    <s v="TRINDEL ARABIA LTD. CO"/>
    <x v="2"/>
    <x v="5"/>
    <x v="0"/>
    <x v="0"/>
    <s v="SAR"/>
    <n v="772046"/>
    <n v="1"/>
    <n v="772046"/>
    <n v="0"/>
    <n v="0"/>
    <n v="772046"/>
    <d v="2026-07-31T00:00:00"/>
    <d v="2026-07-10T00:00:00"/>
    <s v="90 Days from Appln Rep Sign on Invoice"/>
    <m/>
  </r>
  <r>
    <s v="JLC6801573"/>
    <d v="2024-08-25T00:00:00"/>
    <s v="Visio INC"/>
    <x v="1"/>
    <x v="9"/>
    <x v="4"/>
    <x v="1"/>
    <s v="SAR"/>
    <n v="16327500.880000001"/>
    <n v="1"/>
    <n v="16327500.880000001"/>
    <n v="15446722.59"/>
    <n v="0"/>
    <n v="880778.29"/>
    <d v="2026-06-30T00:00:00"/>
    <d v="2024-12-31T00:00:00"/>
    <s v="30 Days from Delivery Date"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1">
  <r>
    <x v="0"/>
    <x v="0"/>
    <s v="FIRST FIX"/>
    <x v="0"/>
    <x v="0"/>
    <x v="0"/>
    <m/>
    <x v="0"/>
    <x v="0"/>
    <x v="0"/>
    <x v="0"/>
    <x v="0"/>
  </r>
  <r>
    <x v="1"/>
    <x v="1"/>
    <s v="FIRST FIX"/>
    <x v="0"/>
    <x v="1"/>
    <x v="0"/>
    <n v="365011.38"/>
    <x v="1"/>
    <x v="0"/>
    <x v="0"/>
    <x v="1"/>
    <x v="1"/>
  </r>
  <r>
    <x v="2"/>
    <x v="2"/>
    <s v="FIRST FIX"/>
    <x v="1"/>
    <x v="2"/>
    <x v="1"/>
    <m/>
    <x v="2"/>
    <x v="1"/>
    <x v="0"/>
    <x v="0"/>
    <x v="0"/>
  </r>
  <r>
    <x v="3"/>
    <x v="3"/>
    <s v="FIRST FIX"/>
    <x v="0"/>
    <x v="3"/>
    <x v="0"/>
    <n v="1377731.72"/>
    <x v="3"/>
    <x v="0"/>
    <x v="0"/>
    <x v="2"/>
    <x v="2"/>
  </r>
  <r>
    <x v="4"/>
    <x v="4"/>
    <s v="FIRST FIX"/>
    <x v="0"/>
    <x v="4"/>
    <x v="0"/>
    <n v="194647.12"/>
    <x v="4"/>
    <x v="0"/>
    <x v="0"/>
    <x v="1"/>
    <x v="1"/>
  </r>
  <r>
    <x v="4"/>
    <x v="4"/>
    <s v="FIRST FIX"/>
    <x v="0"/>
    <x v="4"/>
    <x v="0"/>
    <n v="317042.21000000002"/>
    <x v="4"/>
    <x v="0"/>
    <x v="0"/>
    <x v="3"/>
    <x v="3"/>
  </r>
  <r>
    <x v="5"/>
    <x v="4"/>
    <s v="FIRST FIX"/>
    <x v="0"/>
    <x v="5"/>
    <x v="0"/>
    <m/>
    <x v="5"/>
    <x v="0"/>
    <x v="0"/>
    <x v="0"/>
    <x v="0"/>
  </r>
  <r>
    <x v="6"/>
    <x v="5"/>
    <s v="FIRST FIX"/>
    <x v="0"/>
    <x v="6"/>
    <x v="0"/>
    <n v="900000"/>
    <x v="6"/>
    <x v="0"/>
    <x v="0"/>
    <x v="4"/>
    <x v="4"/>
  </r>
  <r>
    <x v="7"/>
    <x v="6"/>
    <s v="FIRST FIX"/>
    <x v="0"/>
    <x v="7"/>
    <x v="0"/>
    <n v="125000"/>
    <x v="6"/>
    <x v="0"/>
    <x v="0"/>
    <x v="5"/>
    <x v="5"/>
  </r>
  <r>
    <x v="8"/>
    <x v="7"/>
    <s v="MBL"/>
    <x v="2"/>
    <x v="8"/>
    <x v="2"/>
    <m/>
    <x v="7"/>
    <x v="1"/>
    <x v="0"/>
    <x v="0"/>
    <x v="0"/>
  </r>
  <r>
    <x v="9"/>
    <x v="8"/>
    <s v="MBL/ICAD"/>
    <x v="3"/>
    <x v="9"/>
    <x v="0"/>
    <m/>
    <x v="8"/>
    <x v="2"/>
    <x v="0"/>
    <x v="0"/>
    <x v="0"/>
  </r>
  <r>
    <x v="10"/>
    <x v="9"/>
    <s v="FIRST FIX"/>
    <x v="0"/>
    <x v="10"/>
    <x v="0"/>
    <n v="1309266"/>
    <x v="9"/>
    <x v="0"/>
    <x v="0"/>
    <x v="1"/>
    <x v="1"/>
  </r>
  <r>
    <x v="11"/>
    <x v="10"/>
    <s v="MBL"/>
    <x v="4"/>
    <x v="11"/>
    <x v="3"/>
    <m/>
    <x v="10"/>
    <x v="3"/>
    <x v="0"/>
    <x v="0"/>
    <x v="0"/>
  </r>
  <r>
    <x v="12"/>
    <x v="11"/>
    <s v="FIRST FIX"/>
    <x v="0"/>
    <x v="1"/>
    <x v="0"/>
    <n v="500000"/>
    <x v="6"/>
    <x v="0"/>
    <x v="0"/>
    <x v="3"/>
    <x v="3"/>
  </r>
  <r>
    <x v="13"/>
    <x v="12"/>
    <s v="MBL"/>
    <x v="5"/>
    <x v="12"/>
    <x v="0"/>
    <m/>
    <x v="11"/>
    <x v="0"/>
    <x v="0"/>
    <x v="0"/>
    <x v="0"/>
  </r>
  <r>
    <x v="14"/>
    <x v="13"/>
    <s v="MBL/ICAD"/>
    <x v="3"/>
    <x v="13"/>
    <x v="0"/>
    <m/>
    <x v="12"/>
    <x v="2"/>
    <x v="0"/>
    <x v="0"/>
    <x v="0"/>
  </r>
  <r>
    <x v="15"/>
    <x v="14"/>
    <s v="FIRST FIX"/>
    <x v="6"/>
    <x v="14"/>
    <x v="0"/>
    <n v="567743.27"/>
    <x v="13"/>
    <x v="4"/>
    <x v="0"/>
    <x v="2"/>
    <x v="2"/>
  </r>
  <r>
    <x v="16"/>
    <x v="14"/>
    <s v="FIRST FIX"/>
    <x v="4"/>
    <x v="3"/>
    <x v="4"/>
    <m/>
    <x v="14"/>
    <x v="3"/>
    <x v="0"/>
    <x v="0"/>
    <x v="0"/>
  </r>
  <r>
    <x v="17"/>
    <x v="15"/>
    <s v="FIRST FIX"/>
    <x v="0"/>
    <x v="15"/>
    <x v="0"/>
    <n v="93855.09"/>
    <x v="15"/>
    <x v="0"/>
    <x v="0"/>
    <x v="6"/>
    <x v="6"/>
  </r>
  <r>
    <x v="18"/>
    <x v="16"/>
    <s v="FIRST FIX"/>
    <x v="0"/>
    <x v="16"/>
    <x v="0"/>
    <m/>
    <x v="16"/>
    <x v="0"/>
    <x v="0"/>
    <x v="0"/>
    <x v="0"/>
  </r>
  <r>
    <x v="19"/>
    <x v="17"/>
    <s v="FIRST FIX"/>
    <x v="0"/>
    <x v="17"/>
    <x v="0"/>
    <m/>
    <x v="17"/>
    <x v="0"/>
    <x v="0"/>
    <x v="0"/>
    <x v="0"/>
  </r>
  <r>
    <x v="20"/>
    <x v="17"/>
    <s v="FIRST FIX"/>
    <x v="0"/>
    <x v="0"/>
    <x v="0"/>
    <m/>
    <x v="0"/>
    <x v="0"/>
    <x v="0"/>
    <x v="0"/>
    <x v="0"/>
  </r>
  <r>
    <x v="21"/>
    <x v="18"/>
    <s v="MBL / Green Roots"/>
    <x v="7"/>
    <x v="18"/>
    <x v="0"/>
    <m/>
    <x v="18"/>
    <x v="0"/>
    <x v="0"/>
    <x v="0"/>
    <x v="0"/>
  </r>
  <r>
    <x v="22"/>
    <x v="19"/>
    <s v="MBL/AICS"/>
    <x v="3"/>
    <x v="19"/>
    <x v="5"/>
    <m/>
    <x v="19"/>
    <x v="2"/>
    <x v="0"/>
    <x v="0"/>
    <x v="0"/>
  </r>
  <r>
    <x v="23"/>
    <x v="19"/>
    <s v="MBL/AICS (L01)"/>
    <x v="3"/>
    <x v="20"/>
    <x v="6"/>
    <m/>
    <x v="20"/>
    <x v="2"/>
    <x v="0"/>
    <x v="0"/>
    <x v="0"/>
  </r>
  <r>
    <x v="24"/>
    <x v="20"/>
    <s v="FIRST FIX"/>
    <x v="0"/>
    <x v="21"/>
    <x v="0"/>
    <n v="995984.82"/>
    <x v="21"/>
    <x v="0"/>
    <x v="0"/>
    <x v="4"/>
    <x v="4"/>
  </r>
  <r>
    <x v="25"/>
    <x v="21"/>
    <s v="MBL"/>
    <x v="4"/>
    <x v="22"/>
    <x v="7"/>
    <m/>
    <x v="22"/>
    <x v="3"/>
    <x v="0"/>
    <x v="0"/>
    <x v="0"/>
  </r>
  <r>
    <x v="26"/>
    <x v="22"/>
    <s v="FIRST FIX"/>
    <x v="0"/>
    <x v="0"/>
    <x v="0"/>
    <m/>
    <x v="0"/>
    <x v="0"/>
    <x v="0"/>
    <x v="0"/>
    <x v="0"/>
  </r>
  <r>
    <x v="27"/>
    <x v="23"/>
    <s v="FIRST FIX"/>
    <x v="7"/>
    <x v="1"/>
    <x v="8"/>
    <m/>
    <x v="23"/>
    <x v="0"/>
    <x v="0"/>
    <x v="0"/>
    <x v="0"/>
  </r>
  <r>
    <x v="28"/>
    <x v="24"/>
    <s v="MBL"/>
    <x v="4"/>
    <x v="4"/>
    <x v="0"/>
    <m/>
    <x v="24"/>
    <x v="3"/>
    <x v="0"/>
    <x v="0"/>
    <x v="0"/>
  </r>
  <r>
    <x v="29"/>
    <x v="25"/>
    <s v="FIRST FIX"/>
    <x v="0"/>
    <x v="3"/>
    <x v="9"/>
    <n v="427806.8"/>
    <x v="25"/>
    <x v="0"/>
    <x v="0"/>
    <x v="3"/>
    <x v="3"/>
  </r>
  <r>
    <x v="30"/>
    <x v="26"/>
    <s v="ICAD"/>
    <x v="8"/>
    <x v="23"/>
    <x v="0"/>
    <m/>
    <x v="26"/>
    <x v="1"/>
    <x v="0"/>
    <x v="0"/>
    <x v="0"/>
  </r>
  <r>
    <x v="31"/>
    <x v="1"/>
    <s v="FIRST FIX"/>
    <x v="0"/>
    <x v="13"/>
    <x v="10"/>
    <n v="52759.519999999997"/>
    <x v="6"/>
    <x v="0"/>
    <x v="0"/>
    <x v="2"/>
    <x v="2"/>
  </r>
  <r>
    <x v="32"/>
    <x v="27"/>
    <s v="MBL/ICAD/Baumat"/>
    <x v="3"/>
    <x v="24"/>
    <x v="0"/>
    <m/>
    <x v="27"/>
    <x v="2"/>
    <x v="0"/>
    <x v="0"/>
    <x v="0"/>
  </r>
  <r>
    <x v="33"/>
    <x v="28"/>
    <s v="MBL/AICS"/>
    <x v="3"/>
    <x v="25"/>
    <x v="11"/>
    <n v="652505.4"/>
    <x v="28"/>
    <x v="2"/>
    <x v="0"/>
    <x v="7"/>
    <x v="7"/>
  </r>
  <r>
    <x v="34"/>
    <x v="29"/>
    <s v="FIRST FIX"/>
    <x v="0"/>
    <x v="26"/>
    <x v="12"/>
    <n v="106205.87"/>
    <x v="29"/>
    <x v="0"/>
    <x v="0"/>
    <x v="7"/>
    <x v="7"/>
  </r>
  <r>
    <x v="35"/>
    <x v="30"/>
    <s v="ICAD"/>
    <x v="8"/>
    <x v="27"/>
    <x v="0"/>
    <m/>
    <x v="30"/>
    <x v="1"/>
    <x v="0"/>
    <x v="0"/>
    <x v="0"/>
  </r>
  <r>
    <x v="36"/>
    <x v="31"/>
    <s v="FIRST FIX"/>
    <x v="0"/>
    <x v="28"/>
    <x v="0"/>
    <n v="278905.67"/>
    <x v="31"/>
    <x v="0"/>
    <x v="0"/>
    <x v="8"/>
    <x v="8"/>
  </r>
  <r>
    <x v="36"/>
    <x v="31"/>
    <s v="FIRST FIX"/>
    <x v="0"/>
    <x v="28"/>
    <x v="0"/>
    <n v="208813.02"/>
    <x v="31"/>
    <x v="0"/>
    <x v="0"/>
    <x v="1"/>
    <x v="1"/>
  </r>
  <r>
    <x v="37"/>
    <x v="5"/>
    <s v="FIRST FIX"/>
    <x v="0"/>
    <x v="1"/>
    <x v="0"/>
    <m/>
    <x v="32"/>
    <x v="0"/>
    <x v="0"/>
    <x v="0"/>
    <x v="0"/>
  </r>
  <r>
    <x v="38"/>
    <x v="32"/>
    <s v="MBL"/>
    <x v="9"/>
    <x v="29"/>
    <x v="13"/>
    <m/>
    <x v="33"/>
    <x v="4"/>
    <x v="1"/>
    <x v="0"/>
    <x v="0"/>
  </r>
  <r>
    <x v="39"/>
    <x v="33"/>
    <s v="MBL"/>
    <x v="2"/>
    <x v="30"/>
    <x v="14"/>
    <m/>
    <x v="34"/>
    <x v="1"/>
    <x v="0"/>
    <x v="0"/>
    <x v="0"/>
  </r>
  <r>
    <x v="40"/>
    <x v="34"/>
    <s v="FIRST FIX"/>
    <x v="4"/>
    <x v="31"/>
    <x v="15"/>
    <m/>
    <x v="35"/>
    <x v="3"/>
    <x v="0"/>
    <x v="0"/>
    <x v="0"/>
  </r>
  <r>
    <x v="41"/>
    <x v="35"/>
    <s v="MBL/ICAD"/>
    <x v="3"/>
    <x v="32"/>
    <x v="16"/>
    <n v="4960446.9619200006"/>
    <x v="36"/>
    <x v="2"/>
    <x v="0"/>
    <x v="9"/>
    <x v="9"/>
  </r>
  <r>
    <x v="41"/>
    <x v="35"/>
    <s v="MBL/ICAD"/>
    <x v="3"/>
    <x v="32"/>
    <x v="16"/>
    <n v="4566890.3481600005"/>
    <x v="36"/>
    <x v="2"/>
    <x v="0"/>
    <x v="7"/>
    <x v="7"/>
  </r>
  <r>
    <x v="42"/>
    <x v="36"/>
    <s v="FIRST FIX"/>
    <x v="0"/>
    <x v="21"/>
    <x v="0"/>
    <m/>
    <x v="37"/>
    <x v="0"/>
    <x v="0"/>
    <x v="0"/>
    <x v="0"/>
  </r>
  <r>
    <x v="43"/>
    <x v="37"/>
    <s v="FIRST FIX"/>
    <x v="10"/>
    <x v="6"/>
    <x v="17"/>
    <m/>
    <x v="38"/>
    <x v="2"/>
    <x v="0"/>
    <x v="0"/>
    <x v="0"/>
  </r>
  <r>
    <x v="44"/>
    <x v="38"/>
    <s v="MBL/ICAD"/>
    <x v="3"/>
    <x v="33"/>
    <x v="0"/>
    <n v="2193076"/>
    <x v="6"/>
    <x v="2"/>
    <x v="0"/>
    <x v="5"/>
    <x v="5"/>
  </r>
  <r>
    <x v="45"/>
    <x v="35"/>
    <s v="ICAD"/>
    <x v="1"/>
    <x v="34"/>
    <x v="18"/>
    <m/>
    <x v="39"/>
    <x v="1"/>
    <x v="0"/>
    <x v="0"/>
    <x v="0"/>
  </r>
  <r>
    <x v="46"/>
    <x v="39"/>
    <s v="MBL"/>
    <x v="2"/>
    <x v="35"/>
    <x v="19"/>
    <m/>
    <x v="40"/>
    <x v="1"/>
    <x v="0"/>
    <x v="0"/>
    <x v="0"/>
  </r>
  <r>
    <x v="47"/>
    <x v="1"/>
    <s v="FIRST FIX"/>
    <x v="0"/>
    <x v="36"/>
    <x v="20"/>
    <m/>
    <x v="41"/>
    <x v="0"/>
    <x v="0"/>
    <x v="0"/>
    <x v="0"/>
  </r>
  <r>
    <x v="48"/>
    <x v="40"/>
    <s v="MBL/ICAD"/>
    <x v="3"/>
    <x v="37"/>
    <x v="0"/>
    <m/>
    <x v="42"/>
    <x v="2"/>
    <x v="0"/>
    <x v="0"/>
    <x v="0"/>
  </r>
  <r>
    <x v="49"/>
    <x v="41"/>
    <s v="MBL/ICAD"/>
    <x v="5"/>
    <x v="38"/>
    <x v="0"/>
    <m/>
    <x v="43"/>
    <x v="0"/>
    <x v="0"/>
    <x v="0"/>
    <x v="0"/>
  </r>
  <r>
    <x v="50"/>
    <x v="41"/>
    <s v="FIRST FIX"/>
    <x v="0"/>
    <x v="21"/>
    <x v="0"/>
    <m/>
    <x v="37"/>
    <x v="0"/>
    <x v="0"/>
    <x v="0"/>
    <x v="0"/>
  </r>
  <r>
    <x v="51"/>
    <x v="42"/>
    <s v="MBL"/>
    <x v="1"/>
    <x v="39"/>
    <x v="0"/>
    <n v="5643717.4500000002"/>
    <x v="44"/>
    <x v="1"/>
    <x v="0"/>
    <x v="5"/>
    <x v="5"/>
  </r>
  <r>
    <x v="51"/>
    <x v="42"/>
    <s v="MBL"/>
    <x v="1"/>
    <x v="39"/>
    <x v="0"/>
    <n v="2593391.5299999998"/>
    <x v="44"/>
    <x v="1"/>
    <x v="0"/>
    <x v="10"/>
    <x v="10"/>
  </r>
  <r>
    <x v="52"/>
    <x v="43"/>
    <s v="FIRST FIX"/>
    <x v="4"/>
    <x v="40"/>
    <x v="0"/>
    <m/>
    <x v="45"/>
    <x v="3"/>
    <x v="0"/>
    <x v="0"/>
    <x v="0"/>
  </r>
  <r>
    <x v="53"/>
    <x v="38"/>
    <s v="FIRST FIX"/>
    <x v="0"/>
    <x v="21"/>
    <x v="0"/>
    <m/>
    <x v="37"/>
    <x v="0"/>
    <x v="0"/>
    <x v="0"/>
    <x v="0"/>
  </r>
  <r>
    <x v="54"/>
    <x v="44"/>
    <s v="FIRST FIX"/>
    <x v="0"/>
    <x v="21"/>
    <x v="0"/>
    <m/>
    <x v="37"/>
    <x v="0"/>
    <x v="0"/>
    <x v="0"/>
    <x v="0"/>
  </r>
  <r>
    <x v="55"/>
    <x v="45"/>
    <s v="FIRST FIX"/>
    <x v="0"/>
    <x v="15"/>
    <x v="0"/>
    <m/>
    <x v="46"/>
    <x v="0"/>
    <x v="0"/>
    <x v="0"/>
    <x v="0"/>
  </r>
  <r>
    <x v="56"/>
    <x v="20"/>
    <s v="FIRST FIX"/>
    <x v="0"/>
    <x v="21"/>
    <x v="0"/>
    <m/>
    <x v="37"/>
    <x v="0"/>
    <x v="0"/>
    <x v="0"/>
    <x v="0"/>
  </r>
  <r>
    <x v="57"/>
    <x v="46"/>
    <s v="FIRST FIX"/>
    <x v="0"/>
    <x v="0"/>
    <x v="0"/>
    <m/>
    <x v="0"/>
    <x v="0"/>
    <x v="0"/>
    <x v="0"/>
    <x v="0"/>
  </r>
  <r>
    <x v="58"/>
    <x v="47"/>
    <s v="FIRST FIX"/>
    <x v="7"/>
    <x v="41"/>
    <x v="21"/>
    <m/>
    <x v="47"/>
    <x v="0"/>
    <x v="0"/>
    <x v="0"/>
    <x v="0"/>
  </r>
  <r>
    <x v="59"/>
    <x v="48"/>
    <s v="MBL"/>
    <x v="2"/>
    <x v="42"/>
    <x v="22"/>
    <m/>
    <x v="48"/>
    <x v="1"/>
    <x v="0"/>
    <x v="0"/>
    <x v="0"/>
  </r>
  <r>
    <x v="60"/>
    <x v="49"/>
    <s v="FIRST FIX"/>
    <x v="0"/>
    <x v="36"/>
    <x v="0"/>
    <m/>
    <x v="49"/>
    <x v="0"/>
    <x v="0"/>
    <x v="0"/>
    <x v="0"/>
  </r>
  <r>
    <x v="61"/>
    <x v="50"/>
    <s v="FIRST FIX"/>
    <x v="1"/>
    <x v="43"/>
    <x v="23"/>
    <m/>
    <x v="50"/>
    <x v="1"/>
    <x v="0"/>
    <x v="0"/>
    <x v="0"/>
  </r>
  <r>
    <x v="62"/>
    <x v="51"/>
    <s v="MBL"/>
    <x v="4"/>
    <x v="44"/>
    <x v="24"/>
    <n v="112200.9"/>
    <x v="51"/>
    <x v="3"/>
    <x v="0"/>
    <x v="3"/>
    <x v="3"/>
  </r>
  <r>
    <x v="63"/>
    <x v="51"/>
    <s v="MBL"/>
    <x v="8"/>
    <x v="12"/>
    <x v="0"/>
    <m/>
    <x v="11"/>
    <x v="1"/>
    <x v="0"/>
    <x v="0"/>
    <x v="0"/>
  </r>
  <r>
    <x v="64"/>
    <x v="52"/>
    <s v="MBL/ICAD"/>
    <x v="3"/>
    <x v="45"/>
    <x v="0"/>
    <m/>
    <x v="52"/>
    <x v="2"/>
    <x v="0"/>
    <x v="0"/>
    <x v="0"/>
  </r>
  <r>
    <x v="65"/>
    <x v="53"/>
    <s v="FIRST FIX"/>
    <x v="0"/>
    <x v="1"/>
    <x v="0"/>
    <m/>
    <x v="32"/>
    <x v="0"/>
    <x v="0"/>
    <x v="0"/>
    <x v="0"/>
  </r>
  <r>
    <x v="66"/>
    <x v="53"/>
    <s v="FIRST FIX"/>
    <x v="0"/>
    <x v="13"/>
    <x v="0"/>
    <m/>
    <x v="12"/>
    <x v="0"/>
    <x v="0"/>
    <x v="0"/>
    <x v="0"/>
  </r>
  <r>
    <x v="67"/>
    <x v="54"/>
    <s v="MBL"/>
    <x v="2"/>
    <x v="46"/>
    <x v="25"/>
    <m/>
    <x v="53"/>
    <x v="2"/>
    <x v="0"/>
    <x v="0"/>
    <x v="0"/>
  </r>
  <r>
    <x v="68"/>
    <x v="55"/>
    <s v="MBL/United Arab Aluminum Co"/>
    <x v="6"/>
    <x v="47"/>
    <x v="26"/>
    <m/>
    <x v="54"/>
    <x v="4"/>
    <x v="0"/>
    <x v="0"/>
    <x v="0"/>
  </r>
  <r>
    <x v="69"/>
    <x v="55"/>
    <s v="MBL/United Arab Aluminum Co"/>
    <x v="6"/>
    <x v="48"/>
    <x v="27"/>
    <m/>
    <x v="55"/>
    <x v="4"/>
    <x v="0"/>
    <x v="0"/>
    <x v="0"/>
  </r>
  <r>
    <x v="70"/>
    <x v="56"/>
    <s v="FIRST FIX"/>
    <x v="0"/>
    <x v="15"/>
    <x v="0"/>
    <n v="150000"/>
    <x v="6"/>
    <x v="0"/>
    <x v="0"/>
    <x v="3"/>
    <x v="3"/>
  </r>
  <r>
    <x v="71"/>
    <x v="57"/>
    <s v="FIRST FIX"/>
    <x v="0"/>
    <x v="49"/>
    <x v="0"/>
    <m/>
    <x v="56"/>
    <x v="0"/>
    <x v="0"/>
    <x v="0"/>
    <x v="0"/>
  </r>
  <r>
    <x v="72"/>
    <x v="58"/>
    <s v="MBL"/>
    <x v="7"/>
    <x v="11"/>
    <x v="0"/>
    <n v="10000000"/>
    <x v="6"/>
    <x v="0"/>
    <x v="0"/>
    <x v="2"/>
    <x v="2"/>
  </r>
  <r>
    <x v="73"/>
    <x v="58"/>
    <s v="MBL"/>
    <x v="7"/>
    <x v="50"/>
    <x v="0"/>
    <n v="21481033"/>
    <x v="6"/>
    <x v="1"/>
    <x v="0"/>
    <x v="2"/>
    <x v="2"/>
  </r>
  <r>
    <x v="74"/>
    <x v="59"/>
    <s v="ICAD"/>
    <x v="8"/>
    <x v="51"/>
    <x v="0"/>
    <n v="4000000"/>
    <x v="6"/>
    <x v="1"/>
    <x v="0"/>
    <x v="5"/>
    <x v="5"/>
  </r>
  <r>
    <x v="74"/>
    <x v="59"/>
    <s v="ICAD"/>
    <x v="8"/>
    <x v="51"/>
    <x v="0"/>
    <n v="4724333.9400000004"/>
    <x v="6"/>
    <x v="1"/>
    <x v="0"/>
    <x v="3"/>
    <x v="3"/>
  </r>
  <r>
    <x v="74"/>
    <x v="59"/>
    <s v="ICAD"/>
    <x v="8"/>
    <x v="51"/>
    <x v="0"/>
    <n v="7000000"/>
    <x v="6"/>
    <x v="1"/>
    <x v="0"/>
    <x v="3"/>
    <x v="3"/>
  </r>
  <r>
    <x v="75"/>
    <x v="60"/>
    <s v="FIRST FIX"/>
    <x v="0"/>
    <x v="52"/>
    <x v="0"/>
    <n v="397090"/>
    <x v="6"/>
    <x v="0"/>
    <x v="0"/>
    <x v="1"/>
    <x v="1"/>
  </r>
  <r>
    <x v="76"/>
    <x v="61"/>
    <s v="FIRST FIX"/>
    <x v="4"/>
    <x v="53"/>
    <x v="0"/>
    <m/>
    <x v="57"/>
    <x v="3"/>
    <x v="0"/>
    <x v="0"/>
    <x v="0"/>
  </r>
  <r>
    <x v="77"/>
    <x v="62"/>
    <s v="MBL"/>
    <x v="5"/>
    <x v="54"/>
    <x v="0"/>
    <m/>
    <x v="58"/>
    <x v="0"/>
    <x v="0"/>
    <x v="0"/>
    <x v="0"/>
  </r>
  <r>
    <x v="78"/>
    <x v="63"/>
    <s v="FIRST FIX"/>
    <x v="6"/>
    <x v="1"/>
    <x v="0"/>
    <n v="500000"/>
    <x v="6"/>
    <x v="4"/>
    <x v="0"/>
    <x v="3"/>
    <x v="3"/>
  </r>
  <r>
    <x v="79"/>
    <x v="64"/>
    <s v="FIRST FIX"/>
    <x v="7"/>
    <x v="55"/>
    <x v="28"/>
    <m/>
    <x v="59"/>
    <x v="0"/>
    <x v="0"/>
    <x v="0"/>
    <x v="0"/>
  </r>
  <r>
    <x v="80"/>
    <x v="65"/>
    <s v="FIRST FIX"/>
    <x v="0"/>
    <x v="1"/>
    <x v="0"/>
    <m/>
    <x v="32"/>
    <x v="0"/>
    <x v="0"/>
    <x v="0"/>
    <x v="0"/>
  </r>
  <r>
    <x v="81"/>
    <x v="66"/>
    <s v="FIRST FIX"/>
    <x v="0"/>
    <x v="21"/>
    <x v="0"/>
    <m/>
    <x v="37"/>
    <x v="0"/>
    <x v="0"/>
    <x v="0"/>
    <x v="0"/>
  </r>
  <r>
    <x v="82"/>
    <x v="67"/>
    <s v="FIRST FIX"/>
    <x v="0"/>
    <x v="56"/>
    <x v="0"/>
    <n v="299758.8"/>
    <x v="60"/>
    <x v="0"/>
    <x v="0"/>
    <x v="4"/>
    <x v="4"/>
  </r>
  <r>
    <x v="83"/>
    <x v="67"/>
    <s v="FIRST FIX"/>
    <x v="0"/>
    <x v="57"/>
    <x v="0"/>
    <m/>
    <x v="61"/>
    <x v="0"/>
    <x v="0"/>
    <x v="0"/>
    <x v="0"/>
  </r>
  <r>
    <x v="84"/>
    <x v="68"/>
    <s v="FIRST FIX"/>
    <x v="6"/>
    <x v="21"/>
    <x v="0"/>
    <n v="1000000"/>
    <x v="6"/>
    <x v="4"/>
    <x v="0"/>
    <x v="3"/>
    <x v="3"/>
  </r>
  <r>
    <x v="85"/>
    <x v="69"/>
    <s v="MBL/ICAD"/>
    <x v="3"/>
    <x v="13"/>
    <x v="0"/>
    <m/>
    <x v="12"/>
    <x v="2"/>
    <x v="0"/>
    <x v="0"/>
    <x v="0"/>
  </r>
  <r>
    <x v="86"/>
    <x v="70"/>
    <s v="ICAD"/>
    <x v="1"/>
    <x v="58"/>
    <x v="29"/>
    <m/>
    <x v="62"/>
    <x v="1"/>
    <x v="0"/>
    <x v="0"/>
    <x v="0"/>
  </r>
  <r>
    <x v="87"/>
    <x v="70"/>
    <s v="ICAD"/>
    <x v="1"/>
    <x v="59"/>
    <x v="0"/>
    <m/>
    <x v="63"/>
    <x v="1"/>
    <x v="0"/>
    <x v="0"/>
    <x v="0"/>
  </r>
  <r>
    <x v="88"/>
    <x v="71"/>
    <s v="FIRST FIX"/>
    <x v="0"/>
    <x v="49"/>
    <x v="0"/>
    <m/>
    <x v="56"/>
    <x v="0"/>
    <x v="0"/>
    <x v="0"/>
    <x v="0"/>
  </r>
  <r>
    <x v="89"/>
    <x v="72"/>
    <s v="MBL"/>
    <x v="3"/>
    <x v="60"/>
    <x v="0"/>
    <n v="386858.95"/>
    <x v="64"/>
    <x v="2"/>
    <x v="0"/>
    <x v="11"/>
    <x v="11"/>
  </r>
  <r>
    <x v="90"/>
    <x v="73"/>
    <s v="FIRST FIX"/>
    <x v="0"/>
    <x v="0"/>
    <x v="0"/>
    <m/>
    <x v="0"/>
    <x v="0"/>
    <x v="0"/>
    <x v="0"/>
    <x v="0"/>
  </r>
  <r>
    <x v="91"/>
    <x v="74"/>
    <s v="MBL/ICAD"/>
    <x v="3"/>
    <x v="61"/>
    <x v="0"/>
    <m/>
    <x v="65"/>
    <x v="2"/>
    <x v="0"/>
    <x v="0"/>
    <x v="0"/>
  </r>
  <r>
    <x v="92"/>
    <x v="75"/>
    <s v="FIRST FIX"/>
    <x v="0"/>
    <x v="1"/>
    <x v="0"/>
    <n v="500000"/>
    <x v="6"/>
    <x v="0"/>
    <x v="0"/>
    <x v="4"/>
    <x v="4"/>
  </r>
  <r>
    <x v="93"/>
    <x v="75"/>
    <s v="FIRST FIX"/>
    <x v="0"/>
    <x v="0"/>
    <x v="0"/>
    <n v="200000"/>
    <x v="6"/>
    <x v="0"/>
    <x v="0"/>
    <x v="10"/>
    <x v="10"/>
  </r>
  <r>
    <x v="94"/>
    <x v="75"/>
    <s v="FIRST FIX"/>
    <x v="0"/>
    <x v="49"/>
    <x v="0"/>
    <m/>
    <x v="56"/>
    <x v="0"/>
    <x v="0"/>
    <x v="0"/>
    <x v="0"/>
  </r>
  <r>
    <x v="95"/>
    <x v="76"/>
    <s v="FIRST FIX"/>
    <x v="0"/>
    <x v="1"/>
    <x v="0"/>
    <m/>
    <x v="32"/>
    <x v="0"/>
    <x v="0"/>
    <x v="0"/>
    <x v="0"/>
  </r>
  <r>
    <x v="96"/>
    <x v="77"/>
    <s v="FIRST FIX"/>
    <x v="0"/>
    <x v="62"/>
    <x v="30"/>
    <m/>
    <x v="66"/>
    <x v="0"/>
    <x v="0"/>
    <x v="0"/>
    <x v="0"/>
  </r>
  <r>
    <x v="97"/>
    <x v="78"/>
    <s v="MBL"/>
    <x v="6"/>
    <x v="63"/>
    <x v="31"/>
    <n v="467861.1"/>
    <x v="67"/>
    <x v="4"/>
    <x v="0"/>
    <x v="1"/>
    <x v="1"/>
  </r>
  <r>
    <x v="97"/>
    <x v="78"/>
    <s v="MBL"/>
    <x v="6"/>
    <x v="63"/>
    <x v="31"/>
    <n v="284755.58"/>
    <x v="67"/>
    <x v="4"/>
    <x v="0"/>
    <x v="7"/>
    <x v="7"/>
  </r>
  <r>
    <x v="98"/>
    <x v="78"/>
    <s v="MBL"/>
    <x v="6"/>
    <x v="64"/>
    <x v="32"/>
    <m/>
    <x v="68"/>
    <x v="4"/>
    <x v="1"/>
    <x v="0"/>
    <x v="0"/>
  </r>
  <r>
    <x v="99"/>
    <x v="78"/>
    <s v="MBL"/>
    <x v="6"/>
    <x v="65"/>
    <x v="33"/>
    <n v="735540"/>
    <x v="69"/>
    <x v="4"/>
    <x v="0"/>
    <x v="1"/>
    <x v="1"/>
  </r>
  <r>
    <x v="100"/>
    <x v="79"/>
    <s v="MBL"/>
    <x v="4"/>
    <x v="66"/>
    <x v="34"/>
    <m/>
    <x v="70"/>
    <x v="3"/>
    <x v="0"/>
    <x v="0"/>
    <x v="0"/>
  </r>
  <r>
    <x v="101"/>
    <x v="80"/>
    <s v="FIRST FIX"/>
    <x v="0"/>
    <x v="6"/>
    <x v="0"/>
    <n v="900000"/>
    <x v="6"/>
    <x v="0"/>
    <x v="0"/>
    <x v="2"/>
    <x v="2"/>
  </r>
  <r>
    <x v="102"/>
    <x v="81"/>
    <s v="FIRST FIX"/>
    <x v="0"/>
    <x v="67"/>
    <x v="0"/>
    <m/>
    <x v="71"/>
    <x v="0"/>
    <x v="0"/>
    <x v="0"/>
    <x v="0"/>
  </r>
  <r>
    <x v="103"/>
    <x v="82"/>
    <s v="FIRST FIX"/>
    <x v="0"/>
    <x v="17"/>
    <x v="0"/>
    <n v="312768.11"/>
    <x v="72"/>
    <x v="0"/>
    <x v="0"/>
    <x v="5"/>
    <x v="5"/>
  </r>
  <r>
    <x v="104"/>
    <x v="83"/>
    <s v="FIRST FIX"/>
    <x v="1"/>
    <x v="68"/>
    <x v="35"/>
    <m/>
    <x v="73"/>
    <x v="1"/>
    <x v="0"/>
    <x v="0"/>
    <x v="0"/>
  </r>
  <r>
    <x v="105"/>
    <x v="84"/>
    <s v="MBL"/>
    <x v="2"/>
    <x v="69"/>
    <x v="36"/>
    <m/>
    <x v="74"/>
    <x v="2"/>
    <x v="0"/>
    <x v="0"/>
    <x v="0"/>
  </r>
  <r>
    <x v="106"/>
    <x v="85"/>
    <s v="FIRST FIX"/>
    <x v="4"/>
    <x v="70"/>
    <x v="37"/>
    <m/>
    <x v="75"/>
    <x v="3"/>
    <x v="0"/>
    <x v="0"/>
    <x v="0"/>
  </r>
  <r>
    <x v="107"/>
    <x v="86"/>
    <s v="FIRST FIX"/>
    <x v="4"/>
    <x v="71"/>
    <x v="38"/>
    <n v="199393.9"/>
    <x v="76"/>
    <x v="3"/>
    <x v="0"/>
    <x v="1"/>
    <x v="1"/>
  </r>
  <r>
    <x v="108"/>
    <x v="87"/>
    <s v="FIRST FIX"/>
    <x v="0"/>
    <x v="5"/>
    <x v="0"/>
    <m/>
    <x v="5"/>
    <x v="0"/>
    <x v="0"/>
    <x v="0"/>
    <x v="0"/>
  </r>
  <r>
    <x v="109"/>
    <x v="88"/>
    <s v="FIRST FIX"/>
    <x v="0"/>
    <x v="1"/>
    <x v="0"/>
    <n v="500000"/>
    <x v="6"/>
    <x v="0"/>
    <x v="0"/>
    <x v="3"/>
    <x v="3"/>
  </r>
  <r>
    <x v="110"/>
    <x v="88"/>
    <s v="FIRST FIX"/>
    <x v="0"/>
    <x v="1"/>
    <x v="0"/>
    <m/>
    <x v="32"/>
    <x v="0"/>
    <x v="0"/>
    <x v="0"/>
    <x v="0"/>
  </r>
  <r>
    <x v="111"/>
    <x v="89"/>
    <s v="FIRST FIX"/>
    <x v="0"/>
    <x v="72"/>
    <x v="0"/>
    <m/>
    <x v="77"/>
    <x v="0"/>
    <x v="0"/>
    <x v="0"/>
    <x v="0"/>
  </r>
  <r>
    <x v="112"/>
    <x v="90"/>
    <s v="FIRST FIX"/>
    <x v="0"/>
    <x v="1"/>
    <x v="0"/>
    <m/>
    <x v="32"/>
    <x v="0"/>
    <x v="0"/>
    <x v="0"/>
    <x v="0"/>
  </r>
  <r>
    <x v="113"/>
    <x v="91"/>
    <s v="MBL"/>
    <x v="8"/>
    <x v="73"/>
    <x v="39"/>
    <n v="1198665"/>
    <x v="78"/>
    <x v="1"/>
    <x v="0"/>
    <x v="9"/>
    <x v="9"/>
  </r>
  <r>
    <x v="114"/>
    <x v="92"/>
    <s v="FIRST FIX"/>
    <x v="0"/>
    <x v="74"/>
    <x v="0"/>
    <n v="4000000"/>
    <x v="6"/>
    <x v="0"/>
    <x v="0"/>
    <x v="4"/>
    <x v="4"/>
  </r>
  <r>
    <x v="115"/>
    <x v="92"/>
    <s v="FIRST FIX"/>
    <x v="0"/>
    <x v="6"/>
    <x v="0"/>
    <m/>
    <x v="79"/>
    <x v="0"/>
    <x v="0"/>
    <x v="0"/>
    <x v="0"/>
  </r>
  <r>
    <x v="116"/>
    <x v="92"/>
    <s v="FIRST FIX"/>
    <x v="0"/>
    <x v="1"/>
    <x v="0"/>
    <m/>
    <x v="32"/>
    <x v="0"/>
    <x v="0"/>
    <x v="0"/>
    <x v="0"/>
  </r>
  <r>
    <x v="117"/>
    <x v="93"/>
    <s v="FIRST FIX"/>
    <x v="0"/>
    <x v="75"/>
    <x v="0"/>
    <m/>
    <x v="80"/>
    <x v="0"/>
    <x v="0"/>
    <x v="0"/>
    <x v="0"/>
  </r>
  <r>
    <x v="118"/>
    <x v="94"/>
    <s v="FIRST FIX"/>
    <x v="0"/>
    <x v="21"/>
    <x v="40"/>
    <m/>
    <x v="81"/>
    <x v="0"/>
    <x v="0"/>
    <x v="0"/>
    <x v="0"/>
  </r>
  <r>
    <x v="119"/>
    <x v="94"/>
    <s v="FIRST FIX"/>
    <x v="0"/>
    <x v="0"/>
    <x v="0"/>
    <m/>
    <x v="0"/>
    <x v="0"/>
    <x v="0"/>
    <x v="0"/>
    <x v="0"/>
  </r>
  <r>
    <x v="120"/>
    <x v="95"/>
    <s v="MBL"/>
    <x v="11"/>
    <x v="61"/>
    <x v="41"/>
    <n v="949900"/>
    <x v="82"/>
    <x v="5"/>
    <x v="0"/>
    <x v="3"/>
    <x v="3"/>
  </r>
  <r>
    <x v="121"/>
    <x v="96"/>
    <s v="FIRST FIX"/>
    <x v="6"/>
    <x v="1"/>
    <x v="42"/>
    <m/>
    <x v="83"/>
    <x v="4"/>
    <x v="0"/>
    <x v="0"/>
    <x v="0"/>
  </r>
  <r>
    <x v="122"/>
    <x v="97"/>
    <s v="MBL/ICAD"/>
    <x v="3"/>
    <x v="1"/>
    <x v="0"/>
    <n v="500000"/>
    <x v="6"/>
    <x v="2"/>
    <x v="0"/>
    <x v="3"/>
    <x v="3"/>
  </r>
  <r>
    <x v="123"/>
    <x v="98"/>
    <s v="MBL"/>
    <x v="4"/>
    <x v="61"/>
    <x v="0"/>
    <m/>
    <x v="65"/>
    <x v="3"/>
    <x v="0"/>
    <x v="0"/>
    <x v="0"/>
  </r>
  <r>
    <x v="124"/>
    <x v="99"/>
    <s v="FIRST FIX"/>
    <x v="0"/>
    <x v="21"/>
    <x v="0"/>
    <n v="1000000"/>
    <x v="6"/>
    <x v="0"/>
    <x v="0"/>
    <x v="5"/>
    <x v="5"/>
  </r>
  <r>
    <x v="125"/>
    <x v="100"/>
    <s v="MBL/ICAD"/>
    <x v="3"/>
    <x v="76"/>
    <x v="0"/>
    <m/>
    <x v="84"/>
    <x v="2"/>
    <x v="0"/>
    <x v="0"/>
    <x v="0"/>
  </r>
  <r>
    <x v="126"/>
    <x v="101"/>
    <s v="FIRST FIX"/>
    <x v="0"/>
    <x v="1"/>
    <x v="0"/>
    <m/>
    <x v="32"/>
    <x v="0"/>
    <x v="0"/>
    <x v="0"/>
    <x v="0"/>
  </r>
  <r>
    <x v="127"/>
    <x v="102"/>
    <s v="FIRST FIX"/>
    <x v="4"/>
    <x v="57"/>
    <x v="0"/>
    <m/>
    <x v="61"/>
    <x v="3"/>
    <x v="0"/>
    <x v="0"/>
    <x v="0"/>
  </r>
  <r>
    <x v="128"/>
    <x v="103"/>
    <s v="FIRST FIX"/>
    <x v="4"/>
    <x v="77"/>
    <x v="0"/>
    <m/>
    <x v="85"/>
    <x v="3"/>
    <x v="0"/>
    <x v="0"/>
    <x v="0"/>
  </r>
  <r>
    <x v="129"/>
    <x v="104"/>
    <s v="MBL"/>
    <x v="2"/>
    <x v="78"/>
    <x v="43"/>
    <n v="412500"/>
    <x v="86"/>
    <x v="1"/>
    <x v="0"/>
    <x v="7"/>
    <x v="7"/>
  </r>
  <r>
    <x v="130"/>
    <x v="105"/>
    <s v="MBL/ICAD"/>
    <x v="3"/>
    <x v="79"/>
    <x v="0"/>
    <m/>
    <x v="87"/>
    <x v="2"/>
    <x v="0"/>
    <x v="0"/>
    <x v="0"/>
  </r>
  <r>
    <x v="131"/>
    <x v="106"/>
    <s v="FIRST FIX"/>
    <x v="4"/>
    <x v="80"/>
    <x v="44"/>
    <m/>
    <x v="88"/>
    <x v="3"/>
    <x v="0"/>
    <x v="0"/>
    <x v="0"/>
  </r>
  <r>
    <x v="132"/>
    <x v="107"/>
    <s v="FIRST FIX"/>
    <x v="6"/>
    <x v="81"/>
    <x v="0"/>
    <m/>
    <x v="89"/>
    <x v="4"/>
    <x v="0"/>
    <x v="0"/>
    <x v="0"/>
  </r>
  <r>
    <x v="133"/>
    <x v="107"/>
    <s v="FIRST FIX"/>
    <x v="6"/>
    <x v="82"/>
    <x v="0"/>
    <n v="710700"/>
    <x v="90"/>
    <x v="4"/>
    <x v="0"/>
    <x v="3"/>
    <x v="3"/>
  </r>
  <r>
    <x v="134"/>
    <x v="108"/>
    <s v="MBL"/>
    <x v="5"/>
    <x v="83"/>
    <x v="45"/>
    <n v="902623.5"/>
    <x v="6"/>
    <x v="0"/>
    <x v="0"/>
    <x v="9"/>
    <x v="9"/>
  </r>
  <r>
    <x v="134"/>
    <x v="108"/>
    <s v="MBL"/>
    <x v="5"/>
    <x v="83"/>
    <x v="45"/>
    <n v="197064"/>
    <x v="6"/>
    <x v="0"/>
    <x v="0"/>
    <x v="12"/>
    <x v="12"/>
  </r>
  <r>
    <x v="135"/>
    <x v="109"/>
    <s v="FIRST FIX"/>
    <x v="0"/>
    <x v="49"/>
    <x v="0"/>
    <m/>
    <x v="56"/>
    <x v="0"/>
    <x v="0"/>
    <x v="0"/>
    <x v="0"/>
  </r>
  <r>
    <x v="136"/>
    <x v="110"/>
    <s v="FIRST FIX"/>
    <x v="4"/>
    <x v="84"/>
    <x v="46"/>
    <m/>
    <x v="91"/>
    <x v="3"/>
    <x v="0"/>
    <x v="0"/>
    <x v="0"/>
  </r>
  <r>
    <x v="137"/>
    <x v="111"/>
    <s v="FIRST FIX"/>
    <x v="10"/>
    <x v="85"/>
    <x v="47"/>
    <n v="702587.67"/>
    <x v="92"/>
    <x v="1"/>
    <x v="0"/>
    <x v="6"/>
    <x v="6"/>
  </r>
  <r>
    <x v="138"/>
    <x v="112"/>
    <s v="FIRST FIX"/>
    <x v="6"/>
    <x v="1"/>
    <x v="0"/>
    <n v="500000"/>
    <x v="6"/>
    <x v="4"/>
    <x v="0"/>
    <x v="5"/>
    <x v="5"/>
  </r>
  <r>
    <x v="139"/>
    <x v="112"/>
    <s v="FIRST FIX"/>
    <x v="6"/>
    <x v="1"/>
    <x v="0"/>
    <n v="500000"/>
    <x v="6"/>
    <x v="4"/>
    <x v="0"/>
    <x v="1"/>
    <x v="1"/>
  </r>
  <r>
    <x v="140"/>
    <x v="113"/>
    <s v="FIRST FIX"/>
    <x v="0"/>
    <x v="57"/>
    <x v="0"/>
    <m/>
    <x v="61"/>
    <x v="0"/>
    <x v="0"/>
    <x v="0"/>
    <x v="0"/>
  </r>
  <r>
    <x v="141"/>
    <x v="114"/>
    <s v="FIRST FIX"/>
    <x v="10"/>
    <x v="57"/>
    <x v="0"/>
    <m/>
    <x v="61"/>
    <x v="1"/>
    <x v="0"/>
    <x v="0"/>
    <x v="0"/>
  </r>
  <r>
    <x v="142"/>
    <x v="115"/>
    <s v="FIRST FIX"/>
    <x v="6"/>
    <x v="1"/>
    <x v="0"/>
    <m/>
    <x v="32"/>
    <x v="4"/>
    <x v="0"/>
    <x v="0"/>
    <x v="0"/>
  </r>
  <r>
    <x v="143"/>
    <x v="115"/>
    <s v="FIRST FIX"/>
    <x v="0"/>
    <x v="49"/>
    <x v="0"/>
    <m/>
    <x v="56"/>
    <x v="0"/>
    <x v="0"/>
    <x v="0"/>
    <x v="0"/>
  </r>
  <r>
    <x v="144"/>
    <x v="116"/>
    <s v="FIRST FIX"/>
    <x v="0"/>
    <x v="1"/>
    <x v="48"/>
    <n v="99498"/>
    <x v="93"/>
    <x v="0"/>
    <x v="0"/>
    <x v="6"/>
    <x v="6"/>
  </r>
  <r>
    <x v="145"/>
    <x v="117"/>
    <s v="FIRST FIX"/>
    <x v="0"/>
    <x v="0"/>
    <x v="0"/>
    <m/>
    <x v="0"/>
    <x v="0"/>
    <x v="0"/>
    <x v="0"/>
    <x v="0"/>
  </r>
  <r>
    <x v="146"/>
    <x v="118"/>
    <s v="FIRST FIX"/>
    <x v="0"/>
    <x v="17"/>
    <x v="0"/>
    <m/>
    <x v="17"/>
    <x v="0"/>
    <x v="0"/>
    <x v="0"/>
    <x v="0"/>
  </r>
  <r>
    <x v="147"/>
    <x v="119"/>
    <s v="FIRST FIX"/>
    <x v="6"/>
    <x v="1"/>
    <x v="0"/>
    <n v="489669.97"/>
    <x v="94"/>
    <x v="4"/>
    <x v="0"/>
    <x v="2"/>
    <x v="2"/>
  </r>
  <r>
    <x v="148"/>
    <x v="120"/>
    <s v="FIRST FIX"/>
    <x v="8"/>
    <x v="86"/>
    <x v="49"/>
    <n v="6000000"/>
    <x v="6"/>
    <x v="1"/>
    <x v="0"/>
    <x v="7"/>
    <x v="7"/>
  </r>
  <r>
    <x v="149"/>
    <x v="120"/>
    <s v="FIRST FIX"/>
    <x v="7"/>
    <x v="87"/>
    <x v="50"/>
    <n v="42000000"/>
    <x v="6"/>
    <x v="3"/>
    <x v="0"/>
    <x v="7"/>
    <x v="7"/>
  </r>
  <r>
    <x v="150"/>
    <x v="120"/>
    <s v="FIRST FIX"/>
    <x v="0"/>
    <x v="88"/>
    <x v="51"/>
    <n v="4000000"/>
    <x v="6"/>
    <x v="0"/>
    <x v="0"/>
    <x v="3"/>
    <x v="3"/>
  </r>
  <r>
    <x v="151"/>
    <x v="121"/>
    <s v="MBL/ICAD"/>
    <x v="5"/>
    <x v="89"/>
    <x v="0"/>
    <m/>
    <x v="95"/>
    <x v="0"/>
    <x v="0"/>
    <x v="0"/>
    <x v="0"/>
  </r>
  <r>
    <x v="152"/>
    <x v="122"/>
    <s v="MBL"/>
    <x v="9"/>
    <x v="90"/>
    <x v="52"/>
    <m/>
    <x v="96"/>
    <x v="4"/>
    <x v="1"/>
    <x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x v="0"/>
    <x v="0"/>
    <s v="BROOQ ALAMAAN TRAD COMPANY"/>
    <s v="FIRST FIX"/>
    <s v="MP1"/>
    <x v="0"/>
    <x v="0"/>
    <s v="Pending Settlement"/>
    <s v="SAR"/>
    <n v="365011.38"/>
    <n v="1"/>
    <n v="365011.38"/>
    <x v="0"/>
    <s v="90 Days from Applicant representative sign on Invoice"/>
    <x v="0"/>
  </r>
  <r>
    <x v="1"/>
    <x v="0"/>
    <s v="BAHRA ADVANCED CABLE MANUFACTURE CO. LTD"/>
    <s v="FIRST FIX"/>
    <s v="MP1"/>
    <x v="0"/>
    <x v="0"/>
    <s v="Pending Settlement"/>
    <s v="SAR"/>
    <n v="1377731.72"/>
    <n v="1"/>
    <n v="1377731.72"/>
    <x v="1"/>
    <s v="90 Days from Applicant representative sign on Invoice"/>
    <x v="0"/>
  </r>
  <r>
    <x v="2"/>
    <x v="0"/>
    <s v="Mimar for Construction Tools &amp; Trading Ltd."/>
    <s v="FIRST FIX"/>
    <s v="MP1"/>
    <x v="0"/>
    <x v="0"/>
    <s v="Pending Settlement"/>
    <s v="SAR"/>
    <n v="900000"/>
    <n v="1"/>
    <n v="900000"/>
    <x v="1"/>
    <s v="90 Days from Applicant representative sign on Invoice"/>
    <x v="0"/>
  </r>
  <r>
    <x v="3"/>
    <x v="0"/>
    <s v="Arabian International Company For Contracting"/>
    <s v="FIRST FIX"/>
    <s v="MP1"/>
    <x v="0"/>
    <x v="0"/>
    <s v="Pending Settlement"/>
    <s v="SAR"/>
    <n v="900000"/>
    <n v="1"/>
    <n v="900000"/>
    <x v="2"/>
    <s v="90 Days from Applicant representative sign on Invoice"/>
    <x v="0"/>
  </r>
  <r>
    <x v="4"/>
    <x v="0"/>
    <s v="Masdar Technical Supplies Co."/>
    <s v="FIRST FIX"/>
    <s v="MP1"/>
    <x v="0"/>
    <x v="0"/>
    <s v="Accep. Submitted to Bank"/>
    <s v="SAR"/>
    <n v="500000"/>
    <n v="1"/>
    <n v="500000"/>
    <x v="2"/>
    <s v="90 Days from Applicant representative sign on Invoice"/>
    <x v="0"/>
  </r>
  <r>
    <x v="5"/>
    <x v="0"/>
    <s v="INTERPLAST CO. LTD"/>
    <s v="FIRST FIX"/>
    <s v="MP1"/>
    <x v="0"/>
    <x v="0"/>
    <s v="Pending Settlement"/>
    <s v="SAR"/>
    <n v="397090"/>
    <n v="1"/>
    <n v="397090"/>
    <x v="0"/>
    <s v="90 Days from Applicant representative sign on Invoice"/>
    <x v="0"/>
  </r>
  <r>
    <x v="6"/>
    <x v="0"/>
    <s v="Al NAKHEEL FOR TRADING COMPANY"/>
    <s v="FIRST FIX"/>
    <s v="MP1"/>
    <x v="0"/>
    <x v="0"/>
    <s v="Pending Settlement"/>
    <s v="SAR"/>
    <n v="1309266"/>
    <n v="1"/>
    <n v="1309266"/>
    <x v="3"/>
    <s v="90 Days from Applicant representative sign on Invoice"/>
    <x v="0"/>
  </r>
  <r>
    <x v="7"/>
    <x v="0"/>
    <s v="Ajzal United for Safety CO.LTD."/>
    <s v="FIRST FIX"/>
    <s v="MP1"/>
    <x v="0"/>
    <x v="0"/>
    <s v="Pending Settlement"/>
    <s v="SAR"/>
    <n v="194647.12"/>
    <n v="1"/>
    <n v="194647.12"/>
    <x v="0"/>
    <s v="90 Days from Applicant representative sign on Invoice"/>
    <x v="0"/>
  </r>
  <r>
    <x v="7"/>
    <x v="1"/>
    <s v="Ajzal United for Safety CO.LTD."/>
    <s v="FIRST FIX"/>
    <s v="MP1"/>
    <x v="0"/>
    <x v="0"/>
    <s v="Pending Settlement"/>
    <s v="SAR"/>
    <n v="317042.21000000002"/>
    <n v="1"/>
    <n v="317042.21000000002"/>
    <x v="4"/>
    <s v="90 Days from Applicant representative sign on Invoice"/>
    <x v="0"/>
  </r>
  <r>
    <x v="8"/>
    <x v="0"/>
    <s v="Innovative Contractors for Advanced Dimension (ICAD)"/>
    <s v="MBL"/>
    <s v="CEER"/>
    <x v="0"/>
    <x v="0"/>
    <s v="Pending Settlement"/>
    <s v="SAR"/>
    <n v="10000000"/>
    <n v="1"/>
    <n v="10000000"/>
    <x v="1"/>
    <s v="120 Days from Appl Rep Sign on Invoice"/>
    <x v="0"/>
  </r>
  <r>
    <x v="9"/>
    <x v="2"/>
    <s v="The Fundamental Installation For Electric Work Co"/>
    <s v="FIRST FIX"/>
    <s v="MP1"/>
    <x v="0"/>
    <x v="0"/>
    <s v="Pending Settlement"/>
    <s v="SAR"/>
    <n v="4000000"/>
    <n v="1"/>
    <n v="4000000"/>
    <x v="5"/>
    <s v="90 Days from Invoice Date"/>
    <x v="0"/>
  </r>
  <r>
    <x v="10"/>
    <x v="0"/>
    <s v="Masdar Technical Supplies Co."/>
    <s v="FIRST FIX"/>
    <s v="MP1"/>
    <x v="0"/>
    <x v="0"/>
    <s v="Pending Settlement"/>
    <s v="SAR"/>
    <n v="200000"/>
    <n v="1"/>
    <n v="200000"/>
    <x v="6"/>
    <s v="90 Days from App Rep Sign on Invoice"/>
    <x v="0"/>
  </r>
  <r>
    <x v="11"/>
    <x v="0"/>
    <s v="Khereiji Showrooms Co."/>
    <s v="FIRST FIX"/>
    <s v="MP1"/>
    <x v="0"/>
    <x v="0"/>
    <s v="Pending Settlement"/>
    <s v="SAR"/>
    <n v="299758.8"/>
    <n v="1"/>
    <n v="299758.8"/>
    <x v="2"/>
    <s v="90 Days from App Rep Sign on Invoice"/>
    <x v="0"/>
  </r>
  <r>
    <x v="12"/>
    <x v="0"/>
    <s v="Atiaf International Trading Company"/>
    <s v="FIRST FIX"/>
    <s v="MP1"/>
    <x v="0"/>
    <x v="0"/>
    <s v="Pending Settlement"/>
    <s v="SAR"/>
    <n v="93855.09"/>
    <n v="1"/>
    <n v="93855.09"/>
    <x v="7"/>
    <s v="90 Days from App Rep Sign on Invoice"/>
    <x v="0"/>
  </r>
  <r>
    <x v="13"/>
    <x v="0"/>
    <s v="Mohamad Saeed Afifi Trading Est."/>
    <s v="FIRST FIX"/>
    <s v="MP1"/>
    <x v="0"/>
    <x v="0"/>
    <s v="Pending Settlement"/>
    <s v="SAR"/>
    <n v="312768.11"/>
    <n v="1"/>
    <n v="312768.11"/>
    <x v="8"/>
    <s v="90 Days from App Rep Sign on Invoice"/>
    <x v="0"/>
  </r>
  <r>
    <x v="14"/>
    <x v="0"/>
    <s v="Ideal Caliber Company"/>
    <s v="FIRST FIX"/>
    <s v="MP1"/>
    <x v="0"/>
    <x v="0"/>
    <s v="Pending Settlement"/>
    <s v="SAR"/>
    <n v="150000"/>
    <n v="1"/>
    <n v="150000"/>
    <x v="9"/>
    <s v="90 Days from App Rep Sign on Invoice"/>
    <x v="0"/>
  </r>
  <r>
    <x v="15"/>
    <x v="0"/>
    <s v="National Fire Fighting Manufacturing Fzco Br."/>
    <s v="FIRST FIX"/>
    <s v="MP1"/>
    <x v="0"/>
    <x v="0"/>
    <s v="Pending Settlement"/>
    <s v="SAR"/>
    <n v="500000"/>
    <n v="1"/>
    <n v="500000"/>
    <x v="4"/>
    <s v="90 Days from App Rep Sign on Invoice"/>
    <x v="0"/>
  </r>
  <r>
    <x v="16"/>
    <x v="0"/>
    <s v="Aknan Alkhair Tranding Est"/>
    <s v="FIRST FIX"/>
    <s v="MP1"/>
    <x v="0"/>
    <x v="0"/>
    <s v="Pending Settlement"/>
    <s v="SAR"/>
    <n v="125000"/>
    <n v="1"/>
    <n v="125000"/>
    <x v="8"/>
    <s v="90 Days from App Rep Sign on Invoice"/>
    <x v="0"/>
  </r>
  <r>
    <x v="17"/>
    <x v="0"/>
    <s v="Al Maymanah For Contracting Co. Ltd."/>
    <s v="FIRST FIX"/>
    <s v="MP1"/>
    <x v="0"/>
    <x v="0"/>
    <s v="Pending Settlement"/>
    <s v="SAR"/>
    <n v="500000"/>
    <n v="1"/>
    <n v="500000"/>
    <x v="4"/>
    <s v="90 Days from App Rep Sign on Invoice"/>
    <x v="0"/>
  </r>
  <r>
    <x v="18"/>
    <x v="0"/>
    <s v="Elsewedy Cables Co. Limited"/>
    <s v="FIRST FIX"/>
    <s v="MP1"/>
    <x v="0"/>
    <x v="0"/>
    <s v="Pending Settlement"/>
    <s v="SAR"/>
    <n v="995984.82"/>
    <n v="1"/>
    <n v="995984.82"/>
    <x v="2"/>
    <s v="90 Days from App Rep Sign on Invoice"/>
    <x v="0"/>
  </r>
  <r>
    <x v="19"/>
    <x v="0"/>
    <s v="Saudi Electric Supply Company"/>
    <s v="FIRST FIX"/>
    <s v="MP1"/>
    <x v="0"/>
    <x v="0"/>
    <s v="Pending Settlement"/>
    <s v="SAR"/>
    <n v="1000000"/>
    <n v="1"/>
    <n v="1000000"/>
    <x v="8"/>
    <s v="90 Days from App Rep Sign on Invoice"/>
    <x v="0"/>
  </r>
  <r>
    <x v="20"/>
    <x v="1"/>
    <s v="Sika Saudi Arabia Co. Ltd."/>
    <s v="MBL"/>
    <s v="ABHA"/>
    <x v="0"/>
    <x v="0"/>
    <s v="Disc. Submitted to Project"/>
    <s v="SAR"/>
    <n v="902623.5"/>
    <n v="1"/>
    <n v="902623.5"/>
    <x v="10"/>
    <s v="120 Days from the Invoice Date"/>
    <x v="0"/>
  </r>
  <r>
    <x v="20"/>
    <x v="2"/>
    <s v="Sika Saudi Arabia Co. Ltd."/>
    <s v="MBL"/>
    <s v="ABHA"/>
    <x v="0"/>
    <x v="0"/>
    <s v="Pending Settlement"/>
    <s v="SAR"/>
    <n v="197064"/>
    <n v="1"/>
    <n v="197064"/>
    <x v="11"/>
    <s v="120 Days from the Invoice Date"/>
    <x v="0"/>
  </r>
  <r>
    <x v="21"/>
    <x v="1"/>
    <s v="BAHRA ADVANCED CABLE MANUFACTURE CO. LTD."/>
    <s v="FIRST FIX"/>
    <s v="MP1"/>
    <x v="0"/>
    <x v="0"/>
    <s v="Pending Settlement"/>
    <s v="SAR"/>
    <n v="427806.8"/>
    <n v="1"/>
    <n v="427806.8"/>
    <x v="12"/>
    <s v="120 Days from Invoice Date"/>
    <x v="0"/>
  </r>
  <r>
    <x v="22"/>
    <x v="1"/>
    <s v="BROOQ ALAMAAN TRAD COMPANY"/>
    <s v="FIRST FIX"/>
    <s v="MP1"/>
    <x v="0"/>
    <x v="0"/>
    <s v="Pending Settlement"/>
    <s v="SAR"/>
    <n v="52759.519999999997"/>
    <n v="1"/>
    <n v="52759.519999999997"/>
    <x v="13"/>
    <s v="120 Days from Invoice Date"/>
    <x v="0"/>
  </r>
  <r>
    <x v="23"/>
    <x v="1"/>
    <s v="TAWREED INTEGRATED INDUSTRIES"/>
    <s v="FIRST FIX"/>
    <s v="MP1"/>
    <x v="0"/>
    <x v="0"/>
    <s v="Pending Settlement"/>
    <s v="SAR"/>
    <n v="99498"/>
    <n v="1"/>
    <n v="99498"/>
    <x v="14"/>
    <s v="120 Days from Invoice Date"/>
    <x v="0"/>
  </r>
  <r>
    <x v="24"/>
    <x v="2"/>
    <s v="Building System Intelligent Est."/>
    <s v="FIRST FIX"/>
    <s v="MP1"/>
    <x v="0"/>
    <x v="0"/>
    <s v="Pending Settlement"/>
    <s v="SAR"/>
    <n v="106205.87"/>
    <n v="1"/>
    <n v="106205.87"/>
    <x v="15"/>
    <s v="120 Days from Invoice Date"/>
    <x v="0"/>
  </r>
  <r>
    <x v="25"/>
    <x v="0"/>
    <s v="Power Center Company for Industries LLC"/>
    <s v="FIRST FIX"/>
    <s v="MP1"/>
    <x v="0"/>
    <x v="0"/>
    <s v="Pending Settlement"/>
    <s v="SAR"/>
    <n v="4000000"/>
    <n v="1"/>
    <n v="4000000"/>
    <x v="16"/>
    <s v="120 Days from Invoice Date"/>
    <x v="0"/>
  </r>
  <r>
    <x v="26"/>
    <x v="0"/>
    <s v="Daikin Air Conditioning Saudi Arabia "/>
    <s v="FIRST FIX"/>
    <s v="MP1"/>
    <x v="0"/>
    <x v="0"/>
    <s v="Pending Settlement"/>
    <s v="SAR"/>
    <n v="208813.02"/>
    <n v="1"/>
    <n v="208813.02"/>
    <x v="0"/>
    <s v="120 Days from Invoice Date"/>
    <x v="0"/>
  </r>
  <r>
    <x v="26"/>
    <x v="1"/>
    <s v="Daikin Air Conditioning Saudi Arabia "/>
    <s v="FIRST FIX"/>
    <s v="MP1"/>
    <x v="0"/>
    <x v="0"/>
    <s v="Pending Settlement"/>
    <s v="SAR"/>
    <n v="278905.67"/>
    <n v="1"/>
    <n v="278905.67"/>
    <x v="17"/>
    <s v="120 Days from Invoice Date"/>
    <x v="0"/>
  </r>
  <r>
    <x v="27"/>
    <x v="1"/>
    <s v="Mohammed Ramadan Shat Factory"/>
    <s v="FIRST FIX"/>
    <s v="RCRC"/>
    <x v="1"/>
    <x v="0"/>
    <s v="Pending Settlement"/>
    <s v="SAR"/>
    <n v="199393.9"/>
    <n v="1"/>
    <n v="199393.9"/>
    <x v="18"/>
    <s v="90 Days from Invoice Date"/>
    <x v="0"/>
  </r>
  <r>
    <x v="28"/>
    <x v="3"/>
    <s v="Green Concrete CJSC"/>
    <s v="MBL"/>
    <s v="RCRC"/>
    <x v="1"/>
    <x v="0"/>
    <s v="Pending Settlement"/>
    <s v="SAR"/>
    <n v="112200.9"/>
    <n v="1"/>
    <n v="112200.9"/>
    <x v="9"/>
    <s v="60 Days From Invoice Date"/>
    <x v="0"/>
  </r>
  <r>
    <x v="29"/>
    <x v="1"/>
    <s v="The Fundamental Installation For Electric Work Co"/>
    <s v="FIRST FIX"/>
    <s v="CEER"/>
    <x v="1"/>
    <x v="0"/>
    <s v="Pending Settlement"/>
    <s v="SAR"/>
    <n v="42000000"/>
    <n v="1"/>
    <n v="42000000"/>
    <x v="19"/>
    <s v="90 Days from Invoice Date"/>
    <x v="0"/>
  </r>
  <r>
    <x v="30"/>
    <x v="4"/>
    <s v="BBH-CHEMTROL INTERNATIONAL ORGANIZATION S.L"/>
    <s v="MBL/ICAD"/>
    <s v="OPERA House"/>
    <x v="2"/>
    <x v="0"/>
    <s v="Pending Settlement"/>
    <s v="EUR"/>
    <n v="1123289.6200000001"/>
    <n v="4.4160000000000004"/>
    <n v="4960446.9619200006"/>
    <x v="10"/>
    <s v="30 Days from Shipment Date"/>
    <x v="0"/>
  </r>
  <r>
    <x v="30"/>
    <x v="5"/>
    <s v="BBH-CHEMTROL INTERNATIONAL ORGANIZATION S.L"/>
    <s v="MBL/ICAD"/>
    <s v="OPERA House"/>
    <x v="2"/>
    <x v="0"/>
    <s v="Pending Settlement"/>
    <s v="EUR"/>
    <n v="1034169.01"/>
    <n v="4.4160000000000004"/>
    <n v="4566890.3481600005"/>
    <x v="19"/>
    <s v="30 Days from Shipment Date"/>
    <x v="0"/>
  </r>
  <r>
    <x v="31"/>
    <x v="2"/>
    <s v="APS ARABIAN CONTRACTING COMPANY"/>
    <s v="MBL/AICS"/>
    <s v="OPERA House"/>
    <x v="2"/>
    <x v="0"/>
    <s v="Pending Settlement"/>
    <s v="SAR"/>
    <n v="652505.4"/>
    <n v="1"/>
    <n v="652505.4"/>
    <x v="20"/>
    <s v="60 Days From Invoice Date"/>
    <x v="0"/>
  </r>
  <r>
    <x v="32"/>
    <x v="0"/>
    <s v="Safid Co Ltd"/>
    <s v="MBL/ICAD"/>
    <s v="OPERA House"/>
    <x v="2"/>
    <x v="0"/>
    <s v="Pending Settlement"/>
    <s v="SAR"/>
    <n v="500000"/>
    <n v="1"/>
    <n v="500000"/>
    <x v="9"/>
    <s v="90 Days From the Delivery Date"/>
    <x v="0"/>
  </r>
  <r>
    <x v="33"/>
    <x v="0"/>
    <s v="Electric House Trading Company L.L.C."/>
    <s v="MBL/ICAD"/>
    <s v="OPERA House"/>
    <x v="2"/>
    <x v="0"/>
    <s v="Pending Settlement"/>
    <s v="SAR"/>
    <n v="2193076"/>
    <n v="1"/>
    <n v="2193076"/>
    <x v="8"/>
    <s v="90 Days from Delivery Date"/>
    <x v="0"/>
  </r>
  <r>
    <x v="34"/>
    <x v="0"/>
    <s v="Manar Alomran Company For Trading And Industrial Ltd"/>
    <s v="MBL"/>
    <s v="OPERA House"/>
    <x v="2"/>
    <x v="0"/>
    <s v="Pending Settlement"/>
    <s v="SAR"/>
    <n v="386858.95"/>
    <n v="1"/>
    <n v="386858.95"/>
    <x v="21"/>
    <s v="90 Days from Invoice Date"/>
    <x v="0"/>
  </r>
  <r>
    <x v="35"/>
    <x v="6"/>
    <s v="Mat Filtrasyon Teknolojeleri A.S"/>
    <s v="MBL"/>
    <s v="Oceanarium"/>
    <x v="3"/>
    <x v="0"/>
    <s v="Pending Settlement"/>
    <s v="SAR"/>
    <n v="467861.1"/>
    <n v="1"/>
    <n v="467861.1"/>
    <x v="22"/>
    <s v="45 Days from Invoice Date"/>
    <x v="0"/>
  </r>
  <r>
    <x v="35"/>
    <x v="7"/>
    <s v="Mat Filtrasyon Teknolojeleri A.S"/>
    <s v="MBL"/>
    <s v="Oceanarium"/>
    <x v="3"/>
    <x v="0"/>
    <s v="Pending Settlement"/>
    <s v="SAR"/>
    <n v="284755.58"/>
    <n v="1"/>
    <n v="284755.58"/>
    <x v="20"/>
    <s v="45 Days from Invoice Date"/>
    <x v="0"/>
  </r>
  <r>
    <x v="36"/>
    <x v="0"/>
    <s v="SKM Air Conditioning Company"/>
    <s v="FIRST FIX"/>
    <s v="Oceanarium"/>
    <x v="3"/>
    <x v="0"/>
    <s v="Pending Settlement"/>
    <s v="SAR"/>
    <n v="500000"/>
    <n v="1"/>
    <n v="500000"/>
    <x v="8"/>
    <s v="90 Days from Appln Rep Sign on Invoice"/>
    <x v="0"/>
  </r>
  <r>
    <x v="37"/>
    <x v="0"/>
    <s v="Teqniye Al-Majra For Contracting"/>
    <s v="FIRST FIX"/>
    <s v="Oceanarium"/>
    <x v="3"/>
    <x v="0"/>
    <s v="Pending Settlement"/>
    <s v="SAR"/>
    <n v="489669.97"/>
    <n v="1"/>
    <n v="489669.97"/>
    <x v="1"/>
    <s v="90 Days from Appln Rep Sign on Invoice"/>
    <x v="0"/>
  </r>
  <r>
    <x v="38"/>
    <x v="0"/>
    <s v="ALFANAR ELECTRICAL SYSTEMS"/>
    <s v="FIRST FIX"/>
    <s v="Oceanarium"/>
    <x v="3"/>
    <x v="0"/>
    <s v="Pending Settlement"/>
    <s v="SAR"/>
    <n v="567743.27"/>
    <n v="1"/>
    <n v="567743.27"/>
    <x v="1"/>
    <s v="90 Days from Appln Rep Sign on Invoice"/>
    <x v="0"/>
  </r>
  <r>
    <x v="39"/>
    <x v="0"/>
    <s v="ISAM KABBANI &amp; PARTNERS LTD-UNITECH"/>
    <s v="FIRST FIX"/>
    <s v="Oceanarium"/>
    <x v="3"/>
    <x v="0"/>
    <s v="Pending Settlement"/>
    <s v="SAR"/>
    <n v="500000"/>
    <n v="1"/>
    <n v="500000"/>
    <x v="4"/>
    <s v="90 Days from Appln Rep Sign on Invoice"/>
    <x v="0"/>
  </r>
  <r>
    <x v="40"/>
    <x v="0"/>
    <s v="Khorayef Industries"/>
    <s v="FIRST FIX"/>
    <s v="Oceanarium"/>
    <x v="3"/>
    <x v="0"/>
    <s v="Pending Settlement"/>
    <s v="SAR"/>
    <n v="1000000"/>
    <n v="1"/>
    <n v="1000000"/>
    <x v="4"/>
    <s v="90 Days from Appln Rep Sign on Invoice"/>
    <x v="0"/>
  </r>
  <r>
    <x v="41"/>
    <x v="0"/>
    <s v="SKM Air Conditioning Company"/>
    <s v="FIRST FIX"/>
    <s v="Oceanarium"/>
    <x v="3"/>
    <x v="0"/>
    <s v="Pending Settlement"/>
    <s v="SAR"/>
    <n v="500000"/>
    <n v="1"/>
    <n v="500000"/>
    <x v="0"/>
    <s v="90 Days from Appln Rep Sign on Invoice"/>
    <x v="0"/>
  </r>
  <r>
    <x v="42"/>
    <x v="0"/>
    <s v="Schneider Electric Saudi Arabia Co"/>
    <s v="FIRST FIX"/>
    <s v="Oceanarium"/>
    <x v="3"/>
    <x v="0"/>
    <s v="Pending Settlement"/>
    <s v="SAR"/>
    <n v="710700"/>
    <n v="1"/>
    <n v="710700"/>
    <x v="4"/>
    <s v="90 Days from Appln Rep Sign on Invoice"/>
    <x v="0"/>
  </r>
  <r>
    <x v="43"/>
    <x v="1"/>
    <s v="Mat Filtrasyon Teknolojeleri A.S"/>
    <s v="MBL"/>
    <s v="Oceanarium"/>
    <x v="3"/>
    <x v="0"/>
    <s v="Pending Settlement"/>
    <s v="SAR"/>
    <n v="735540"/>
    <n v="1"/>
    <n v="735540"/>
    <x v="0"/>
    <s v="Mixed Tenor - 60 / 45 / 21 Days from Invoice Date"/>
    <x v="0"/>
  </r>
  <r>
    <x v="44"/>
    <x v="2"/>
    <s v="Ready Mix Company Limited."/>
    <s v="MBL"/>
    <s v="Lagoon"/>
    <x v="4"/>
    <x v="0"/>
    <s v="Pending Settlement"/>
    <s v="SAR"/>
    <n v="949900"/>
    <n v="1"/>
    <n v="949900"/>
    <x v="9"/>
    <s v="60 Days From Invoice Date"/>
    <x v="0"/>
  </r>
  <r>
    <x v="45"/>
    <x v="1"/>
    <s v="SKM AIR CONDITIONING CO"/>
    <s v="FIRST FIX"/>
    <s v="JCD SPMI"/>
    <x v="5"/>
    <x v="0"/>
    <s v="Pending Settlement"/>
    <s v="SAR"/>
    <n v="702587.67"/>
    <n v="1"/>
    <n v="702587.67"/>
    <x v="23"/>
    <s v="120 Days from Invoice Date"/>
    <x v="0"/>
  </r>
  <r>
    <x v="46"/>
    <x v="6"/>
    <s v="Saudi Perfect Pumps Trading &amp; Manufacturing Company"/>
    <s v="MBL"/>
    <s v="Rabigh Power Plant"/>
    <x v="5"/>
    <x v="0"/>
    <s v="Pending Settlement"/>
    <s v="SAR"/>
    <n v="412500"/>
    <n v="1"/>
    <n v="412500"/>
    <x v="24"/>
    <s v="45 Days from Delivery Date"/>
    <x v="0"/>
  </r>
  <r>
    <x v="47"/>
    <x v="3"/>
    <s v="Osalas GMBH"/>
    <s v="MBL"/>
    <s v="ADF"/>
    <x v="5"/>
    <x v="0"/>
    <s v="Disc. Submitted to Project"/>
    <s v="EUR"/>
    <n v="270000"/>
    <n v="4.4394999999999998"/>
    <n v="1198665"/>
    <x v="25"/>
    <s v="Sight / 60 Days from Appl. Rep Sign on Invoice"/>
    <x v="0"/>
  </r>
  <r>
    <x v="48"/>
    <x v="3"/>
    <s v="The Fundamental Installation For Electric Work Co"/>
    <s v="FIRST FIX"/>
    <s v="ADF"/>
    <x v="5"/>
    <x v="0"/>
    <s v="Pending Settlement"/>
    <s v="SAR"/>
    <n v="6000000"/>
    <n v="1"/>
    <n v="6000000"/>
    <x v="19"/>
    <s v="90 Days from Invoice Date"/>
    <x v="0"/>
  </r>
  <r>
    <x v="49"/>
    <x v="0"/>
    <s v="Innovative Contractors for Advanced Dimension (ICAD)"/>
    <s v="MBL"/>
    <s v="CEER"/>
    <x v="5"/>
    <x v="0"/>
    <s v="Pending Settlement"/>
    <s v="SAR"/>
    <n v="21481033"/>
    <n v="1"/>
    <n v="21481033"/>
    <x v="26"/>
    <s v="120 Days from Invoice Date"/>
    <x v="0"/>
  </r>
  <r>
    <x v="50"/>
    <x v="0"/>
    <s v="Depa Saudi Arabia for Contracting and Interior Decorating Co. Ltd."/>
    <s v="MBL"/>
    <s v="KSP"/>
    <x v="5"/>
    <x v="0"/>
    <s v="Pending Settlement"/>
    <s v="SAR"/>
    <n v="5643717.4500000002"/>
    <n v="1"/>
    <n v="5643717.4500000002"/>
    <x v="27"/>
    <s v="90 Days from Invoice Date"/>
    <x v="0"/>
  </r>
  <r>
    <x v="50"/>
    <x v="1"/>
    <s v="Depa Saudi Arabia for Contracting and Interior Decorating Co. Ltd."/>
    <s v="MBL"/>
    <s v="KSP"/>
    <x v="5"/>
    <x v="0"/>
    <s v="Pending Settlement"/>
    <s v="SAR"/>
    <n v="2593391.5299999998"/>
    <n v="1"/>
    <n v="2593391.5299999998"/>
    <x v="28"/>
    <s v="90 Days from Invoice Date"/>
    <x v="0"/>
  </r>
  <r>
    <x v="51"/>
    <x v="3"/>
    <s v="Innovative Specialized Security Solution"/>
    <s v="ICAD"/>
    <s v="ADF"/>
    <x v="5"/>
    <x v="0"/>
    <s v="Pending Settlement"/>
    <s v="SAR"/>
    <n v="4724333.9400000004"/>
    <n v="1"/>
    <n v="4724333.9400000004"/>
    <x v="29"/>
    <s v="90 Days from Applicant representative sign on Invoice"/>
    <x v="0"/>
  </r>
  <r>
    <x v="51"/>
    <x v="2"/>
    <s v="Innovative Specialized Security Solution"/>
    <s v="ICAD"/>
    <s v="ADF"/>
    <x v="5"/>
    <x v="0"/>
    <s v="Pending Settlement"/>
    <s v="SAR"/>
    <n v="4000000"/>
    <n v="1"/>
    <n v="4000000"/>
    <x v="8"/>
    <s v="90 Days from Applicant representative sign on Invoice"/>
    <x v="0"/>
  </r>
  <r>
    <x v="51"/>
    <x v="1"/>
    <s v="Innovative Specialized Security Solution"/>
    <s v="ICAD"/>
    <s v="ADF"/>
    <x v="5"/>
    <x v="0"/>
    <s v="Pending Settlement"/>
    <s v="SAR"/>
    <n v="7000000"/>
    <n v="1"/>
    <n v="7000000"/>
    <x v="29"/>
    <s v="90 Days from Applicant representative sign on Invoice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800A3A-0D67-4F26-9243-D018AE8AA8E6}" name="PivotTable2" cacheId="77" applyNumberFormats="0" applyBorderFormats="0" applyFontFormats="0" applyPatternFormats="0" applyAlignmentFormats="0" applyWidthHeightFormats="1" dataCaption="Values" updatedVersion="8" minRefreshableVersion="3" showDrill="0" useAutoFormatting="1" rowGrandTotals="0" colGrandTotals="0" itemPrintTitles="1" createdVersion="8" indent="0" compact="0" compactData="0" multipleFieldFilters="0">
  <location ref="A3:D36" firstHeaderRow="1" firstDataRow="1" firstDataCol="3"/>
  <pivotFields count="20">
    <pivotField compact="0" outline="0" subtotalTop="0" showAll="0"/>
    <pivotField compact="0" numFmtId="14" outline="0" subtotalTop="0" showAll="0"/>
    <pivotField compact="0" outline="0" subtotalTop="0" showAll="0"/>
    <pivotField axis="axisRow" compact="0" outline="0" subtotalTop="0" showAll="0" insertBlankRow="1">
      <items count="10">
        <item x="6"/>
        <item x="1"/>
        <item m="1" x="8"/>
        <item x="4"/>
        <item x="2"/>
        <item x="3"/>
        <item x="0"/>
        <item x="7"/>
        <item x="5"/>
        <item t="default"/>
      </items>
    </pivotField>
    <pivotField compact="0" outline="0" subtotalTop="0" showAll="0"/>
    <pivotField axis="axisRow" compact="0" outline="0" subtotalTop="0" showAll="0">
      <items count="21">
        <item x="5"/>
        <item x="8"/>
        <item m="1" x="18"/>
        <item x="7"/>
        <item x="9"/>
        <item m="1" x="13"/>
        <item x="1"/>
        <item m="1" x="17"/>
        <item x="2"/>
        <item m="1" x="16"/>
        <item m="1" x="19"/>
        <item m="1" x="14"/>
        <item x="4"/>
        <item x="0"/>
        <item x="3"/>
        <item x="6"/>
        <item m="1" x="15"/>
        <item x="10"/>
        <item m="1" x="12"/>
        <item x="11"/>
        <item t="default"/>
      </items>
    </pivotField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dataField="1" compact="0" outline="0" subtotalTop="0" showAll="0"/>
    <pivotField compact="0" outline="0" subtotalTop="0" showAll="0"/>
    <pivotField compact="0" outline="0" subtotalTop="0" showAll="0"/>
    <pivotField compact="0" numFmtId="14" outline="0" subtotalTop="0" showAll="0"/>
    <pivotField compact="0" numFmtId="14" outline="0" subtotalTop="0" showAll="0"/>
    <pivotField axis="axisRow" compact="0" outline="0" subtotalTop="0" showAll="0" insertBlankRow="1" defaultSubtotal="0">
      <items count="7">
        <item x="1"/>
        <item m="1" x="6"/>
        <item x="4"/>
        <item x="0"/>
        <item x="2"/>
        <item x="3"/>
        <item x="5"/>
      </items>
    </pivotField>
    <pivotField compact="0" outline="0" subtotalTop="0" showAll="0"/>
    <pivotField compact="0" outline="0" subtotalTop="0" showAll="0"/>
    <pivotField compact="0" outline="0" subtotalTop="0" showAll="0"/>
  </pivotFields>
  <rowFields count="3">
    <field x="16"/>
    <field x="3"/>
    <field x="5"/>
  </rowFields>
  <rowItems count="33">
    <i>
      <x/>
      <x v="1"/>
      <x v="1"/>
    </i>
    <i r="2">
      <x v="3"/>
    </i>
    <i r="2">
      <x v="4"/>
    </i>
    <i r="2">
      <x v="6"/>
    </i>
    <i r="2">
      <x v="8"/>
    </i>
    <i r="2">
      <x v="19"/>
    </i>
    <i t="default" r="1">
      <x v="1"/>
    </i>
    <i t="blank" r="1">
      <x v="1"/>
    </i>
    <i>
      <x v="2"/>
      <x v="3"/>
      <x v="15"/>
    </i>
    <i t="default" r="1">
      <x v="3"/>
    </i>
    <i t="blank" r="1">
      <x v="3"/>
    </i>
    <i>
      <x v="3"/>
      <x/>
      <x v="3"/>
    </i>
    <i t="default" r="1">
      <x/>
    </i>
    <i t="blank" r="1">
      <x/>
    </i>
    <i r="1">
      <x v="6"/>
      <x/>
    </i>
    <i r="2">
      <x v="13"/>
    </i>
    <i t="default" r="1">
      <x v="6"/>
    </i>
    <i t="blank" r="1">
      <x v="6"/>
    </i>
    <i r="1">
      <x v="8"/>
      <x v="3"/>
    </i>
    <i t="default" r="1">
      <x v="8"/>
    </i>
    <i t="blank" r="1">
      <x v="8"/>
    </i>
    <i>
      <x v="4"/>
      <x v="4"/>
      <x v="4"/>
    </i>
    <i r="2">
      <x v="8"/>
    </i>
    <i r="2">
      <x v="14"/>
    </i>
    <i t="default" r="1">
      <x v="4"/>
    </i>
    <i t="blank" r="1">
      <x v="4"/>
    </i>
    <i>
      <x v="5"/>
      <x v="5"/>
      <x v="3"/>
    </i>
    <i r="2">
      <x v="12"/>
    </i>
    <i t="default" r="1">
      <x v="5"/>
    </i>
    <i t="blank" r="1">
      <x v="5"/>
    </i>
    <i>
      <x v="6"/>
      <x v="7"/>
      <x v="17"/>
    </i>
    <i t="default" r="1">
      <x v="7"/>
    </i>
    <i t="blank" r="1">
      <x v="7"/>
    </i>
  </rowItems>
  <colItems count="1">
    <i/>
  </colItems>
  <dataFields count="1">
    <dataField name="Sum of Subtraction" fld="11" baseField="0" baseItem="0" numFmtId="4"/>
  </dataFields>
  <formats count="3">
    <format dxfId="877">
      <pivotArea outline="0" collapsedLevelsAreSubtotals="1" fieldPosition="0"/>
    </format>
    <format dxfId="876">
      <pivotArea outline="0" fieldPosition="0">
        <references count="2">
          <reference field="3" count="6" selected="0" defaultSubtotal="1">
            <x v="0"/>
            <x v="1"/>
            <x v="2"/>
            <x v="3"/>
            <x v="4"/>
            <x v="6"/>
          </reference>
          <reference field="16" count="4" selected="0">
            <x v="0"/>
            <x v="1"/>
            <x v="3"/>
            <x v="4"/>
          </reference>
        </references>
      </pivotArea>
    </format>
    <format dxfId="875">
      <pivotArea outline="0" fieldPosition="0">
        <references count="2">
          <reference field="3" count="1" selected="0" defaultSubtotal="1">
            <x v="5"/>
          </reference>
          <reference field="16" count="1" selected="0"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D90C2E-6222-4EED-AD72-CD4819371E0C}" name="PivotTable3" cacheId="79" applyNumberFormats="0" applyBorderFormats="0" applyFontFormats="0" applyPatternFormats="0" applyAlignmentFormats="0" applyWidthHeightFormats="1" dataCaption="Values" updatedVersion="8" minRefreshableVersion="3" showDrill="0" useAutoFormatting="1" rowGrandTotals="0" colGrandTotals="0" itemPrintTitles="1" createdVersion="8" indent="0" compact="0" compactData="0" multipleFieldFilters="0">
  <location ref="O3:R7" firstHeaderRow="1" firstDataRow="1" firstDataCol="3"/>
  <pivotFields count="24"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ubtotalTop="0" showAll="0" defaultSubtotal="0"/>
    <pivotField axis="axisRow" compact="0" outline="0" showAll="0" defaultSubtotal="0">
      <items count="9">
        <item m="1" x="7"/>
        <item m="1" x="4"/>
        <item x="2"/>
        <item x="3"/>
        <item m="1" x="8"/>
        <item m="1" x="6"/>
        <item x="0"/>
        <item m="1" x="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1">
        <item sd="0" m="1" x="7"/>
        <item m="1" x="9"/>
        <item x="2"/>
        <item x="3"/>
        <item x="0"/>
        <item m="1" x="10"/>
        <item m="1" x="6"/>
        <item m="1" x="4"/>
        <item m="1" x="5"/>
        <item m="1" x="8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axis="axisRow" compact="0" outline="0" showAll="0" defaultSubtotal="0">
      <items count="28">
        <item m="1" x="9"/>
        <item m="1" x="12"/>
        <item x="2"/>
        <item m="1" x="25"/>
        <item m="1" x="26"/>
        <item m="1" x="11"/>
        <item m="1" x="5"/>
        <item m="1" x="7"/>
        <item m="1" x="27"/>
        <item m="1" x="4"/>
        <item x="3"/>
        <item x="0"/>
        <item m="1" x="8"/>
        <item m="1" x="15"/>
        <item m="1" x="18"/>
        <item m="1" x="19"/>
        <item m="1" x="10"/>
        <item m="1" x="16"/>
        <item m="1" x="20"/>
        <item m="1" x="21"/>
        <item m="1" x="22"/>
        <item m="1" x="23"/>
        <item m="1" x="17"/>
        <item m="1" x="13"/>
        <item m="1" x="24"/>
        <item m="1" x="14"/>
        <item m="1" x="6"/>
        <item x="1"/>
      </items>
    </pivotField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howAll="0" defaultSubtotal="0"/>
  </pivotFields>
  <rowFields count="3">
    <field x="4"/>
    <field x="5"/>
    <field x="8"/>
  </rowFields>
  <rowItems count="4">
    <i>
      <x v="2"/>
      <x v="2"/>
      <x v="2"/>
    </i>
    <i>
      <x v="3"/>
      <x v="3"/>
      <x v="10"/>
    </i>
    <i>
      <x v="6"/>
      <x v="4"/>
      <x v="11"/>
    </i>
    <i>
      <x v="8"/>
      <x v="10"/>
      <x v="27"/>
    </i>
  </rowItems>
  <colItems count="1">
    <i/>
  </colItems>
  <dataFields count="1">
    <dataField name="Sum of LC Amt(SAR)" fld="13" baseField="0" baseItem="0" numFmtId="164"/>
  </dataFields>
  <formats count="1">
    <format dxfId="87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47C9D-6905-4745-B9A7-8AFCED688A80}" name="PivotTable1" cacheId="78" applyNumberFormats="0" applyBorderFormats="0" applyFontFormats="0" applyPatternFormats="0" applyAlignmentFormats="0" applyWidthHeightFormats="1" dataCaption="Values" updatedVersion="8" minRefreshableVersion="3" showDrill="0" useAutoFormatting="1" rowGrandTotals="0" colGrandTotals="0" itemPrintTitles="1" createdVersion="8" indent="0" compact="0" compactData="0" multipleFieldFilters="0">
  <location ref="G3:H8" firstHeaderRow="1" firstDataRow="1" firstDataCol="1"/>
  <pivotFields count="2">
    <pivotField axis="axisRow" compact="0" outline="0" showAll="0">
      <items count="29">
        <item x="3"/>
        <item m="1" x="9"/>
        <item m="1" x="24"/>
        <item m="1" x="6"/>
        <item m="1" x="5"/>
        <item m="1" x="25"/>
        <item m="1" x="10"/>
        <item x="2"/>
        <item m="1" x="27"/>
        <item x="1"/>
        <item m="1" x="26"/>
        <item m="1" x="11"/>
        <item x="0"/>
        <item m="1" x="7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12"/>
        <item x="4"/>
        <item m="1" x="8"/>
        <item t="default"/>
      </items>
    </pivotField>
    <pivotField dataField="1" compact="0" outline="0" showAll="0"/>
  </pivotFields>
  <rowFields count="1">
    <field x="0"/>
  </rowFields>
  <rowItems count="5">
    <i>
      <x/>
    </i>
    <i>
      <x v="7"/>
    </i>
    <i>
      <x v="9"/>
    </i>
    <i>
      <x v="12"/>
    </i>
    <i>
      <x v="26"/>
    </i>
  </rowItems>
  <colItems count="1">
    <i/>
  </colItems>
  <dataFields count="1">
    <dataField name="Sum of LC Amt(SAR)" fld="1" baseField="0" baseItem="0" numFmtId="164"/>
  </dataFields>
  <formats count="1">
    <format dxfId="87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B2754C-8992-4C23-9109-339EF997253B}" name="PivotTable1" cacheId="82" applyNumberFormats="0" applyBorderFormats="0" applyFontFormats="0" applyPatternFormats="0" applyAlignmentFormats="0" applyWidthHeightFormats="1" dataCaption="Values" updatedVersion="8" minRefreshableVersion="3" showDrill="0" useAutoFormatting="1" rowGrandTotals="0" colGrandTotals="0" itemPrintTitles="1" createdVersion="8" indent="0" compact="0" compactData="0" multipleFieldFilters="0">
  <location ref="A3:G63" firstHeaderRow="1" firstDataRow="1" firstDataCol="6"/>
  <pivotFields count="15">
    <pivotField axis="axisRow" compact="0" outline="0" showAll="0" defaultSubtotal="0">
      <items count="698">
        <item m="1" x="694"/>
        <item m="1" x="654"/>
        <item m="1" x="655"/>
        <item m="1" x="656"/>
        <item m="1" x="638"/>
        <item m="1" x="653"/>
        <item m="1" x="659"/>
        <item m="1" x="660"/>
        <item m="1" x="661"/>
        <item m="1" x="663"/>
        <item m="1" x="664"/>
        <item m="1" x="667"/>
        <item m="1" x="645"/>
        <item m="1" x="668"/>
        <item m="1" x="669"/>
        <item m="1" x="670"/>
        <item m="1" x="672"/>
        <item m="1" x="646"/>
        <item m="1" x="673"/>
        <item m="1" x="674"/>
        <item m="1" x="675"/>
        <item m="1" x="135"/>
        <item m="1" x="696"/>
        <item m="1" x="697"/>
        <item m="1" x="682"/>
        <item m="1" x="695"/>
        <item m="1" x="683"/>
        <item m="1" x="684"/>
        <item m="1" x="685"/>
        <item m="1" x="686"/>
        <item m="1" x="687"/>
        <item m="1" x="688"/>
        <item m="1" x="689"/>
        <item m="1" x="690"/>
        <item m="1" x="652"/>
        <item m="1" x="691"/>
        <item m="1" x="692"/>
        <item m="1" x="693"/>
        <item m="1" x="603"/>
        <item m="1" x="677"/>
        <item m="1" x="613"/>
        <item m="1" x="636"/>
        <item m="1" x="671"/>
        <item m="1" x="676"/>
        <item m="1" x="632"/>
        <item m="1" x="657"/>
        <item m="1" x="658"/>
        <item m="1" x="665"/>
        <item m="1" x="651"/>
        <item m="1" x="678"/>
        <item m="1" x="647"/>
        <item m="1" x="648"/>
        <item m="1" x="649"/>
        <item m="1" x="650"/>
        <item m="1" x="630"/>
        <item m="1" x="680"/>
        <item m="1" x="99"/>
        <item m="1" x="662"/>
        <item m="1" x="666"/>
        <item m="1" x="679"/>
        <item m="1" x="681"/>
        <item m="1" x="457"/>
        <item m="1" x="564"/>
        <item m="1" x="566"/>
        <item m="1" x="639"/>
        <item m="1" x="573"/>
        <item m="1" x="627"/>
        <item m="1" x="614"/>
        <item m="1" x="640"/>
        <item m="1" x="635"/>
        <item m="1" x="637"/>
        <item m="1" x="615"/>
        <item m="1" x="633"/>
        <item m="1" x="616"/>
        <item m="1" x="584"/>
        <item m="1" x="626"/>
        <item m="1" x="619"/>
        <item m="1" x="641"/>
        <item m="1" x="588"/>
        <item m="1" x="618"/>
        <item m="1" x="625"/>
        <item m="1" x="642"/>
        <item m="1" x="600"/>
        <item m="1" x="608"/>
        <item m="1" x="617"/>
        <item m="1" x="610"/>
        <item m="1" x="591"/>
        <item m="1" x="628"/>
        <item m="1" x="515"/>
        <item m="1" x="595"/>
        <item m="1" x="593"/>
        <item m="1" x="643"/>
        <item m="1" x="644"/>
        <item m="1" x="607"/>
        <item m="1" x="620"/>
        <item m="1" x="589"/>
        <item m="1" x="597"/>
        <item m="1" x="599"/>
        <item m="1" x="594"/>
        <item m="1" x="622"/>
        <item m="1" x="531"/>
        <item m="1" x="612"/>
        <item m="1" x="629"/>
        <item m="1" x="609"/>
        <item m="1" x="611"/>
        <item m="1" x="631"/>
        <item m="1" x="602"/>
        <item m="1" x="604"/>
        <item m="1" x="605"/>
        <item m="1" x="590"/>
        <item m="1" x="598"/>
        <item m="1" x="581"/>
        <item m="1" x="623"/>
        <item m="1" x="634"/>
        <item m="1" x="532"/>
        <item m="1" x="576"/>
        <item m="1" x="577"/>
        <item m="1" x="348"/>
        <item m="1" x="570"/>
        <item m="1" x="571"/>
        <item m="1" x="583"/>
        <item m="1" x="582"/>
        <item m="1" x="621"/>
        <item m="1" x="502"/>
        <item m="1" x="586"/>
        <item m="1" x="578"/>
        <item m="1" x="606"/>
        <item m="1" x="528"/>
        <item m="1" x="596"/>
        <item m="1" x="562"/>
        <item m="1" x="510"/>
        <item m="1" x="574"/>
        <item m="1" x="624"/>
        <item m="1" x="579"/>
        <item m="1" x="413"/>
        <item m="1" x="563"/>
        <item m="1" x="538"/>
        <item m="1" x="547"/>
        <item m="1" x="506"/>
        <item m="1" x="534"/>
        <item m="1" x="539"/>
        <item m="1" x="553"/>
        <item m="1" x="546"/>
        <item m="1" x="548"/>
        <item m="1" x="544"/>
        <item m="1" x="504"/>
        <item m="1" x="192"/>
        <item m="1" x="587"/>
        <item m="1" x="554"/>
        <item m="1" x="551"/>
        <item m="1" x="505"/>
        <item m="1" x="560"/>
        <item m="1" x="565"/>
        <item m="1" x="541"/>
        <item m="1" x="567"/>
        <item m="1" x="580"/>
        <item m="1" x="569"/>
        <item m="1" x="525"/>
        <item m="1" x="572"/>
        <item m="1" x="601"/>
        <item m="1" x="475"/>
        <item m="1" x="533"/>
        <item m="1" x="585"/>
        <item m="1" x="511"/>
        <item m="1" x="559"/>
        <item m="1" x="592"/>
        <item m="1" x="520"/>
        <item m="1" x="561"/>
        <item m="1" x="524"/>
        <item m="1" x="514"/>
        <item m="1" x="519"/>
        <item m="1" x="543"/>
        <item m="1" x="575"/>
        <item m="1" x="537"/>
        <item m="1" x="523"/>
        <item m="1" x="512"/>
        <item m="1" x="540"/>
        <item m="1" x="542"/>
        <item m="1" x="507"/>
        <item m="1" x="508"/>
        <item m="1" x="530"/>
        <item m="1" x="536"/>
        <item m="1" x="545"/>
        <item m="1" x="521"/>
        <item m="1" x="490"/>
        <item m="1" x="501"/>
        <item m="1" x="474"/>
        <item m="1" x="495"/>
        <item m="1" x="568"/>
        <item m="1" x="509"/>
        <item m="1" x="550"/>
        <item m="1" x="486"/>
        <item m="1" x="487"/>
        <item m="1" x="529"/>
        <item m="1" x="500"/>
        <item m="1" x="527"/>
        <item m="1" x="556"/>
        <item m="1" x="465"/>
        <item m="1" x="470"/>
        <item m="1" x="526"/>
        <item m="1" x="557"/>
        <item m="1" x="558"/>
        <item m="1" x="477"/>
        <item m="1" x="481"/>
        <item m="1" x="555"/>
        <item m="1" x="476"/>
        <item m="1" x="462"/>
        <item m="1" x="518"/>
        <item m="1" x="463"/>
        <item m="1" x="473"/>
        <item m="1" x="174"/>
        <item m="1" x="549"/>
        <item m="1" x="552"/>
        <item m="1" x="425"/>
        <item m="1" x="461"/>
        <item m="1" x="467"/>
        <item m="1" x="480"/>
        <item m="1" x="485"/>
        <item m="1" x="188"/>
        <item m="1" x="469"/>
        <item m="1" x="472"/>
        <item m="1" x="522"/>
        <item m="1" x="115"/>
        <item m="1" x="535"/>
        <item m="1" x="464"/>
        <item m="1" x="450"/>
        <item m="1" x="471"/>
        <item m="1" x="478"/>
        <item m="1" x="274"/>
        <item m="1" x="468"/>
        <item m="1" x="459"/>
        <item m="1" x="445"/>
        <item m="1" x="489"/>
        <item m="1" x="466"/>
        <item m="1" x="479"/>
        <item m="1" x="498"/>
        <item m="1" x="517"/>
        <item m="1" x="513"/>
        <item m="1" x="264"/>
        <item m="1" x="446"/>
        <item m="1" x="452"/>
        <item m="1" x="491"/>
        <item m="1" x="488"/>
        <item m="1" x="460"/>
        <item m="1" x="448"/>
        <item m="1" x="483"/>
        <item m="1" x="454"/>
        <item m="1" x="458"/>
        <item m="1" x="436"/>
        <item m="1" x="451"/>
        <item m="1" x="427"/>
        <item m="1" x="271"/>
        <item m="1" x="433"/>
        <item m="1" x="494"/>
        <item m="1" x="493"/>
        <item m="1" x="440"/>
        <item m="1" x="449"/>
        <item m="1" x="516"/>
        <item m="1" x="496"/>
        <item m="1" x="443"/>
        <item m="1" x="183"/>
        <item m="1" x="415"/>
        <item m="1" x="410"/>
        <item m="1" x="218"/>
        <item m="1" x="407"/>
        <item m="1" x="497"/>
        <item m="1" x="447"/>
        <item m="1" x="435"/>
        <item m="1" x="503"/>
        <item m="1" x="414"/>
        <item m="1" x="328"/>
        <item m="1" x="421"/>
        <item m="1" x="456"/>
        <item m="1" x="430"/>
        <item m="1" x="499"/>
        <item m="1" x="416"/>
        <item m="1" x="437"/>
        <item m="1" x="401"/>
        <item m="1" x="409"/>
        <item m="1" x="400"/>
        <item m="1" x="304"/>
        <item m="1" x="256"/>
        <item m="1" x="420"/>
        <item m="1" x="288"/>
        <item m="1" x="428"/>
        <item m="1" x="395"/>
        <item m="1" x="418"/>
        <item m="1" x="386"/>
        <item m="1" x="482"/>
        <item m="1" x="492"/>
        <item m="1" x="422"/>
        <item m="1" x="255"/>
        <item m="1" x="310"/>
        <item m="1" x="484"/>
        <item m="1" x="423"/>
        <item m="1" x="455"/>
        <item m="1" x="393"/>
        <item m="1" x="419"/>
        <item m="1" x="424"/>
        <item m="1" x="402"/>
        <item m="1" x="369"/>
        <item m="1" x="404"/>
        <item m="1" x="441"/>
        <item m="1" x="453"/>
        <item m="1" x="379"/>
        <item m="1" x="385"/>
        <item m="1" x="337"/>
        <item m="1" x="339"/>
        <item m="1" x="383"/>
        <item m="1" x="412"/>
        <item m="1" x="380"/>
        <item m="1" x="185"/>
        <item m="1" x="335"/>
        <item m="1" x="391"/>
        <item m="1" x="346"/>
        <item m="1" x="333"/>
        <item m="1" x="88"/>
        <item m="1" x="317"/>
        <item m="1" x="388"/>
        <item m="1" x="390"/>
        <item m="1" x="344"/>
        <item m="1" x="358"/>
        <item m="1" x="342"/>
        <item m="1" x="343"/>
        <item m="1" x="345"/>
        <item m="1" x="444"/>
        <item m="1" x="347"/>
        <item m="1" x="442"/>
        <item m="1" x="389"/>
        <item m="1" x="267"/>
        <item m="1" x="438"/>
        <item m="1" x="398"/>
        <item m="1" x="334"/>
        <item m="1" x="360"/>
        <item m="1" x="351"/>
        <item m="1" x="189"/>
        <item m="1" x="432"/>
        <item m="1" x="426"/>
        <item m="1" x="314"/>
        <item m="1" x="302"/>
        <item m="1" x="291"/>
        <item m="1" x="417"/>
        <item m="1" x="203"/>
        <item m="1" x="315"/>
        <item m="1" x="316"/>
        <item m="1" x="374"/>
        <item m="1" x="364"/>
        <item m="1" x="303"/>
        <item m="1" x="272"/>
        <item m="1" x="325"/>
        <item m="1" x="220"/>
        <item m="1" x="122"/>
        <item m="1" x="362"/>
        <item m="1" x="111"/>
        <item m="1" x="297"/>
        <item m="1" x="300"/>
        <item m="1" x="429"/>
        <item m="1" x="371"/>
        <item m="1" x="161"/>
        <item m="1" x="357"/>
        <item m="1" x="242"/>
        <item m="1" x="299"/>
        <item m="1" x="190"/>
        <item m="1" x="296"/>
        <item m="1" x="301"/>
        <item m="1" x="411"/>
        <item m="1" x="323"/>
        <item m="1" x="394"/>
        <item m="1" x="284"/>
        <item m="1" x="285"/>
        <item m="1" x="108"/>
        <item m="1" x="154"/>
        <item m="1" x="241"/>
        <item m="1" x="322"/>
        <item m="1" x="439"/>
        <item m="1" x="234"/>
        <item m="1" x="366"/>
        <item m="1" x="363"/>
        <item m="1" x="359"/>
        <item m="1" x="138"/>
        <item m="1" x="338"/>
        <item m="1" x="318"/>
        <item m="1" x="307"/>
        <item m="1" x="378"/>
        <item m="1" x="217"/>
        <item m="1" x="365"/>
        <item m="1" x="408"/>
        <item m="1" x="431"/>
        <item m="1" x="298"/>
        <item m="1" x="226"/>
        <item m="1" x="324"/>
        <item m="1" x="434"/>
        <item m="1" x="392"/>
        <item m="1" x="352"/>
        <item m="1" x="239"/>
        <item m="1" x="293"/>
        <item m="1" x="273"/>
        <item m="1" x="265"/>
        <item m="1" x="164"/>
        <item m="1" x="329"/>
        <item m="1" x="148"/>
        <item m="1" x="165"/>
        <item m="1" x="286"/>
        <item m="1" x="116"/>
        <item m="1" x="230"/>
        <item m="1" x="289"/>
        <item m="1" x="152"/>
        <item m="1" x="336"/>
        <item m="1" x="227"/>
        <item m="1" x="278"/>
        <item m="1" x="215"/>
        <item m="1" x="275"/>
        <item m="1" x="247"/>
        <item m="1" x="92"/>
        <item m="1" x="262"/>
        <item m="1" x="277"/>
        <item m="1" x="279"/>
        <item m="1" x="254"/>
        <item m="1" x="243"/>
        <item m="1" x="405"/>
        <item m="1" x="287"/>
        <item m="1" x="311"/>
        <item m="1" x="261"/>
        <item m="1" x="282"/>
        <item m="1" x="61"/>
        <item m="1" x="248"/>
        <item m="1" x="406"/>
        <item m="1" x="208"/>
        <item m="1" x="216"/>
        <item m="1" x="186"/>
        <item m="1" x="259"/>
        <item m="1" x="266"/>
        <item m="1" x="403"/>
        <item m="1" x="246"/>
        <item m="1" x="372"/>
        <item m="1" x="321"/>
        <item m="1" x="292"/>
        <item m="1" x="370"/>
        <item m="1" x="163"/>
        <item m="1" x="319"/>
        <item m="1" x="281"/>
        <item m="1" x="211"/>
        <item m="1" x="252"/>
        <item m="1" x="223"/>
        <item m="1" x="221"/>
        <item m="1" x="263"/>
        <item m="1" x="180"/>
        <item m="1" x="156"/>
        <item m="1" x="253"/>
        <item m="1" x="228"/>
        <item m="1" x="129"/>
        <item m="1" x="204"/>
        <item m="1" x="205"/>
        <item m="1" x="194"/>
        <item m="1" x="257"/>
        <item m="1" x="276"/>
        <item m="1" x="229"/>
        <item m="1" x="237"/>
        <item m="1" x="330"/>
        <item m="1" x="331"/>
        <item m="1" x="368"/>
        <item m="1" x="209"/>
        <item m="1" x="290"/>
        <item m="1" x="349"/>
        <item m="1" x="367"/>
        <item m="1" x="231"/>
        <item m="1" x="327"/>
        <item m="1" x="399"/>
        <item m="1" x="200"/>
        <item m="1" x="213"/>
        <item m="1" x="214"/>
        <item m="1" x="312"/>
        <item m="1" x="235"/>
        <item m="1" x="308"/>
        <item m="1" x="396"/>
        <item m="1" x="397"/>
        <item m="1" x="240"/>
        <item m="1" x="202"/>
        <item m="1" x="245"/>
        <item m="1" x="250"/>
        <item m="1" x="251"/>
        <item m="1" x="196"/>
        <item m="1" x="133"/>
        <item m="1" x="104"/>
        <item m="1" x="387"/>
        <item m="1" x="207"/>
        <item m="1" x="199"/>
        <item m="1" x="249"/>
        <item m="1" x="326"/>
        <item m="1" x="197"/>
        <item m="1" x="384"/>
        <item m="1" x="126"/>
        <item m="1" x="305"/>
        <item m="1" x="381"/>
        <item m="1" x="382"/>
        <item m="1" x="198"/>
        <item m="1" x="233"/>
        <item m="1" x="206"/>
        <item m="1" x="210"/>
        <item m="1" x="375"/>
        <item m="1" x="376"/>
        <item m="1" x="377"/>
        <item m="1" x="268"/>
        <item m="1" x="373"/>
        <item m="1" x="361"/>
        <item m="1" x="52"/>
        <item m="1" x="354"/>
        <item m="1" x="355"/>
        <item m="1" x="356"/>
        <item m="1" x="270"/>
        <item m="1" x="232"/>
        <item m="1" x="244"/>
        <item m="1" x="353"/>
        <item m="1" x="258"/>
        <item m="1" x="236"/>
        <item m="1" x="350"/>
        <item m="1" x="341"/>
        <item m="1" x="172"/>
        <item m="1" x="313"/>
        <item m="1" x="340"/>
        <item m="1" x="195"/>
        <item m="1" x="306"/>
        <item m="1" x="332"/>
        <item m="1" x="58"/>
        <item m="1" x="238"/>
        <item m="1" x="153"/>
        <item m="1" x="280"/>
        <item m="1" x="137"/>
        <item m="1" x="176"/>
        <item m="1" x="320"/>
        <item m="1" x="309"/>
        <item x="30"/>
        <item m="1" x="184"/>
        <item m="1" x="149"/>
        <item m="1" x="294"/>
        <item m="1" x="283"/>
        <item x="20"/>
        <item m="1" x="157"/>
        <item m="1" x="269"/>
        <item m="1" x="179"/>
        <item m="1" x="295"/>
        <item m="1" x="175"/>
        <item m="1" x="166"/>
        <item m="1" x="131"/>
        <item x="35"/>
        <item m="1" x="171"/>
        <item m="1" x="181"/>
        <item m="1" x="260"/>
        <item m="1" x="118"/>
        <item m="1" x="162"/>
        <item m="1" x="173"/>
        <item m="1" x="144"/>
        <item m="1" x="225"/>
        <item m="1" x="57"/>
        <item m="1" x="151"/>
        <item x="45"/>
        <item m="1" x="158"/>
        <item x="46"/>
        <item m="1" x="109"/>
        <item m="1" x="178"/>
        <item m="1" x="142"/>
        <item m="1" x="201"/>
        <item m="1" x="222"/>
        <item m="1" x="182"/>
        <item m="1" x="177"/>
        <item m="1" x="155"/>
        <item m="1" x="147"/>
        <item m="1" x="139"/>
        <item m="1" x="169"/>
        <item m="1" x="191"/>
        <item m="1" x="125"/>
        <item m="1" x="193"/>
        <item m="1" x="168"/>
        <item m="1" x="170"/>
        <item x="24"/>
        <item m="1" x="146"/>
        <item m="1" x="127"/>
        <item m="1" x="128"/>
        <item m="1" x="167"/>
        <item m="1" x="121"/>
        <item m="1" x="219"/>
        <item x="23"/>
        <item m="1" x="224"/>
        <item m="1" x="59"/>
        <item m="1" x="160"/>
        <item m="1" x="143"/>
        <item m="1" x="159"/>
        <item m="1" x="212"/>
        <item m="1" x="73"/>
        <item m="1" x="150"/>
        <item m="1" x="187"/>
        <item m="1" x="112"/>
        <item m="1" x="136"/>
        <item x="21"/>
        <item m="1" x="102"/>
        <item m="1" x="134"/>
        <item m="1" x="74"/>
        <item m="1" x="56"/>
        <item m="1" x="119"/>
        <item m="1" x="120"/>
        <item m="1" x="132"/>
        <item m="1" x="113"/>
        <item x="47"/>
        <item m="1" x="106"/>
        <item m="1" x="141"/>
        <item m="1" x="114"/>
        <item x="22"/>
        <item m="1" x="124"/>
        <item m="1" x="53"/>
        <item m="1" x="123"/>
        <item m="1" x="91"/>
        <item m="1" x="77"/>
        <item m="1" x="98"/>
        <item m="1" x="145"/>
        <item m="1" x="90"/>
        <item m="1" x="100"/>
        <item m="1" x="101"/>
        <item m="1" x="96"/>
        <item m="1" x="97"/>
        <item m="1" x="117"/>
        <item m="1" x="93"/>
        <item m="1" x="84"/>
        <item m="1" x="105"/>
        <item m="1" x="83"/>
        <item m="1" x="103"/>
        <item x="27"/>
        <item m="1" x="87"/>
        <item m="1" x="94"/>
        <item m="1" x="140"/>
        <item m="1" x="82"/>
        <item x="48"/>
        <item m="1" x="95"/>
        <item m="1" x="76"/>
        <item m="1" x="71"/>
        <item m="1" x="85"/>
        <item m="1" x="86"/>
        <item m="1" x="130"/>
        <item m="1" x="72"/>
        <item m="1" x="63"/>
        <item m="1" x="66"/>
        <item m="1" x="62"/>
        <item m="1" x="64"/>
        <item m="1" x="80"/>
        <item x="28"/>
        <item m="1" x="110"/>
        <item m="1" x="67"/>
        <item m="1" x="78"/>
        <item m="1" x="79"/>
        <item m="1" x="65"/>
        <item x="29"/>
        <item x="31"/>
        <item m="1" x="107"/>
        <item m="1" x="68"/>
        <item m="1" x="60"/>
        <item m="1" x="54"/>
        <item x="9"/>
        <item m="1" x="70"/>
        <item x="44"/>
        <item x="8"/>
        <item m="1" x="89"/>
        <item x="7"/>
        <item x="6"/>
        <item x="43"/>
        <item m="1" x="75"/>
        <item x="5"/>
        <item x="0"/>
        <item x="15"/>
        <item x="32"/>
        <item x="39"/>
        <item m="1" x="81"/>
        <item m="1" x="69"/>
        <item x="13"/>
        <item x="19"/>
        <item x="14"/>
        <item x="17"/>
        <item x="42"/>
        <item x="16"/>
        <item x="40"/>
        <item x="49"/>
        <item x="36"/>
        <item x="41"/>
        <item x="33"/>
        <item x="51"/>
        <item x="1"/>
        <item x="2"/>
        <item x="12"/>
        <item x="26"/>
        <item x="37"/>
        <item x="38"/>
        <item x="25"/>
        <item m="1" x="55"/>
        <item x="18"/>
        <item x="50"/>
        <item x="3"/>
        <item x="11"/>
        <item x="4"/>
        <item x="10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5">
        <item x="0"/>
        <item x="1"/>
        <item x="6"/>
        <item m="1" x="63"/>
        <item x="3"/>
        <item m="1" x="10"/>
        <item m="1" x="64"/>
        <item m="1" x="62"/>
        <item x="2"/>
        <item m="1" x="60"/>
        <item m="1" x="61"/>
        <item x="7"/>
        <item m="1" x="59"/>
        <item m="1" x="57"/>
        <item m="1" x="58"/>
        <item x="4"/>
        <item m="1" x="21"/>
        <item m="1" x="19"/>
        <item m="1" x="20"/>
        <item m="1" x="18"/>
        <item m="1" x="14"/>
        <item m="1" x="15"/>
        <item m="1" x="39"/>
        <item m="1" x="54"/>
        <item m="1" x="55"/>
        <item m="1" x="56"/>
        <item m="1" x="51"/>
        <item m="1" x="52"/>
        <item m="1" x="9"/>
        <item m="1" x="53"/>
        <item m="1" x="40"/>
        <item m="1" x="36"/>
        <item m="1" x="47"/>
        <item m="1" x="50"/>
        <item m="1" x="48"/>
        <item m="1" x="49"/>
        <item m="1" x="46"/>
        <item m="1" x="42"/>
        <item m="1" x="32"/>
        <item x="5"/>
        <item m="1" x="8"/>
        <item m="1" x="44"/>
        <item m="1" x="45"/>
        <item m="1" x="38"/>
        <item m="1" x="37"/>
        <item m="1" x="33"/>
        <item m="1" x="43"/>
        <item m="1" x="41"/>
        <item m="1" x="35"/>
        <item m="1" x="34"/>
        <item m="1" x="25"/>
        <item m="1" x="31"/>
        <item m="1" x="30"/>
        <item m="1" x="29"/>
        <item m="1" x="28"/>
        <item m="1" x="27"/>
        <item m="1" x="26"/>
        <item m="1" x="24"/>
        <item m="1" x="23"/>
        <item m="1" x="22"/>
        <item m="1" x="17"/>
        <item m="1" x="13"/>
        <item m="1" x="16"/>
        <item m="1" x="12"/>
        <item m="1" x="11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axis="axisRow" compact="0" outline="0" showAll="0" sortType="ascending" defaultSubtotal="0">
      <items count="7">
        <item x="5"/>
        <item m="1" x="6"/>
        <item x="1"/>
        <item x="4"/>
        <item x="3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axis="axisRow" compact="0" numFmtId="14" outline="0" showAll="0" sortType="ascending" defaultSubtotal="0">
      <items count="30">
        <item x="10"/>
        <item x="25"/>
        <item x="15"/>
        <item x="19"/>
        <item x="24"/>
        <item x="20"/>
        <item x="0"/>
        <item x="18"/>
        <item x="3"/>
        <item x="22"/>
        <item x="9"/>
        <item x="5"/>
        <item x="4"/>
        <item x="12"/>
        <item x="29"/>
        <item x="8"/>
        <item x="27"/>
        <item x="14"/>
        <item x="23"/>
        <item x="7"/>
        <item x="1"/>
        <item x="13"/>
        <item x="26"/>
        <item x="28"/>
        <item x="6"/>
        <item x="21"/>
        <item x="17"/>
        <item x="2"/>
        <item x="16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/>
    <pivotField axis="axisRow" compact="0" outline="0" subtotalTop="0" showAll="0" defaultSubtotal="0">
      <items count="2">
        <item x="0"/>
        <item m="1" x="1"/>
      </items>
    </pivotField>
  </pivotFields>
  <rowFields count="6">
    <field x="5"/>
    <field x="6"/>
    <field x="12"/>
    <field x="0"/>
    <field x="1"/>
    <field x="14"/>
  </rowFields>
  <rowItems count="60">
    <i>
      <x/>
      <x v="1"/>
      <x v="1"/>
      <x v="602"/>
      <x v="4"/>
      <x/>
    </i>
    <i r="2">
      <x v="3"/>
      <x v="630"/>
      <x v="4"/>
      <x/>
    </i>
    <i r="2">
      <x v="4"/>
      <x v="557"/>
      <x v="2"/>
      <x/>
    </i>
    <i r="2">
      <x v="14"/>
      <x v="682"/>
      <x v="1"/>
      <x/>
    </i>
    <i r="4">
      <x v="4"/>
      <x/>
    </i>
    <i r="2">
      <x v="15"/>
      <x v="682"/>
      <x v="8"/>
      <x/>
    </i>
    <i r="2">
      <x v="16"/>
      <x v="692"/>
      <x/>
      <x/>
    </i>
    <i r="2">
      <x v="18"/>
      <x v="555"/>
      <x v="1"/>
      <x/>
    </i>
    <i r="2">
      <x v="22"/>
      <x v="678"/>
      <x/>
      <x/>
    </i>
    <i r="2">
      <x v="23"/>
      <x v="692"/>
      <x v="1"/>
      <x/>
    </i>
    <i>
      <x v="2"/>
      <x v="1"/>
      <x v="3"/>
      <x v="649"/>
      <x v="1"/>
      <x/>
    </i>
    <i r="2">
      <x v="7"/>
      <x v="625"/>
      <x v="1"/>
      <x/>
    </i>
    <i r="2">
      <x v="10"/>
      <x v="643"/>
      <x v="4"/>
      <x/>
    </i>
    <i>
      <x v="3"/>
      <x v="1"/>
      <x v="10"/>
      <x v="657"/>
      <x v="8"/>
      <x/>
    </i>
    <i>
      <x v="4"/>
      <x v="1"/>
      <x v="5"/>
      <x v="544"/>
      <x v="11"/>
      <x/>
    </i>
    <i r="2">
      <x v="6"/>
      <x v="662"/>
      <x v="1"/>
      <x/>
    </i>
    <i r="3">
      <x v="680"/>
      <x/>
      <x/>
    </i>
    <i r="2">
      <x v="9"/>
      <x v="544"/>
      <x v="2"/>
      <x/>
    </i>
    <i r="2">
      <x v="12"/>
      <x v="668"/>
      <x/>
      <x/>
    </i>
    <i r="3">
      <x v="675"/>
      <x/>
      <x/>
    </i>
    <i r="3">
      <x v="677"/>
      <x/>
      <x/>
    </i>
    <i r="2">
      <x v="15"/>
      <x v="679"/>
      <x/>
      <x/>
    </i>
    <i r="2">
      <x v="20"/>
      <x v="687"/>
      <x/>
      <x/>
    </i>
    <i r="3">
      <x v="688"/>
      <x/>
      <x/>
    </i>
    <i>
      <x v="5"/>
      <x v="1"/>
      <x/>
      <x v="536"/>
      <x v="1"/>
      <x/>
    </i>
    <i r="2">
      <x v="2"/>
      <x v="574"/>
      <x v="8"/>
      <x/>
    </i>
    <i r="2">
      <x v="6"/>
      <x v="660"/>
      <x/>
      <x/>
    </i>
    <i r="3">
      <x v="664"/>
      <x/>
      <x/>
    </i>
    <i r="3">
      <x v="665"/>
      <x/>
      <x/>
    </i>
    <i r="3">
      <x v="686"/>
      <x/>
      <x/>
    </i>
    <i r="2">
      <x v="8"/>
      <x v="661"/>
      <x/>
      <x/>
    </i>
    <i r="2">
      <x v="10"/>
      <x v="673"/>
      <x/>
      <x/>
    </i>
    <i r="2">
      <x v="11"/>
      <x v="655"/>
      <x v="8"/>
      <x/>
    </i>
    <i r="2">
      <x v="12"/>
      <x v="660"/>
      <x v="1"/>
      <x/>
    </i>
    <i r="3">
      <x v="666"/>
      <x/>
      <x/>
    </i>
    <i r="3">
      <x v="674"/>
      <x/>
      <x/>
    </i>
    <i r="2">
      <x v="13"/>
      <x v="593"/>
      <x v="1"/>
      <x/>
    </i>
    <i r="2">
      <x v="15"/>
      <x v="671"/>
      <x/>
      <x/>
    </i>
    <i r="3">
      <x v="672"/>
      <x/>
      <x/>
    </i>
    <i r="3">
      <x v="676"/>
      <x/>
      <x/>
    </i>
    <i r="2">
      <x v="17"/>
      <x v="581"/>
      <x v="1"/>
      <x/>
    </i>
    <i r="2">
      <x v="19"/>
      <x v="685"/>
      <x/>
      <x/>
    </i>
    <i r="2">
      <x v="20"/>
      <x v="658"/>
      <x/>
      <x/>
    </i>
    <i r="3">
      <x v="683"/>
      <x/>
      <x/>
    </i>
    <i r="3">
      <x v="684"/>
      <x/>
      <x/>
    </i>
    <i r="2">
      <x v="21"/>
      <x v="606"/>
      <x v="1"/>
      <x/>
    </i>
    <i r="2">
      <x v="24"/>
      <x v="696"/>
      <x/>
      <x/>
    </i>
    <i r="2">
      <x v="26"/>
      <x v="686"/>
      <x v="1"/>
      <x/>
    </i>
    <i r="2">
      <x v="27"/>
      <x v="691"/>
      <x/>
      <x/>
    </i>
    <i r="3">
      <x v="693"/>
      <x/>
      <x/>
    </i>
    <i r="3">
      <x v="694"/>
      <x/>
      <x/>
    </i>
    <i r="3">
      <x v="695"/>
      <x/>
      <x/>
    </i>
    <i r="2">
      <x v="28"/>
      <x v="689"/>
      <x/>
      <x/>
    </i>
    <i r="2">
      <x v="29"/>
      <x v="536"/>
      <x v="8"/>
      <x/>
    </i>
    <i>
      <x v="6"/>
      <x v="1"/>
      <x/>
      <x v="531"/>
      <x v="15"/>
      <x/>
    </i>
    <i r="2">
      <x v="3"/>
      <x v="531"/>
      <x v="39"/>
      <x/>
    </i>
    <i r="2">
      <x v="5"/>
      <x v="650"/>
      <x v="8"/>
      <x/>
    </i>
    <i r="2">
      <x v="10"/>
      <x v="667"/>
      <x/>
      <x/>
    </i>
    <i r="2">
      <x v="15"/>
      <x v="681"/>
      <x/>
      <x/>
    </i>
    <i r="2">
      <x v="25"/>
      <x v="697"/>
      <x/>
      <x/>
    </i>
  </rowItems>
  <colItems count="1">
    <i/>
  </colItems>
  <dataFields count="1">
    <dataField name="Sum of  Invoice Amt (SAR)" fld="11" baseField="0" baseItem="0"/>
  </dataFields>
  <formats count="30">
    <format dxfId="865">
      <pivotArea outline="0" collapsedLevelsAreSubtotals="1" fieldPosition="0"/>
    </format>
    <format dxfId="864">
      <pivotArea dataOnly="0" labelOnly="1" outline="0" fieldPosition="0">
        <references count="1">
          <reference field="5" count="0"/>
        </references>
      </pivotArea>
    </format>
    <format dxfId="863">
      <pivotArea dataOnly="0" labelOnly="1" outline="0" fieldPosition="0">
        <references count="2">
          <reference field="5" count="1" selected="0">
            <x v="0"/>
          </reference>
          <reference field="6" count="0"/>
        </references>
      </pivotArea>
    </format>
    <format dxfId="862">
      <pivotArea dataOnly="0" labelOnly="1" outline="0" fieldPosition="0">
        <references count="2">
          <reference field="5" count="1" selected="0">
            <x v="4"/>
          </reference>
          <reference field="6" count="1">
            <x v="0"/>
          </reference>
        </references>
      </pivotArea>
    </format>
    <format dxfId="861">
      <pivotArea dataOnly="0" labelOnly="1" outline="0" fieldPosition="0">
        <references count="2">
          <reference field="5" count="1" selected="0">
            <x v="6"/>
          </reference>
          <reference field="6" count="1">
            <x v="1"/>
          </reference>
        </references>
      </pivotArea>
    </format>
    <format dxfId="860">
      <pivotArea dataOnly="0" labelOnly="1" outline="0" fieldPosition="0">
        <references count="3">
          <reference field="0" count="1">
            <x v="25"/>
          </reference>
          <reference field="5" count="1" selected="0">
            <x v="0"/>
          </reference>
          <reference field="6" count="1" selected="0">
            <x v="0"/>
          </reference>
        </references>
      </pivotArea>
    </format>
    <format dxfId="859">
      <pivotArea dataOnly="0" labelOnly="1" outline="0" fieldPosition="0">
        <references count="3">
          <reference field="0" count="15">
            <x v="22"/>
            <x v="23"/>
            <x v="24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</reference>
          <reference field="5" count="1" selected="0">
            <x v="0"/>
          </reference>
          <reference field="6" count="1" selected="0">
            <x v="1"/>
          </reference>
        </references>
      </pivotArea>
    </format>
    <format dxfId="858">
      <pivotArea dataOnly="0" labelOnly="1" outline="0" fieldPosition="0">
        <references count="3">
          <reference field="0" count="1">
            <x v="21"/>
          </reference>
          <reference field="5" count="1" selected="0">
            <x v="4"/>
          </reference>
          <reference field="6" count="1" selected="0">
            <x v="0"/>
          </reference>
        </references>
      </pivotArea>
    </format>
    <format dxfId="857">
      <pivotArea dataOnly="0" labelOnly="1" outline="0" fieldPosition="0">
        <references count="3">
          <reference field="0" count="2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39"/>
          </reference>
          <reference field="5" count="1" selected="0">
            <x v="6"/>
          </reference>
          <reference field="6" count="1" selected="0">
            <x v="1"/>
          </reference>
        </references>
      </pivotArea>
    </format>
    <format dxfId="856">
      <pivotArea dataOnly="0" labelOnly="1" outline="0" fieldPosition="0">
        <references count="3">
          <reference field="0" count="1">
            <x v="38"/>
          </reference>
          <reference field="5" count="1" selected="0">
            <x v="5"/>
          </reference>
          <reference field="6" count="1" selected="0">
            <x v="1"/>
          </reference>
        </references>
      </pivotArea>
    </format>
    <format dxfId="855">
      <pivotArea dataOnly="0" labelOnly="1" outline="0" fieldPosition="0">
        <references count="4">
          <reference field="0" count="1" selected="0">
            <x v="25"/>
          </reference>
          <reference field="1" count="1">
            <x v="0"/>
          </reference>
          <reference field="5" count="1" selected="0">
            <x v="0"/>
          </reference>
          <reference field="6" count="1" selected="0">
            <x v="0"/>
          </reference>
        </references>
      </pivotArea>
    </format>
    <format dxfId="854">
      <pivotArea dataOnly="0" labelOnly="1" outline="0" fieldPosition="0">
        <references count="4">
          <reference field="0" count="1" selected="0">
            <x v="22"/>
          </reference>
          <reference field="1" count="1">
            <x v="2"/>
          </reference>
          <reference field="5" count="1" selected="0">
            <x v="0"/>
          </reference>
          <reference field="6" count="1" selected="0">
            <x v="1"/>
          </reference>
        </references>
      </pivotArea>
    </format>
    <format dxfId="853">
      <pivotArea dataOnly="0" labelOnly="1" outline="0" fieldPosition="0">
        <references count="4">
          <reference field="0" count="1" selected="0">
            <x v="23"/>
          </reference>
          <reference field="1" count="1">
            <x v="0"/>
          </reference>
          <reference field="5" count="1" selected="0">
            <x v="0"/>
          </reference>
          <reference field="6" count="1" selected="0">
            <x v="1"/>
          </reference>
        </references>
      </pivotArea>
    </format>
    <format dxfId="852">
      <pivotArea dataOnly="0" labelOnly="1" outline="0" fieldPosition="0">
        <references count="4">
          <reference field="0" count="1" selected="0">
            <x v="21"/>
          </reference>
          <reference field="1" count="2">
            <x v="3"/>
            <x v="6"/>
          </reference>
          <reference field="5" count="1" selected="0">
            <x v="4"/>
          </reference>
          <reference field="6" count="1" selected="0">
            <x v="0"/>
          </reference>
        </references>
      </pivotArea>
    </format>
    <format dxfId="851">
      <pivotArea dataOnly="0" labelOnly="1" outline="0" fieldPosition="0">
        <references count="4">
          <reference field="0" count="1" selected="0">
            <x v="0"/>
          </reference>
          <reference field="1" count="2">
            <x v="0"/>
            <x v="1"/>
          </reference>
          <reference field="5" count="1" selected="0">
            <x v="6"/>
          </reference>
          <reference field="6" count="1" selected="0">
            <x v="1"/>
          </reference>
        </references>
      </pivotArea>
    </format>
    <format dxfId="850">
      <pivotArea dataOnly="0" labelOnly="1" outline="0" fieldPosition="0">
        <references count="4">
          <reference field="0" count="1" selected="0">
            <x v="1"/>
          </reference>
          <reference field="1" count="1">
            <x v="0"/>
          </reference>
          <reference field="5" count="1" selected="0">
            <x v="6"/>
          </reference>
          <reference field="6" count="1" selected="0">
            <x v="1"/>
          </reference>
        </references>
      </pivotArea>
    </format>
    <format dxfId="849">
      <pivotArea dataOnly="0" labelOnly="1" outline="0" fieldPosition="0">
        <references count="4">
          <reference field="0" count="1" selected="0">
            <x v="5"/>
          </reference>
          <reference field="1" count="1">
            <x v="1"/>
          </reference>
          <reference field="5" count="1" selected="0">
            <x v="6"/>
          </reference>
          <reference field="6" count="1" selected="0">
            <x v="1"/>
          </reference>
        </references>
      </pivotArea>
    </format>
    <format dxfId="848">
      <pivotArea dataOnly="0" labelOnly="1" outline="0" fieldPosition="0">
        <references count="4">
          <reference field="0" count="1" selected="0">
            <x v="6"/>
          </reference>
          <reference field="1" count="1">
            <x v="0"/>
          </reference>
          <reference field="5" count="1" selected="0">
            <x v="6"/>
          </reference>
          <reference field="6" count="1" selected="0">
            <x v="1"/>
          </reference>
        </references>
      </pivotArea>
    </format>
    <format dxfId="847">
      <pivotArea dataOnly="0" labelOnly="1" outline="0" fieldPosition="0">
        <references count="4">
          <reference field="0" count="1" selected="0">
            <x v="10"/>
          </reference>
          <reference field="1" count="1">
            <x v="1"/>
          </reference>
          <reference field="5" count="1" selected="0">
            <x v="6"/>
          </reference>
          <reference field="6" count="1" selected="0">
            <x v="1"/>
          </reference>
        </references>
      </pivotArea>
    </format>
    <format dxfId="846">
      <pivotArea dataOnly="0" labelOnly="1" outline="0" fieldPosition="0">
        <references count="4">
          <reference field="0" count="1" selected="0">
            <x v="11"/>
          </reference>
          <reference field="1" count="1">
            <x v="0"/>
          </reference>
          <reference field="5" count="1" selected="0">
            <x v="6"/>
          </reference>
          <reference field="6" count="1" selected="0">
            <x v="1"/>
          </reference>
        </references>
      </pivotArea>
    </format>
    <format dxfId="845">
      <pivotArea dataOnly="0" labelOnly="1" outline="0" fieldPosition="0">
        <references count="4">
          <reference field="0" count="1" selected="0">
            <x v="38"/>
          </reference>
          <reference field="1" count="2">
            <x v="4"/>
            <x v="5"/>
          </reference>
          <reference field="5" count="1" selected="0">
            <x v="5"/>
          </reference>
          <reference field="6" count="1" selected="0">
            <x v="1"/>
          </reference>
        </references>
      </pivotArea>
    </format>
    <format dxfId="844">
      <pivotArea outline="0" fieldPosition="0">
        <references count="2">
          <reference field="5" count="3" selected="0">
            <x v="0"/>
            <x v="4"/>
            <x v="6"/>
          </reference>
          <reference field="6" count="0" selected="0" defaultSubtotal="1"/>
        </references>
      </pivotArea>
    </format>
    <format dxfId="843">
      <pivotArea outline="0" fieldPosition="0">
        <references count="2">
          <reference field="5" count="1" selected="0">
            <x v="5"/>
          </reference>
          <reference field="6" count="1" selected="0" defaultSubtotal="1">
            <x v="1"/>
          </reference>
        </references>
      </pivotArea>
    </format>
    <format dxfId="842">
      <pivotArea dataOnly="0" labelOnly="1" outline="0" fieldPosition="0">
        <references count="3">
          <reference field="0" count="2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39"/>
            <x v="40"/>
          </reference>
          <reference field="5" count="1" selected="0">
            <x v="6"/>
          </reference>
          <reference field="6" count="1" selected="0">
            <x v="1"/>
          </reference>
        </references>
      </pivotArea>
    </format>
    <format dxfId="841">
      <pivotArea dataOnly="0" labelOnly="1" outline="0" fieldPosition="0">
        <references count="4">
          <reference field="0" count="1" selected="0">
            <x v="0"/>
          </reference>
          <reference field="1" count="2">
            <x v="0"/>
            <x v="1"/>
          </reference>
          <reference field="5" count="1" selected="0">
            <x v="6"/>
          </reference>
          <reference field="6" count="1" selected="0">
            <x v="1"/>
          </reference>
        </references>
      </pivotArea>
    </format>
    <format dxfId="840">
      <pivotArea dataOnly="0" labelOnly="1" outline="0" fieldPosition="0">
        <references count="4">
          <reference field="0" count="1" selected="0">
            <x v="1"/>
          </reference>
          <reference field="1" count="1">
            <x v="0"/>
          </reference>
          <reference field="5" count="1" selected="0">
            <x v="6"/>
          </reference>
          <reference field="6" count="1" selected="0">
            <x v="1"/>
          </reference>
        </references>
      </pivotArea>
    </format>
    <format dxfId="839">
      <pivotArea dataOnly="0" labelOnly="1" outline="0" fieldPosition="0">
        <references count="4">
          <reference field="0" count="1" selected="0">
            <x v="5"/>
          </reference>
          <reference field="1" count="1">
            <x v="1"/>
          </reference>
          <reference field="5" count="1" selected="0">
            <x v="6"/>
          </reference>
          <reference field="6" count="1" selected="0">
            <x v="1"/>
          </reference>
        </references>
      </pivotArea>
    </format>
    <format dxfId="838">
      <pivotArea dataOnly="0" labelOnly="1" outline="0" fieldPosition="0">
        <references count="4">
          <reference field="0" count="1" selected="0">
            <x v="6"/>
          </reference>
          <reference field="1" count="1">
            <x v="0"/>
          </reference>
          <reference field="5" count="1" selected="0">
            <x v="6"/>
          </reference>
          <reference field="6" count="1" selected="0">
            <x v="1"/>
          </reference>
        </references>
      </pivotArea>
    </format>
    <format dxfId="837">
      <pivotArea dataOnly="0" labelOnly="1" outline="0" fieldPosition="0">
        <references count="4">
          <reference field="0" count="1" selected="0">
            <x v="10"/>
          </reference>
          <reference field="1" count="1">
            <x v="1"/>
          </reference>
          <reference field="5" count="1" selected="0">
            <x v="6"/>
          </reference>
          <reference field="6" count="1" selected="0">
            <x v="1"/>
          </reference>
        </references>
      </pivotArea>
    </format>
    <format dxfId="836">
      <pivotArea dataOnly="0" labelOnly="1" outline="0" fieldPosition="0">
        <references count="4">
          <reference field="0" count="1" selected="0">
            <x v="11"/>
          </reference>
          <reference field="1" count="1">
            <x v="0"/>
          </reference>
          <reference field="5" count="1" selected="0">
            <x v="6"/>
          </reference>
          <reference field="6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463A2A-1067-429A-BBBD-491C59D397D7}" name="PivotTable2" cacheId="81" applyNumberFormats="0" applyBorderFormats="0" applyFontFormats="0" applyPatternFormats="0" applyAlignmentFormats="0" applyWidthHeightFormats="1" dataCaption="Values" missingCaption="0" updatedVersion="8" minRefreshableVersion="3" showDrill="0" useAutoFormatting="1" itemPrintTitles="1" createdVersion="8" indent="0" compact="0" compactData="0" multipleFieldFilters="0">
  <location ref="A3:V159" firstHeaderRow="1" firstDataRow="3" firstDataCol="8"/>
  <pivotFields count="17">
    <pivotField axis="axisRow" compact="0" outline="0" showAll="0" defaultSubtotal="0">
      <items count="815">
        <item m="1" x="590"/>
        <item m="1" x="658"/>
        <item m="1" x="814"/>
        <item m="1" x="809"/>
        <item m="1" x="754"/>
        <item m="1" x="771"/>
        <item m="1" x="812"/>
        <item m="1" x="786"/>
        <item m="1" x="737"/>
        <item m="1" x="800"/>
        <item m="1" x="804"/>
        <item m="1" x="802"/>
        <item m="1" x="747"/>
        <item m="1" x="757"/>
        <item m="1" x="801"/>
        <item m="1" x="799"/>
        <item m="1" x="803"/>
        <item m="1" x="798"/>
        <item m="1" x="794"/>
        <item m="1" x="795"/>
        <item m="1" x="797"/>
        <item m="1" x="796"/>
        <item m="1" x="589"/>
        <item m="1" x="788"/>
        <item m="1" x="793"/>
        <item m="1" x="791"/>
        <item m="1" x="792"/>
        <item m="1" x="750"/>
        <item m="1" x="790"/>
        <item m="1" x="789"/>
        <item m="1" x="787"/>
        <item m="1" x="746"/>
        <item m="1" x="768"/>
        <item m="1" x="769"/>
        <item m="1" x="805"/>
        <item m="1" x="748"/>
        <item m="1" x="766"/>
        <item m="1" x="763"/>
        <item m="1" x="764"/>
        <item m="1" x="765"/>
        <item m="1" x="767"/>
        <item m="1" x="756"/>
        <item m="1" x="761"/>
        <item m="1" x="679"/>
        <item m="1" x="762"/>
        <item m="1" x="733"/>
        <item m="1" x="591"/>
        <item m="1" x="714"/>
        <item m="1" x="760"/>
        <item m="1" x="759"/>
        <item m="1" x="749"/>
        <item m="1" x="751"/>
        <item m="1" x="752"/>
        <item m="1" x="753"/>
        <item m="1" x="735"/>
        <item m="1" x="624"/>
        <item m="1" x="739"/>
        <item x="38"/>
        <item m="1" x="691"/>
        <item m="1" x="732"/>
        <item m="1" x="772"/>
        <item m="1" x="196"/>
        <item m="1" x="741"/>
        <item x="152"/>
        <item m="1" x="729"/>
        <item m="1" x="724"/>
        <item m="1" x="811"/>
        <item m="1" x="813"/>
        <item m="1" x="629"/>
        <item m="1" x="758"/>
        <item m="1" x="784"/>
        <item m="1" x="723"/>
        <item m="1" x="808"/>
        <item m="1" x="810"/>
        <item m="1" x="783"/>
        <item m="1" x="740"/>
        <item m="1" x="780"/>
        <item m="1" x="782"/>
        <item m="1" x="781"/>
        <item m="1" x="777"/>
        <item m="1" x="779"/>
        <item m="1" x="785"/>
        <item m="1" x="778"/>
        <item m="1" x="755"/>
        <item m="1" x="651"/>
        <item m="1" x="775"/>
        <item m="1" x="776"/>
        <item m="1" x="774"/>
        <item m="1" x="678"/>
        <item m="1" x="807"/>
        <item m="1" x="770"/>
        <item m="1" x="743"/>
        <item m="1" x="744"/>
        <item m="1" x="738"/>
        <item m="1" x="716"/>
        <item m="1" x="718"/>
        <item m="1" x="731"/>
        <item m="1" x="695"/>
        <item m="1" x="543"/>
        <item m="1" x="720"/>
        <item m="1" x="719"/>
        <item m="1" x="773"/>
        <item m="1" x="710"/>
        <item m="1" x="675"/>
        <item m="1" x="742"/>
        <item m="1" x="728"/>
        <item m="1" x="727"/>
        <item m="1" x="509"/>
        <item m="1" x="726"/>
        <item m="1" x="725"/>
        <item m="1" x="659"/>
        <item m="1" x="722"/>
        <item m="1" x="699"/>
        <item m="1" x="674"/>
        <item m="1" x="588"/>
        <item m="1" x="657"/>
        <item m="1" x="806"/>
        <item m="1" x="393"/>
        <item m="1" x="661"/>
        <item m="1" x="587"/>
        <item m="1" x="721"/>
        <item m="1" x="597"/>
        <item m="1" x="614"/>
        <item m="1" x="698"/>
        <item m="1" x="736"/>
        <item m="1" x="616"/>
        <item m="1" x="715"/>
        <item m="1" x="702"/>
        <item m="1" x="707"/>
        <item m="1" x="708"/>
        <item m="1" x="705"/>
        <item m="1" x="734"/>
        <item m="1" x="684"/>
        <item m="1" x="703"/>
        <item m="1" x="680"/>
        <item m="1" x="693"/>
        <item m="1" x="662"/>
        <item m="1" x="663"/>
        <item m="1" x="704"/>
        <item m="1" x="745"/>
        <item m="1" x="671"/>
        <item m="1" x="634"/>
        <item m="1" x="706"/>
        <item m="1" x="694"/>
        <item m="1" x="686"/>
        <item m="1" x="701"/>
        <item m="1" x="677"/>
        <item m="1" x="711"/>
        <item m="1" x="709"/>
        <item m="1" x="630"/>
        <item m="1" x="713"/>
        <item m="1" x="660"/>
        <item m="1" x="683"/>
        <item m="1" x="626"/>
        <item m="1" x="700"/>
        <item m="1" x="676"/>
        <item m="1" x="730"/>
        <item m="1" x="545"/>
        <item m="1" x="625"/>
        <item m="1" x="696"/>
        <item m="1" x="687"/>
        <item m="1" x="627"/>
        <item m="1" x="449"/>
        <item m="1" x="697"/>
        <item m="1" x="717"/>
        <item m="1" x="599"/>
        <item m="1" x="654"/>
        <item m="1" x="665"/>
        <item m="1" x="682"/>
        <item m="1" x="593"/>
        <item m="1" x="673"/>
        <item m="1" x="287"/>
        <item m="1" x="688"/>
        <item m="1" x="685"/>
        <item m="1" x="646"/>
        <item m="1" x="603"/>
        <item m="1" x="645"/>
        <item m="1" x="604"/>
        <item m="1" x="681"/>
        <item m="1" x="689"/>
        <item m="1" x="690"/>
        <item m="1" x="666"/>
        <item m="1" x="664"/>
        <item m="1" x="619"/>
        <item m="1" x="672"/>
        <item m="1" x="647"/>
        <item m="1" x="487"/>
        <item m="1" x="558"/>
        <item m="1" x="617"/>
        <item m="1" x="648"/>
        <item m="1" x="638"/>
        <item m="1" x="632"/>
        <item m="1" x="620"/>
        <item m="1" x="570"/>
        <item m="1" x="602"/>
        <item m="1" x="633"/>
        <item m="1" x="639"/>
        <item m="1" x="240"/>
        <item m="1" x="606"/>
        <item m="1" x="595"/>
        <item m="1" x="569"/>
        <item m="1" x="579"/>
        <item m="1" x="605"/>
        <item m="1" x="712"/>
        <item m="1" x="363"/>
        <item m="1" x="608"/>
        <item x="43"/>
        <item m="1" x="601"/>
        <item m="1" x="583"/>
        <item m="1" x="628"/>
        <item m="1" x="611"/>
        <item m="1" x="649"/>
        <item m="1" x="585"/>
        <item m="1" x="622"/>
        <item m="1" x="594"/>
        <item m="1" x="266"/>
        <item m="1" x="642"/>
        <item m="1" x="692"/>
        <item m="1" x="631"/>
        <item m="1" x="615"/>
        <item m="1" x="667"/>
        <item m="1" x="668"/>
        <item m="1" x="580"/>
        <item m="1" x="640"/>
        <item m="1" x="618"/>
        <item m="1" x="600"/>
        <item m="1" x="636"/>
        <item m="1" x="610"/>
        <item m="1" x="641"/>
        <item m="1" x="452"/>
        <item m="1" x="643"/>
        <item m="1" x="637"/>
        <item m="1" x="644"/>
        <item m="1" x="472"/>
        <item m="1" x="285"/>
        <item m="1" x="544"/>
        <item m="1" x="371"/>
        <item m="1" x="621"/>
        <item m="1" x="596"/>
        <item m="1" x="623"/>
        <item m="1" x="586"/>
        <item m="1" x="598"/>
        <item m="1" x="466"/>
        <item m="1" x="385"/>
        <item m="1" x="312"/>
        <item x="128"/>
        <item m="1" x="248"/>
        <item m="1" x="360"/>
        <item m="1" x="521"/>
        <item x="136"/>
        <item m="1" x="469"/>
        <item m="1" x="609"/>
        <item m="1" x="592"/>
        <item m="1" x="575"/>
        <item m="1" x="408"/>
        <item m="1" x="531"/>
        <item m="1" x="274"/>
        <item m="1" x="173"/>
        <item m="1" x="528"/>
        <item x="41"/>
        <item m="1" x="607"/>
        <item m="1" x="387"/>
        <item m="1" x="559"/>
        <item m="1" x="534"/>
        <item m="1" x="560"/>
        <item m="1" x="561"/>
        <item m="1" x="551"/>
        <item m="1" x="540"/>
        <item m="1" x="562"/>
        <item m="1" x="563"/>
        <item m="1" x="571"/>
        <item m="1" x="564"/>
        <item m="1" x="463"/>
        <item m="1" x="582"/>
        <item m="1" x="565"/>
        <item m="1" x="581"/>
        <item m="1" x="397"/>
        <item m="1" x="524"/>
        <item m="1" x="546"/>
        <item m="1" x="486"/>
        <item m="1" x="485"/>
        <item m="1" x="547"/>
        <item m="1" x="548"/>
        <item m="1" x="530"/>
        <item m="1" x="572"/>
        <item m="1" x="549"/>
        <item m="1" x="556"/>
        <item m="1" x="566"/>
        <item m="1" x="201"/>
        <item m="1" x="542"/>
        <item m="1" x="568"/>
        <item m="1" x="573"/>
        <item m="1" x="461"/>
        <item m="1" x="552"/>
        <item m="1" x="532"/>
        <item m="1" x="567"/>
        <item m="1" x="503"/>
        <item m="1" x="557"/>
        <item m="1" x="538"/>
        <item m="1" x="650"/>
        <item m="1" x="656"/>
        <item m="1" x="652"/>
        <item m="1" x="635"/>
        <item m="1" x="670"/>
        <item m="1" x="537"/>
        <item m="1" x="669"/>
        <item m="1" x="539"/>
        <item m="1" x="448"/>
        <item m="1" x="374"/>
        <item m="1" x="403"/>
        <item m="1" x="493"/>
        <item x="131"/>
        <item m="1" x="584"/>
        <item m="1" x="577"/>
        <item m="1" x="553"/>
        <item m="1" x="578"/>
        <item m="1" x="576"/>
        <item m="1" x="286"/>
        <item m="1" x="655"/>
        <item x="118"/>
        <item m="1" x="355"/>
        <item m="1" x="185"/>
        <item m="1" x="353"/>
        <item m="1" x="541"/>
        <item m="1" x="373"/>
        <item m="1" x="653"/>
        <item m="1" x="489"/>
        <item m="1" x="526"/>
        <item m="1" x="523"/>
        <item m="1" x="390"/>
        <item m="1" x="535"/>
        <item m="1" x="386"/>
        <item m="1" x="329"/>
        <item m="1" x="554"/>
        <item m="1" x="470"/>
        <item m="1" x="506"/>
        <item m="1" x="317"/>
        <item m="1" x="550"/>
        <item m="1" x="555"/>
        <item m="1" x="516"/>
        <item m="1" x="336"/>
        <item m="1" x="437"/>
        <item m="1" x="505"/>
        <item m="1" x="514"/>
        <item m="1" x="490"/>
        <item m="1" x="264"/>
        <item m="1" x="515"/>
        <item m="1" x="517"/>
        <item m="1" x="476"/>
        <item m="1" x="510"/>
        <item m="1" x="458"/>
        <item m="1" x="536"/>
        <item m="1" x="518"/>
        <item m="1" x="344"/>
        <item m="1" x="500"/>
        <item m="1" x="508"/>
        <item m="1" x="504"/>
        <item m="1" x="519"/>
        <item m="1" x="512"/>
        <item m="1" x="220"/>
        <item m="1" x="511"/>
        <item m="1" x="513"/>
        <item m="1" x="520"/>
        <item m="1" x="445"/>
        <item m="1" x="299"/>
        <item m="1" x="206"/>
        <item m="1" x="305"/>
        <item m="1" x="438"/>
        <item m="1" x="482"/>
        <item m="1" x="496"/>
        <item m="1" x="298"/>
        <item m="1" x="282"/>
        <item m="1" x="291"/>
        <item m="1" x="574"/>
        <item m="1" x="435"/>
        <item m="1" x="155"/>
        <item m="1" x="418"/>
        <item m="1" x="434"/>
        <item m="1" x="446"/>
        <item m="1" x="337"/>
        <item m="1" x="289"/>
        <item m="1" x="303"/>
        <item m="1" x="465"/>
        <item m="1" x="436"/>
        <item m="1" x="304"/>
        <item m="1" x="414"/>
        <item m="1" x="442"/>
        <item m="1" x="273"/>
        <item m="1" x="499"/>
        <item m="1" x="444"/>
        <item m="1" x="279"/>
        <item m="1" x="502"/>
        <item x="61"/>
        <item m="1" x="204"/>
        <item m="1" x="612"/>
        <item m="1" x="301"/>
        <item m="1" x="306"/>
        <item m="1" x="455"/>
        <item m="1" x="488"/>
        <item m="1" x="399"/>
        <item m="1" x="232"/>
        <item m="1" x="613"/>
        <item m="1" x="441"/>
        <item m="1" x="480"/>
        <item m="1" x="416"/>
        <item m="1" x="440"/>
        <item m="1" x="207"/>
        <item m="1" x="394"/>
        <item m="1" x="527"/>
        <item x="40"/>
        <item m="1" x="419"/>
        <item m="1" x="372"/>
        <item m="1" x="491"/>
        <item m="1" x="225"/>
        <item m="1" x="433"/>
        <item m="1" x="468"/>
        <item m="1" x="498"/>
        <item m="1" x="432"/>
        <item m="1" x="369"/>
        <item m="1" x="430"/>
        <item m="1" x="215"/>
        <item m="1" x="533"/>
        <item m="1" x="415"/>
        <item m="1" x="214"/>
        <item m="1" x="249"/>
        <item m="1" x="269"/>
        <item m="1" x="478"/>
        <item m="1" x="422"/>
        <item m="1" x="409"/>
        <item m="1" x="421"/>
        <item m="1" x="423"/>
        <item m="1" x="307"/>
        <item m="1" x="255"/>
        <item m="1" x="494"/>
        <item m="1" x="345"/>
        <item m="1" x="366"/>
        <item m="1" x="450"/>
        <item m="1" x="426"/>
        <item m="1" x="327"/>
        <item m="1" x="477"/>
        <item m="1" x="431"/>
        <item m="1" x="167"/>
        <item m="1" x="216"/>
        <item m="1" x="278"/>
        <item m="1" x="522"/>
        <item m="1" x="525"/>
        <item m="1" x="398"/>
        <item m="1" x="439"/>
        <item m="1" x="462"/>
        <item m="1" x="417"/>
        <item m="1" x="347"/>
        <item m="1" x="328"/>
        <item m="1" x="368"/>
        <item m="1" x="459"/>
        <item m="1" x="351"/>
        <item m="1" x="211"/>
        <item m="1" x="169"/>
        <item m="1" x="484"/>
        <item m="1" x="453"/>
        <item x="137"/>
        <item m="1" x="300"/>
        <item m="1" x="380"/>
        <item m="1" x="396"/>
        <item m="1" x="400"/>
        <item m="1" x="334"/>
        <item m="1" x="529"/>
        <item m="1" x="378"/>
        <item m="1" x="296"/>
        <item m="1" x="237"/>
        <item m="1" x="292"/>
        <item m="1" x="302"/>
        <item m="1" x="379"/>
        <item m="1" x="407"/>
        <item m="1" x="297"/>
        <item m="1" x="401"/>
        <item m="1" x="402"/>
        <item x="141"/>
        <item m="1" x="311"/>
        <item m="1" x="507"/>
        <item m="1" x="253"/>
        <item m="1" x="267"/>
        <item m="1" x="392"/>
        <item m="1" x="219"/>
        <item x="52"/>
        <item m="1" x="406"/>
        <item m="1" x="176"/>
        <item m="1" x="361"/>
        <item m="1" x="389"/>
        <item m="1" x="339"/>
        <item x="100"/>
        <item m="1" x="376"/>
        <item m="1" x="343"/>
        <item m="1" x="308"/>
        <item x="47"/>
        <item m="1" x="168"/>
        <item m="1" x="241"/>
        <item m="1" x="384"/>
        <item m="1" x="382"/>
        <item m="1" x="342"/>
        <item m="1" x="290"/>
        <item m="1" x="381"/>
        <item m="1" x="338"/>
        <item m="1" x="375"/>
        <item m="1" x="174"/>
        <item m="1" x="357"/>
        <item m="1" x="294"/>
        <item m="1" x="365"/>
        <item m="1" x="265"/>
        <item m="1" x="474"/>
        <item x="105"/>
        <item m="1" x="405"/>
        <item m="1" x="324"/>
        <item m="1" x="354"/>
        <item m="1" x="362"/>
        <item m="1" x="250"/>
        <item m="1" x="260"/>
        <item m="1" x="283"/>
        <item m="1" x="341"/>
        <item m="1" x="358"/>
        <item m="1" x="350"/>
        <item m="1" x="359"/>
        <item m="1" x="156"/>
        <item m="1" x="256"/>
        <item m="1" x="346"/>
        <item x="79"/>
        <item m="1" x="364"/>
        <item m="1" x="309"/>
        <item m="1" x="194"/>
        <item m="1" x="352"/>
        <item m="1" x="310"/>
        <item m="1" x="293"/>
        <item m="1" x="281"/>
        <item m="1" x="348"/>
        <item m="1" x="257"/>
        <item m="1" x="239"/>
        <item m="1" x="227"/>
        <item m="1" x="205"/>
        <item m="1" x="245"/>
        <item m="1" x="377"/>
        <item m="1" x="333"/>
        <item m="1" x="388"/>
        <item x="27"/>
        <item m="1" x="391"/>
        <item m="1" x="202"/>
        <item x="58"/>
        <item m="1" x="413"/>
        <item m="1" x="236"/>
        <item m="1" x="410"/>
        <item m="1" x="322"/>
        <item m="1" x="325"/>
        <item m="1" x="349"/>
        <item m="1" x="428"/>
        <item m="1" x="424"/>
        <item m="1" x="495"/>
        <item m="1" x="471"/>
        <item m="1" x="475"/>
        <item m="1" x="457"/>
        <item m="1" x="479"/>
        <item m="1" x="492"/>
        <item m="1" x="456"/>
        <item m="1" x="447"/>
        <item m="1" x="454"/>
        <item m="1" x="443"/>
        <item m="1" x="473"/>
        <item m="1" x="460"/>
        <item m="1" x="412"/>
        <item m="1" x="295"/>
        <item m="1" x="314"/>
        <item m="1" x="331"/>
        <item m="1" x="332"/>
        <item x="8"/>
        <item m="1" x="497"/>
        <item m="1" x="467"/>
        <item m="1" x="451"/>
        <item m="1" x="483"/>
        <item m="1" x="464"/>
        <item m="1" x="481"/>
        <item m="1" x="425"/>
        <item m="1" x="326"/>
        <item m="1" x="501"/>
        <item m="1" x="321"/>
        <item m="1" x="320"/>
        <item m="1" x="323"/>
        <item x="11"/>
        <item m="1" x="340"/>
        <item m="1" x="252"/>
        <item m="1" x="233"/>
        <item x="107"/>
        <item m="1" x="370"/>
        <item x="127"/>
        <item m="1" x="259"/>
        <item m="1" x="427"/>
        <item m="1" x="356"/>
        <item m="1" x="272"/>
        <item m="1" x="367"/>
        <item m="1" x="277"/>
        <item m="1" x="262"/>
        <item m="1" x="330"/>
        <item m="1" x="395"/>
        <item m="1" x="318"/>
        <item x="134"/>
        <item m="1" x="411"/>
        <item m="1" x="404"/>
        <item m="1" x="153"/>
        <item m="1" x="335"/>
        <item m="1" x="275"/>
        <item m="1" x="223"/>
        <item m="1" x="288"/>
        <item m="1" x="231"/>
        <item m="1" x="244"/>
        <item m="1" x="383"/>
        <item m="1" x="247"/>
        <item m="1" x="246"/>
        <item m="1" x="224"/>
        <item m="1" x="268"/>
        <item m="1" x="242"/>
        <item m="1" x="228"/>
        <item m="1" x="280"/>
        <item m="1" x="271"/>
        <item x="29"/>
        <item x="135"/>
        <item m="1" x="276"/>
        <item x="59"/>
        <item m="1" x="429"/>
        <item x="46"/>
        <item x="129"/>
        <item m="1" x="263"/>
        <item m="1" x="251"/>
        <item x="31"/>
        <item m="1" x="258"/>
        <item m="1" x="261"/>
        <item m="1" x="199"/>
        <item m="1" x="235"/>
        <item m="1" x="316"/>
        <item x="97"/>
        <item x="34"/>
        <item x="144"/>
        <item m="1" x="420"/>
        <item x="25"/>
        <item m="1" x="238"/>
        <item m="1" x="243"/>
        <item m="1" x="254"/>
        <item m="1" x="270"/>
        <item x="22"/>
        <item x="98"/>
        <item m="1" x="210"/>
        <item x="2"/>
        <item m="1" x="212"/>
        <item x="104"/>
        <item m="1" x="315"/>
        <item m="1" x="166"/>
        <item x="36"/>
        <item m="1" x="154"/>
        <item x="69"/>
        <item x="114"/>
        <item m="1" x="313"/>
        <item x="68"/>
        <item m="1" x="175"/>
        <item m="1" x="234"/>
        <item m="1" x="217"/>
        <item x="87"/>
        <item m="1" x="229"/>
        <item m="1" x="218"/>
        <item x="33"/>
        <item m="1" x="222"/>
        <item m="1" x="221"/>
        <item m="1" x="200"/>
        <item m="1" x="180"/>
        <item x="113"/>
        <item x="45"/>
        <item x="86"/>
        <item x="96"/>
        <item m="1" x="319"/>
        <item m="1" x="165"/>
        <item x="15"/>
        <item m="1" x="208"/>
        <item x="62"/>
        <item x="78"/>
        <item m="1" x="209"/>
        <item m="1" x="197"/>
        <item x="121"/>
        <item x="132"/>
        <item x="138"/>
        <item x="147"/>
        <item m="1" x="192"/>
        <item x="16"/>
        <item m="1" x="284"/>
        <item m="1" x="195"/>
        <item x="76"/>
        <item x="106"/>
        <item m="1" x="198"/>
        <item x="6"/>
        <item x="1"/>
        <item x="92"/>
        <item x="3"/>
        <item x="95"/>
        <item x="101"/>
        <item x="21"/>
        <item m="1" x="203"/>
        <item m="1" x="172"/>
        <item m="1" x="183"/>
        <item m="1" x="171"/>
        <item m="1" x="193"/>
        <item m="1" x="226"/>
        <item m="1" x="177"/>
        <item x="14"/>
        <item m="1" x="184"/>
        <item m="1" x="182"/>
        <item m="1" x="187"/>
        <item m="1" x="188"/>
        <item m="1" x="189"/>
        <item m="1" x="190"/>
        <item x="75"/>
        <item m="1" x="191"/>
        <item m="1" x="178"/>
        <item m="1" x="157"/>
        <item m="1" x="158"/>
        <item m="1" x="159"/>
        <item x="84"/>
        <item m="1" x="161"/>
        <item m="1" x="162"/>
        <item x="133"/>
        <item x="139"/>
        <item x="142"/>
        <item m="1" x="186"/>
        <item x="148"/>
        <item m="1" x="170"/>
        <item m="1" x="179"/>
        <item m="1" x="164"/>
        <item x="48"/>
        <item x="67"/>
        <item x="85"/>
        <item x="39"/>
        <item x="4"/>
        <item x="10"/>
        <item x="102"/>
        <item m="1" x="181"/>
        <item x="122"/>
        <item m="1" x="163"/>
        <item x="149"/>
        <item m="1" x="230"/>
        <item m="1" x="213"/>
        <item x="72"/>
        <item x="150"/>
        <item x="99"/>
        <item x="120"/>
        <item x="5"/>
        <item x="7"/>
        <item x="12"/>
        <item x="19"/>
        <item x="17"/>
        <item x="42"/>
        <item x="53"/>
        <item x="55"/>
        <item x="24"/>
        <item x="65"/>
        <item x="70"/>
        <item x="81"/>
        <item x="82"/>
        <item x="93"/>
        <item x="103"/>
        <item x="109"/>
        <item x="111"/>
        <item x="115"/>
        <item x="124"/>
        <item x="125"/>
        <item x="73"/>
        <item x="51"/>
        <item x="23"/>
        <item x="44"/>
        <item x="108"/>
        <item x="30"/>
        <item x="35"/>
        <item x="74"/>
        <item x="9"/>
        <item m="1" x="160"/>
        <item x="28"/>
        <item x="89"/>
        <item x="49"/>
        <item x="77"/>
        <item x="63"/>
        <item x="151"/>
        <item x="0"/>
        <item x="18"/>
        <item x="20"/>
        <item x="26"/>
        <item x="37"/>
        <item x="50"/>
        <item x="54"/>
        <item x="56"/>
        <item x="57"/>
        <item x="60"/>
        <item x="66"/>
        <item x="71"/>
        <item x="80"/>
        <item x="83"/>
        <item x="88"/>
        <item x="90"/>
        <item x="94"/>
        <item x="110"/>
        <item x="112"/>
        <item x="116"/>
        <item x="117"/>
        <item x="119"/>
        <item x="126"/>
        <item x="130"/>
        <item x="140"/>
        <item x="143"/>
        <item x="145"/>
        <item x="146"/>
        <item x="91"/>
        <item x="32"/>
        <item x="123"/>
        <item x="13"/>
        <item x="64"/>
      </items>
    </pivotField>
    <pivotField axis="axisRow" compact="0" outline="0" showAll="0" defaultSubtotal="0">
      <items count="502">
        <item m="1" x="449"/>
        <item m="1" x="147"/>
        <item m="1" x="170"/>
        <item m="1" x="481"/>
        <item m="1" x="477"/>
        <item m="1" x="436"/>
        <item m="1" x="432"/>
        <item m="1" x="313"/>
        <item m="1" x="489"/>
        <item m="1" x="497"/>
        <item m="1" x="468"/>
        <item m="1" x="400"/>
        <item m="1" x="475"/>
        <item m="1" x="491"/>
        <item m="1" x="461"/>
        <item m="1" x="500"/>
        <item x="14"/>
        <item m="1" x="494"/>
        <item m="1" x="420"/>
        <item m="1" x="388"/>
        <item x="30"/>
        <item m="1" x="423"/>
        <item x="32"/>
        <item m="1" x="177"/>
        <item m="1" x="474"/>
        <item m="1" x="457"/>
        <item m="1" x="202"/>
        <item m="1" x="471"/>
        <item m="1" x="465"/>
        <item m="1" x="486"/>
        <item m="1" x="167"/>
        <item m="1" x="382"/>
        <item m="1" x="488"/>
        <item m="1" x="397"/>
        <item m="1" x="464"/>
        <item x="44"/>
        <item m="1" x="442"/>
        <item m="1" x="293"/>
        <item m="1" x="476"/>
        <item m="1" x="418"/>
        <item m="1" x="493"/>
        <item m="1" x="495"/>
        <item m="1" x="453"/>
        <item m="1" x="441"/>
        <item m="1" x="482"/>
        <item m="1" x="381"/>
        <item x="56"/>
        <item m="1" x="473"/>
        <item m="1" x="446"/>
        <item m="1" x="463"/>
        <item m="1" x="163"/>
        <item m="1" x="467"/>
        <item m="1" x="458"/>
        <item m="1" x="496"/>
        <item m="1" x="487"/>
        <item m="1" x="499"/>
        <item m="1" x="469"/>
        <item m="1" x="390"/>
        <item m="1" x="389"/>
        <item m="1" x="448"/>
        <item m="1" x="466"/>
        <item m="1" x="485"/>
        <item x="89"/>
        <item m="1" x="484"/>
        <item m="1" x="470"/>
        <item x="92"/>
        <item m="1" x="478"/>
        <item m="1" x="498"/>
        <item m="1" x="490"/>
        <item m="1" x="354"/>
        <item m="1" x="318"/>
        <item m="1" x="455"/>
        <item m="1" x="483"/>
        <item m="1" x="244"/>
        <item m="1" x="144"/>
        <item m="1" x="366"/>
        <item m="1" x="472"/>
        <item m="1" x="479"/>
        <item m="1" x="459"/>
        <item m="1" x="343"/>
        <item m="1" x="492"/>
        <item m="1" x="480"/>
        <item m="1" x="375"/>
        <item x="122"/>
        <item m="1" x="501"/>
        <item m="1" x="384"/>
        <item m="1" x="460"/>
        <item m="1" x="452"/>
        <item m="1" x="281"/>
        <item m="1" x="340"/>
        <item m="1" x="451"/>
        <item m="1" x="450"/>
        <item m="1" x="424"/>
        <item m="1" x="447"/>
        <item m="1" x="201"/>
        <item m="1" x="425"/>
        <item m="1" x="387"/>
        <item x="48"/>
        <item m="1" x="269"/>
        <item m="1" x="386"/>
        <item x="11"/>
        <item m="1" x="394"/>
        <item m="1" x="438"/>
        <item m="1" x="456"/>
        <item m="1" x="402"/>
        <item m="1" x="370"/>
        <item m="1" x="326"/>
        <item m="1" x="369"/>
        <item m="1" x="439"/>
        <item m="1" x="426"/>
        <item m="1" x="368"/>
        <item m="1" x="427"/>
        <item m="1" x="272"/>
        <item m="1" x="440"/>
        <item m="1" x="437"/>
        <item m="1" x="433"/>
        <item x="38"/>
        <item x="63"/>
        <item m="1" x="408"/>
        <item m="1" x="444"/>
        <item m="1" x="357"/>
        <item x="70"/>
        <item m="1" x="395"/>
        <item m="1" x="454"/>
        <item m="1" x="406"/>
        <item m="1" x="434"/>
        <item m="1" x="445"/>
        <item m="1" x="302"/>
        <item x="57"/>
        <item m="1" x="428"/>
        <item m="1" x="431"/>
        <item m="1" x="392"/>
        <item m="1" x="296"/>
        <item m="1" x="225"/>
        <item m="1" x="327"/>
        <item m="1" x="234"/>
        <item m="1" x="155"/>
        <item m="1" x="309"/>
        <item m="1" x="435"/>
        <item m="1" x="351"/>
        <item m="1" x="403"/>
        <item m="1" x="430"/>
        <item m="1" x="462"/>
        <item m="1" x="161"/>
        <item m="1" x="410"/>
        <item m="1" x="219"/>
        <item m="1" x="140"/>
        <item m="1" x="396"/>
        <item m="1" x="411"/>
        <item m="1" x="415"/>
        <item m="1" x="443"/>
        <item m="1" x="249"/>
        <item x="37"/>
        <item m="1" x="407"/>
        <item m="1" x="393"/>
        <item m="1" x="190"/>
        <item m="1" x="417"/>
        <item m="1" x="373"/>
        <item m="1" x="409"/>
        <item m="1" x="401"/>
        <item m="1" x="416"/>
        <item m="1" x="413"/>
        <item m="1" x="399"/>
        <item m="1" x="151"/>
        <item m="1" x="414"/>
        <item m="1" x="159"/>
        <item m="1" x="203"/>
        <item x="103"/>
        <item m="1" x="255"/>
        <item m="1" x="404"/>
        <item m="1" x="405"/>
        <item x="68"/>
        <item m="1" x="263"/>
        <item m="1" x="176"/>
        <item m="1" x="247"/>
        <item x="110"/>
        <item m="1" x="314"/>
        <item m="1" x="398"/>
        <item m="1" x="391"/>
        <item m="1" x="193"/>
        <item m="1" x="197"/>
        <item m="1" x="132"/>
        <item m="1" x="356"/>
        <item m="1" x="264"/>
        <item m="1" x="376"/>
        <item m="1" x="377"/>
        <item m="1" x="378"/>
        <item m="1" x="297"/>
        <item m="1" x="367"/>
        <item m="1" x="336"/>
        <item m="1" x="291"/>
        <item m="1" x="379"/>
        <item m="1" x="152"/>
        <item x="22"/>
        <item m="1" x="352"/>
        <item m="1" x="325"/>
        <item m="1" x="358"/>
        <item m="1" x="238"/>
        <item m="1" x="172"/>
        <item m="1" x="292"/>
        <item m="1" x="380"/>
        <item m="1" x="365"/>
        <item m="1" x="364"/>
        <item m="1" x="236"/>
        <item m="1" x="371"/>
        <item m="1" x="166"/>
        <item m="1" x="338"/>
        <item m="1" x="362"/>
        <item m="1" x="419"/>
        <item m="1" x="422"/>
        <item m="1" x="421"/>
        <item m="1" x="412"/>
        <item m="1" x="353"/>
        <item m="1" x="361"/>
        <item m="1" x="429"/>
        <item m="1" x="363"/>
        <item m="1" x="257"/>
        <item m="1" x="276"/>
        <item m="1" x="331"/>
        <item x="106"/>
        <item m="1" x="383"/>
        <item m="1" x="372"/>
        <item x="109"/>
        <item m="1" x="204"/>
        <item x="82"/>
        <item x="94"/>
        <item x="115"/>
        <item x="111"/>
        <item m="1" x="243"/>
        <item m="1" x="129"/>
        <item x="33"/>
        <item m="1" x="374"/>
        <item m="1" x="267"/>
        <item m="1" x="360"/>
        <item m="1" x="229"/>
        <item m="1" x="315"/>
        <item m="1" x="339"/>
        <item x="54"/>
        <item m="1" x="345"/>
        <item m="1" x="233"/>
        <item m="1" x="294"/>
        <item m="1" x="329"/>
        <item m="1" x="188"/>
        <item m="1" x="344"/>
        <item m="1" x="346"/>
        <item m="1" x="320"/>
        <item m="1" x="341"/>
        <item m="1" x="307"/>
        <item m="1" x="359"/>
        <item m="1" x="262"/>
        <item m="1" x="237"/>
        <item m="1" x="194"/>
        <item m="1" x="347"/>
        <item m="1" x="275"/>
        <item x="39"/>
        <item m="1" x="342"/>
        <item m="1" x="181"/>
        <item m="1" x="385"/>
        <item x="53"/>
        <item m="1" x="295"/>
        <item m="1" x="333"/>
        <item m="1" x="214"/>
        <item m="1" x="207"/>
        <item x="75"/>
        <item m="1" x="299"/>
        <item x="17"/>
        <item m="1" x="218"/>
        <item m="1" x="311"/>
        <item m="1" x="196"/>
        <item m="1" x="350"/>
        <item x="58"/>
        <item x="50"/>
        <item m="1" x="150"/>
        <item m="1" x="216"/>
        <item m="1" x="220"/>
        <item m="1" x="304"/>
        <item m="1" x="328"/>
        <item m="1" x="273"/>
        <item m="1" x="156"/>
        <item m="1" x="322"/>
        <item m="1" x="282"/>
        <item m="1" x="274"/>
        <item m="1" x="355"/>
        <item x="34"/>
        <item m="1" x="283"/>
        <item m="1" x="256"/>
        <item x="5"/>
        <item m="1" x="335"/>
        <item m="1" x="254"/>
        <item m="1" x="192"/>
        <item x="4"/>
        <item m="1" x="185"/>
        <item m="1" x="285"/>
        <item m="1" x="182"/>
        <item m="1" x="251"/>
        <item x="76"/>
        <item x="31"/>
        <item m="1" x="349"/>
        <item m="1" x="290"/>
        <item x="7"/>
        <item m="1" x="157"/>
        <item x="107"/>
        <item m="1" x="253"/>
        <item x="20"/>
        <item m="1" x="154"/>
        <item m="1" x="215"/>
        <item m="1" x="261"/>
        <item m="1" x="271"/>
        <item m="1" x="231"/>
        <item m="1" x="259"/>
        <item m="1" x="212"/>
        <item m="1" x="169"/>
        <item m="1" x="208"/>
        <item m="1" x="217"/>
        <item m="1" x="260"/>
        <item m="1" x="278"/>
        <item m="1" x="213"/>
        <item x="114"/>
        <item m="1" x="223"/>
        <item m="1" x="348"/>
        <item x="26"/>
        <item x="42"/>
        <item x="43"/>
        <item m="1" x="277"/>
        <item m="1" x="133"/>
        <item x="102"/>
        <item m="1" x="266"/>
        <item x="79"/>
        <item x="77"/>
        <item x="1"/>
        <item x="16"/>
        <item m="1" x="171"/>
        <item x="117"/>
        <item m="1" x="206"/>
        <item x="99"/>
        <item x="66"/>
        <item m="1" x="246"/>
        <item m="1" x="210"/>
        <item m="1" x="250"/>
        <item m="1" x="189"/>
        <item x="84"/>
        <item x="120"/>
        <item m="1" x="248"/>
        <item m="1" x="178"/>
        <item m="1" x="200"/>
        <item m="1" x="235"/>
        <item m="1" x="241"/>
        <item m="1" x="124"/>
        <item m="1" x="183"/>
        <item x="64"/>
        <item m="1" x="139"/>
        <item m="1" x="221"/>
        <item x="96"/>
        <item m="1" x="242"/>
        <item m="1" x="222"/>
        <item m="1" x="209"/>
        <item m="1" x="187"/>
        <item m="1" x="239"/>
        <item m="1" x="184"/>
        <item m="1" x="128"/>
        <item m="1" x="164"/>
        <item m="1" x="173"/>
        <item m="1" x="258"/>
        <item m="1" x="230"/>
        <item m="1" x="265"/>
        <item x="23"/>
        <item m="1" x="268"/>
        <item m="1" x="148"/>
        <item x="47"/>
        <item m="1" x="168"/>
        <item m="1" x="279"/>
        <item m="1" x="240"/>
        <item m="1" x="289"/>
        <item m="1" x="286"/>
        <item m="1" x="332"/>
        <item m="1" x="316"/>
        <item m="1" x="319"/>
        <item m="1" x="306"/>
        <item m="1" x="321"/>
        <item m="1" x="330"/>
        <item m="1" x="305"/>
        <item m="1" x="300"/>
        <item m="1" x="303"/>
        <item m="1" x="298"/>
        <item m="1" x="317"/>
        <item m="1" x="308"/>
        <item m="1" x="280"/>
        <item m="1" x="211"/>
        <item m="1" x="334"/>
        <item m="1" x="312"/>
        <item m="1" x="301"/>
        <item m="1" x="324"/>
        <item m="1" x="310"/>
        <item m="1" x="323"/>
        <item m="1" x="287"/>
        <item m="1" x="228"/>
        <item m="1" x="337"/>
        <item m="1" x="226"/>
        <item m="1" x="227"/>
        <item x="10"/>
        <item m="1" x="180"/>
        <item x="86"/>
        <item m="1" x="165"/>
        <item m="1" x="145"/>
        <item m="1" x="288"/>
        <item m="1" x="245"/>
        <item m="1" x="195"/>
        <item m="1" x="252"/>
        <item m="1" x="199"/>
        <item m="1" x="186"/>
        <item m="1" x="270"/>
        <item m="1" x="135"/>
        <item x="108"/>
        <item x="78"/>
        <item m="1" x="123"/>
        <item m="1" x="232"/>
        <item m="1" x="205"/>
        <item x="65"/>
        <item m="1" x="224"/>
        <item m="1" x="175"/>
        <item m="1" x="174"/>
        <item m="1" x="162"/>
        <item m="1" x="191"/>
        <item x="80"/>
        <item x="25"/>
        <item m="1" x="198"/>
        <item x="104"/>
        <item m="1" x="179"/>
        <item x="29"/>
        <item x="116"/>
        <item m="1" x="284"/>
        <item x="21"/>
        <item x="19"/>
        <item m="1" x="153"/>
        <item x="2"/>
        <item x="83"/>
        <item x="55"/>
        <item m="1" x="158"/>
        <item x="28"/>
        <item m="1" x="160"/>
        <item m="1" x="146"/>
        <item m="1" x="136"/>
        <item x="91"/>
        <item m="1" x="134"/>
        <item x="51"/>
        <item x="112"/>
        <item x="119"/>
        <item m="1" x="141"/>
        <item m="1" x="143"/>
        <item x="61"/>
        <item x="85"/>
        <item x="35"/>
        <item x="3"/>
        <item x="18"/>
        <item m="1" x="149"/>
        <item m="1" x="131"/>
        <item m="1" x="142"/>
        <item x="13"/>
        <item m="1" x="138"/>
        <item x="60"/>
        <item m="1" x="125"/>
        <item m="1" x="127"/>
        <item m="1" x="130"/>
        <item x="40"/>
        <item x="69"/>
        <item x="9"/>
        <item x="81"/>
        <item m="1" x="137"/>
        <item x="97"/>
        <item x="95"/>
        <item x="6"/>
        <item x="15"/>
        <item x="36"/>
        <item x="45"/>
        <item x="67"/>
        <item x="88"/>
        <item x="100"/>
        <item x="87"/>
        <item x="59"/>
        <item x="8"/>
        <item m="1" x="126"/>
        <item x="24"/>
        <item x="72"/>
        <item x="41"/>
        <item x="62"/>
        <item x="121"/>
        <item x="0"/>
        <item x="46"/>
        <item x="49"/>
        <item x="71"/>
        <item x="73"/>
        <item x="90"/>
        <item x="93"/>
        <item x="101"/>
        <item x="105"/>
        <item x="113"/>
        <item x="118"/>
        <item x="74"/>
        <item x="27"/>
        <item x="98"/>
        <item x="12"/>
        <item x="52"/>
      </items>
    </pivotField>
    <pivotField compact="0" outline="0" showAll="0" defaultSubtotal="0"/>
    <pivotField axis="axisRow" compact="0" outline="0" showAll="0" defaultSubtotal="0">
      <items count="24">
        <item x="5"/>
        <item m="1" x="22"/>
        <item m="1" x="18"/>
        <item x="7"/>
        <item m="1" x="21"/>
        <item x="1"/>
        <item m="1" x="23"/>
        <item m="1" x="12"/>
        <item m="1" x="17"/>
        <item m="1" x="19"/>
        <item m="1" x="20"/>
        <item x="3"/>
        <item x="10"/>
        <item m="1" x="13"/>
        <item x="8"/>
        <item x="2"/>
        <item m="1" x="16"/>
        <item m="1" x="15"/>
        <item x="4"/>
        <item x="0"/>
        <item x="9"/>
        <item x="6"/>
        <item m="1" x="14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34">
        <item m="1" x="486"/>
        <item m="1" x="498"/>
        <item x="49"/>
        <item m="1" x="510"/>
        <item m="1" x="515"/>
        <item m="1" x="491"/>
        <item m="1" x="516"/>
        <item m="1" x="429"/>
        <item x="1"/>
        <item m="1" x="514"/>
        <item m="1" x="505"/>
        <item m="1" x="524"/>
        <item m="1" x="517"/>
        <item m="1" x="493"/>
        <item m="1" x="492"/>
        <item x="79"/>
        <item x="82"/>
        <item m="1" x="494"/>
        <item m="1" x="412"/>
        <item m="1" x="519"/>
        <item m="1" x="488"/>
        <item x="6"/>
        <item m="1" x="472"/>
        <item m="1" x="531"/>
        <item x="21"/>
        <item m="1" x="395"/>
        <item m="1" x="495"/>
        <item m="1" x="513"/>
        <item m="1" x="496"/>
        <item m="1" x="503"/>
        <item m="1" x="521"/>
        <item m="1" x="379"/>
        <item x="3"/>
        <item m="1" x="478"/>
        <item m="1" x="490"/>
        <item m="1" x="518"/>
        <item m="1" x="497"/>
        <item m="1" x="522"/>
        <item m="1" x="528"/>
        <item m="1" x="520"/>
        <item m="1" x="482"/>
        <item x="12"/>
        <item m="1" x="476"/>
        <item m="1" x="480"/>
        <item m="1" x="489"/>
        <item m="1" x="487"/>
        <item m="1" x="477"/>
        <item m="1" x="469"/>
        <item m="1" x="523"/>
        <item m="1" x="456"/>
        <item m="1" x="506"/>
        <item m="1" x="110"/>
        <item m="1" x="481"/>
        <item m="1" x="428"/>
        <item m="1" x="249"/>
        <item m="1" x="451"/>
        <item m="1" x="381"/>
        <item m="1" x="474"/>
        <item m="1" x="473"/>
        <item x="61"/>
        <item m="1" x="508"/>
        <item x="9"/>
        <item m="1" x="530"/>
        <item m="1" x="504"/>
        <item m="1" x="457"/>
        <item m="1" x="467"/>
        <item m="1" x="507"/>
        <item m="1" x="526"/>
        <item m="1" x="511"/>
        <item m="1" x="529"/>
        <item m="1" x="532"/>
        <item m="1" x="509"/>
        <item m="1" x="533"/>
        <item m="1" x="499"/>
        <item m="1" x="527"/>
        <item m="1" x="466"/>
        <item m="1" x="163"/>
        <item x="55"/>
        <item m="1" x="138"/>
        <item m="1" x="512"/>
        <item m="1" x="500"/>
        <item m="1" x="502"/>
        <item m="1" x="112"/>
        <item x="11"/>
        <item m="1" x="427"/>
        <item m="1" x="448"/>
        <item m="1" x="475"/>
        <item m="1" x="461"/>
        <item m="1" x="460"/>
        <item m="1" x="325"/>
        <item m="1" x="459"/>
        <item m="1" x="458"/>
        <item m="1" x="416"/>
        <item m="1" x="455"/>
        <item m="1" x="104"/>
        <item m="1" x="501"/>
        <item m="1" x="378"/>
        <item m="1" x="415"/>
        <item m="1" x="484"/>
        <item m="1" x="525"/>
        <item m="1" x="479"/>
        <item m="1" x="454"/>
        <item m="1" x="386"/>
        <item m="1" x="391"/>
        <item m="1" x="441"/>
        <item m="1" x="485"/>
        <item m="1" x="453"/>
        <item m="1" x="471"/>
        <item m="1" x="101"/>
        <item m="1" x="445"/>
        <item m="1" x="446"/>
        <item m="1" x="444"/>
        <item m="1" x="470"/>
        <item x="13"/>
        <item m="1" x="418"/>
        <item m="1" x="419"/>
        <item m="1" x="443"/>
        <item m="1" x="420"/>
        <item m="1" x="404"/>
        <item m="1" x="438"/>
        <item m="1" x="447"/>
        <item m="1" x="400"/>
        <item m="1" x="450"/>
        <item m="1" x="417"/>
        <item m="1" x="464"/>
        <item m="1" x="465"/>
        <item m="1" x="439"/>
        <item m="1" x="432"/>
        <item m="1" x="463"/>
        <item x="90"/>
        <item m="1" x="94"/>
        <item m="1" x="173"/>
        <item m="1" x="399"/>
        <item m="1" x="329"/>
        <item m="1" x="462"/>
        <item m="1" x="440"/>
        <item m="1" x="380"/>
        <item m="1" x="483"/>
        <item m="1" x="387"/>
        <item m="1" x="99"/>
        <item m="1" x="414"/>
        <item m="1" x="421"/>
        <item m="1" x="431"/>
        <item m="1" x="426"/>
        <item m="1" x="328"/>
        <item m="1" x="430"/>
        <item m="1" x="434"/>
        <item m="1" x="435"/>
        <item m="1" x="341"/>
        <item m="1" x="452"/>
        <item m="1" x="468"/>
        <item m="1" x="393"/>
        <item m="1" x="425"/>
        <item x="76"/>
        <item x="16"/>
        <item m="1" x="406"/>
        <item m="1" x="402"/>
        <item m="1" x="369"/>
        <item m="1" x="403"/>
        <item m="1" x="413"/>
        <item m="1" x="449"/>
        <item m="1" x="223"/>
        <item m="1" x="159"/>
        <item m="1" x="408"/>
        <item m="1" x="437"/>
        <item m="1" x="401"/>
        <item x="4"/>
        <item m="1" x="423"/>
        <item m="1" x="407"/>
        <item m="1" x="392"/>
        <item m="1" x="388"/>
        <item m="1" x="405"/>
        <item m="1" x="283"/>
        <item m="1" x="319"/>
        <item m="1" x="175"/>
        <item m="1" x="351"/>
        <item m="1" x="228"/>
        <item m="1" x="422"/>
        <item m="1" x="436"/>
        <item m="1" x="398"/>
        <item m="1" x="397"/>
        <item m="1" x="394"/>
        <item m="1" x="376"/>
        <item m="1" x="295"/>
        <item m="1" x="238"/>
        <item m="1" x="193"/>
        <item x="77"/>
        <item m="1" x="148"/>
        <item m="1" x="433"/>
        <item m="1" x="334"/>
        <item x="84"/>
        <item m="1" x="409"/>
        <item m="1" x="383"/>
        <item m="1" x="340"/>
        <item m="1" x="368"/>
        <item x="74"/>
        <item m="1" x="442"/>
        <item m="1" x="195"/>
        <item m="1" x="348"/>
        <item m="1" x="344"/>
        <item x="57"/>
        <item m="1" x="385"/>
        <item m="1" x="363"/>
        <item m="1" x="336"/>
        <item m="1" x="352"/>
        <item m="1" x="307"/>
        <item m="1" x="353"/>
        <item m="1" x="370"/>
        <item m="1" x="355"/>
        <item m="1" x="361"/>
        <item m="1" x="364"/>
        <item m="1" x="120"/>
        <item m="1" x="350"/>
        <item m="1" x="365"/>
        <item x="0"/>
        <item m="1" x="290"/>
        <item m="1" x="342"/>
        <item m="1" x="317"/>
        <item m="1" x="362"/>
        <item m="1" x="367"/>
        <item m="1" x="146"/>
        <item m="1" x="346"/>
        <item m="1" x="424"/>
        <item m="1" x="349"/>
        <item m="1" x="279"/>
        <item m="1" x="338"/>
        <item m="1" x="382"/>
        <item m="1" x="310"/>
        <item x="80"/>
        <item m="1" x="375"/>
        <item m="1" x="373"/>
        <item m="1" x="358"/>
        <item m="1" x="372"/>
        <item m="1" x="176"/>
        <item m="1" x="356"/>
        <item m="1" x="111"/>
        <item m="1" x="216"/>
        <item x="15"/>
        <item m="1" x="410"/>
        <item m="1" x="360"/>
        <item m="1" x="308"/>
        <item m="1" x="366"/>
        <item m="1" x="345"/>
        <item m="1" x="239"/>
        <item m="1" x="202"/>
        <item m="1" x="359"/>
        <item m="1" x="322"/>
        <item m="1" x="411"/>
        <item m="1" x="374"/>
        <item m="1" x="354"/>
        <item x="72"/>
        <item m="1" x="333"/>
        <item m="1" x="377"/>
        <item m="1" x="390"/>
        <item m="1" x="230"/>
        <item m="1" x="327"/>
        <item m="1" x="389"/>
        <item m="1" x="321"/>
        <item m="1" x="137"/>
        <item m="1" x="330"/>
        <item m="1" x="332"/>
        <item m="1" x="275"/>
        <item m="1" x="185"/>
        <item m="1" x="124"/>
        <item m="1" x="190"/>
        <item m="1" x="305"/>
        <item m="1" x="312"/>
        <item m="1" x="184"/>
        <item m="1" x="171"/>
        <item m="1" x="179"/>
        <item m="1" x="396"/>
        <item m="1" x="270"/>
        <item m="1" x="93"/>
        <item m="1" x="259"/>
        <item m="1" x="269"/>
        <item m="1" x="276"/>
        <item m="1" x="206"/>
        <item m="1" x="320"/>
        <item m="1" x="188"/>
        <item m="1" x="294"/>
        <item m="1" x="271"/>
        <item m="1" x="189"/>
        <item m="1" x="257"/>
        <item m="1" x="273"/>
        <item m="1" x="161"/>
        <item m="1" x="315"/>
        <item m="1" x="274"/>
        <item m="1" x="167"/>
        <item m="1" x="371"/>
        <item x="43"/>
        <item m="1" x="258"/>
        <item m="1" x="326"/>
        <item m="1" x="191"/>
        <item m="1" x="248"/>
        <item m="1" x="142"/>
        <item m="1" x="130"/>
        <item m="1" x="304"/>
        <item x="17"/>
        <item m="1" x="339"/>
        <item x="31"/>
        <item m="1" x="260"/>
        <item m="1" x="229"/>
        <item m="1" x="140"/>
        <item m="1" x="314"/>
        <item m="1" x="268"/>
        <item m="1" x="226"/>
        <item m="1" x="266"/>
        <item m="1" x="149"/>
        <item m="1" x="261"/>
        <item m="1" x="211"/>
        <item m="1" x="281"/>
        <item m="1" x="267"/>
        <item m="1" x="128"/>
        <item m="1" x="131"/>
        <item m="1" x="166"/>
        <item m="1" x="384"/>
        <item m="1" x="337"/>
        <item m="1" x="288"/>
        <item m="1" x="318"/>
        <item m="1" x="291"/>
        <item m="1" x="201"/>
        <item m="1" x="214"/>
        <item m="1" x="284"/>
        <item x="85"/>
        <item m="1" x="236"/>
        <item m="1" x="246"/>
        <item x="36"/>
        <item m="1" x="205"/>
        <item x="88"/>
        <item m="1" x="234"/>
        <item m="1" x="182"/>
        <item m="1" x="144"/>
        <item m="1" x="180"/>
        <item m="1" x="187"/>
        <item m="1" x="235"/>
        <item m="1" x="253"/>
        <item m="1" x="183"/>
        <item m="1" x="125"/>
        <item m="1" x="220"/>
        <item m="1" x="335"/>
        <item m="1" x="323"/>
        <item m="1" x="252"/>
        <item m="1" x="272"/>
        <item m="1" x="243"/>
        <item m="1" x="136"/>
        <item x="40"/>
        <item m="1" x="106"/>
        <item m="1" x="221"/>
        <item m="1" x="241"/>
        <item m="1" x="207"/>
        <item m="1" x="347"/>
        <item m="1" x="357"/>
        <item m="1" x="242"/>
        <item x="66"/>
        <item m="1" x="232"/>
        <item m="1" x="210"/>
        <item m="1" x="103"/>
        <item m="1" x="209"/>
        <item m="1" x="237"/>
        <item m="1" x="224"/>
        <item m="1" x="162"/>
        <item m="1" x="158"/>
        <item m="1" x="301"/>
        <item m="1" x="126"/>
        <item x="39"/>
        <item m="1" x="134"/>
        <item m="1" x="343"/>
        <item m="1" x="172"/>
        <item m="1" x="208"/>
        <item m="1" x="218"/>
        <item m="1" x="213"/>
        <item m="1" x="219"/>
        <item m="1" x="153"/>
        <item m="1" x="192"/>
        <item m="1" x="115"/>
        <item m="1" x="215"/>
        <item m="1" x="170"/>
        <item m="1" x="212"/>
        <item m="1" x="154"/>
        <item m="1" x="121"/>
        <item m="1" x="123"/>
        <item m="1" x="233"/>
        <item m="1" x="204"/>
        <item x="41"/>
        <item m="1" x="256"/>
        <item m="1" x="324"/>
        <item m="1" x="143"/>
        <item m="1" x="198"/>
        <item m="1" x="265"/>
        <item m="1" x="262"/>
        <item m="1" x="311"/>
        <item m="1" x="298"/>
        <item m="1" x="302"/>
        <item m="1" x="287"/>
        <item m="1" x="303"/>
        <item m="1" x="309"/>
        <item m="1" x="286"/>
        <item m="1" x="278"/>
        <item m="1" x="285"/>
        <item m="1" x="300"/>
        <item m="1" x="289"/>
        <item m="1" x="255"/>
        <item m="1" x="222"/>
        <item m="1" x="113"/>
        <item m="1" x="244"/>
        <item m="1" x="313"/>
        <item m="1" x="296"/>
        <item m="1" x="282"/>
        <item m="1" x="306"/>
        <item m="1" x="293"/>
        <item m="1" x="263"/>
        <item m="1" x="316"/>
        <item m="1" x="150"/>
        <item x="71"/>
        <item m="1" x="227"/>
        <item m="1" x="155"/>
        <item m="1" x="264"/>
        <item m="1" x="217"/>
        <item m="1" x="225"/>
        <item m="1" x="165"/>
        <item m="1" x="156"/>
        <item m="1" x="203"/>
        <item m="1" x="245"/>
        <item m="1" x="108"/>
        <item x="83"/>
        <item m="1" x="254"/>
        <item m="1" x="231"/>
        <item m="1" x="297"/>
        <item m="1" x="181"/>
        <item m="1" x="331"/>
        <item m="1" x="200"/>
        <item m="1" x="280"/>
        <item m="1" x="177"/>
        <item m="1" x="186"/>
        <item m="1" x="240"/>
        <item m="1" x="247"/>
        <item m="1" x="164"/>
        <item m="1" x="299"/>
        <item m="1" x="178"/>
        <item x="42"/>
        <item m="1" x="292"/>
        <item m="1" x="277"/>
        <item m="1" x="196"/>
        <item m="1" x="197"/>
        <item m="1" x="251"/>
        <item m="1" x="250"/>
        <item x="35"/>
        <item x="26"/>
        <item x="78"/>
        <item x="22"/>
        <item m="1" x="160"/>
        <item m="1" x="199"/>
        <item m="1" x="145"/>
        <item m="1" x="147"/>
        <item m="1" x="152"/>
        <item x="19"/>
        <item m="1" x="151"/>
        <item x="64"/>
        <item m="1" x="169"/>
        <item m="1" x="127"/>
        <item x="2"/>
        <item m="1" x="129"/>
        <item x="68"/>
        <item x="28"/>
        <item m="1" x="92"/>
        <item x="48"/>
        <item m="1" x="194"/>
        <item x="47"/>
        <item m="1" x="105"/>
        <item m="1" x="132"/>
        <item x="59"/>
        <item m="1" x="141"/>
        <item m="1" x="135"/>
        <item x="25"/>
        <item m="1" x="139"/>
        <item m="1" x="119"/>
        <item m="1" x="109"/>
        <item m="1" x="98"/>
        <item m="1" x="157"/>
        <item x="58"/>
        <item x="62"/>
        <item m="1" x="107"/>
        <item x="14"/>
        <item x="44"/>
        <item x="81"/>
        <item x="32"/>
        <item m="1" x="168"/>
        <item m="1" x="114"/>
        <item m="1" x="174"/>
        <item x="53"/>
        <item x="70"/>
        <item m="1" x="118"/>
        <item m="1" x="117"/>
        <item x="18"/>
        <item m="1" x="91"/>
        <item x="63"/>
        <item m="1" x="116"/>
        <item x="52"/>
        <item x="34"/>
        <item m="1" x="96"/>
        <item m="1" x="133"/>
        <item m="1" x="100"/>
        <item x="37"/>
        <item x="46"/>
        <item x="30"/>
        <item x="10"/>
        <item x="67"/>
        <item x="65"/>
        <item x="86"/>
        <item x="87"/>
        <item x="5"/>
        <item x="7"/>
        <item x="56"/>
        <item m="1" x="102"/>
        <item x="50"/>
        <item m="1" x="122"/>
        <item x="69"/>
        <item x="23"/>
        <item x="27"/>
        <item x="51"/>
        <item x="33"/>
        <item x="8"/>
        <item m="1" x="97"/>
        <item x="60"/>
        <item x="38"/>
        <item x="54"/>
        <item m="1" x="95"/>
        <item x="89"/>
        <item x="20"/>
        <item x="73"/>
        <item x="75"/>
        <item x="29"/>
        <item x="24"/>
        <item x="45"/>
      </items>
    </pivotField>
    <pivotField axis="axisRow" compact="0" outline="0" showAll="0" defaultSubtotal="0">
      <items count="527">
        <item x="0"/>
        <item m="1" x="329"/>
        <item m="1" x="511"/>
        <item m="1" x="523"/>
        <item m="1" x="495"/>
        <item m="1" x="471"/>
        <item m="1" x="526"/>
        <item m="1" x="514"/>
        <item m="1" x="464"/>
        <item m="1" x="510"/>
        <item m="1" x="515"/>
        <item m="1" x="524"/>
        <item m="1" x="525"/>
        <item m="1" x="519"/>
        <item m="1" x="520"/>
        <item m="1" x="513"/>
        <item m="1" x="521"/>
        <item m="1" x="522"/>
        <item m="1" x="518"/>
        <item m="1" x="517"/>
        <item m="1" x="509"/>
        <item m="1" x="512"/>
        <item m="1" x="516"/>
        <item m="1" x="508"/>
        <item m="1" x="500"/>
        <item m="1" x="480"/>
        <item m="1" x="493"/>
        <item m="1" x="506"/>
        <item m="1" x="342"/>
        <item m="1" x="491"/>
        <item m="1" x="502"/>
        <item m="1" x="501"/>
        <item m="1" x="507"/>
        <item m="1" x="494"/>
        <item m="1" x="505"/>
        <item m="1" x="453"/>
        <item m="1" x="499"/>
        <item m="1" x="496"/>
        <item m="1" x="503"/>
        <item m="1" x="504"/>
        <item m="1" x="373"/>
        <item m="1" x="483"/>
        <item m="1" x="463"/>
        <item m="1" x="487"/>
        <item m="1" x="474"/>
        <item m="1" x="497"/>
        <item m="1" x="498"/>
        <item m="1" x="409"/>
        <item x="6"/>
        <item m="1" x="423"/>
        <item m="1" x="492"/>
        <item m="1" x="448"/>
        <item m="1" x="447"/>
        <item m="1" x="490"/>
        <item m="1" x="454"/>
        <item m="1" x="475"/>
        <item m="1" x="489"/>
        <item m="1" x="451"/>
        <item m="1" x="485"/>
        <item m="1" x="488"/>
        <item m="1" x="432"/>
        <item m="1" x="482"/>
        <item m="1" x="486"/>
        <item m="1" x="484"/>
        <item m="1" x="458"/>
        <item m="1" x="452"/>
        <item m="1" x="479"/>
        <item m="1" x="477"/>
        <item m="1" x="481"/>
        <item m="1" x="473"/>
        <item m="1" x="468"/>
        <item m="1" x="478"/>
        <item m="1" x="470"/>
        <item m="1" x="417"/>
        <item m="1" x="476"/>
        <item m="1" x="422"/>
        <item m="1" x="467"/>
        <item m="1" x="444"/>
        <item m="1" x="472"/>
        <item m="1" x="469"/>
        <item m="1" x="457"/>
        <item m="1" x="465"/>
        <item m="1" x="443"/>
        <item m="1" x="415"/>
        <item m="1" x="456"/>
        <item m="1" x="435"/>
        <item m="1" x="466"/>
        <item m="1" x="462"/>
        <item m="1" x="461"/>
        <item m="1" x="441"/>
        <item m="1" x="420"/>
        <item m="1" x="257"/>
        <item m="1" x="455"/>
        <item m="1" x="428"/>
        <item m="1" x="459"/>
        <item m="1" x="412"/>
        <item m="1" x="460"/>
        <item m="1" x="449"/>
        <item m="1" x="450"/>
        <item m="1" x="442"/>
        <item m="1" x="398"/>
        <item m="1" x="440"/>
        <item m="1" x="437"/>
        <item m="1" x="446"/>
        <item m="1" x="436"/>
        <item m="1" x="445"/>
        <item m="1" x="439"/>
        <item m="1" x="433"/>
        <item m="1" x="300"/>
        <item m="1" x="424"/>
        <item m="1" x="429"/>
        <item m="1" x="438"/>
        <item m="1" x="419"/>
        <item m="1" x="430"/>
        <item m="1" x="397"/>
        <item m="1" x="359"/>
        <item m="1" x="431"/>
        <item m="1" x="360"/>
        <item m="1" x="434"/>
        <item m="1" x="399"/>
        <item m="1" x="388"/>
        <item m="1" x="334"/>
        <item m="1" x="421"/>
        <item m="1" x="406"/>
        <item m="1" x="303"/>
        <item m="1" x="426"/>
        <item m="1" x="425"/>
        <item m="1" x="380"/>
        <item m="1" x="408"/>
        <item m="1" x="427"/>
        <item m="1" x="418"/>
        <item m="1" x="413"/>
        <item m="1" x="374"/>
        <item m="1" x="401"/>
        <item m="1" x="405"/>
        <item m="1" x="407"/>
        <item m="1" x="416"/>
        <item m="1" x="384"/>
        <item m="1" x="400"/>
        <item m="1" x="402"/>
        <item m="1" x="394"/>
        <item m="1" x="184"/>
        <item m="1" x="414"/>
        <item m="1" x="392"/>
        <item m="1" x="411"/>
        <item m="1" x="379"/>
        <item m="1" x="396"/>
        <item m="1" x="404"/>
        <item m="1" x="410"/>
        <item m="1" x="387"/>
        <item m="1" x="395"/>
        <item m="1" x="285"/>
        <item m="1" x="389"/>
        <item m="1" x="383"/>
        <item m="1" x="403"/>
        <item m="1" x="386"/>
        <item m="1" x="390"/>
        <item m="1" x="366"/>
        <item m="1" x="393"/>
        <item m="1" x="180"/>
        <item m="1" x="391"/>
        <item m="1" x="377"/>
        <item m="1" x="385"/>
        <item m="1" x="344"/>
        <item m="1" x="368"/>
        <item m="1" x="367"/>
        <item m="1" x="382"/>
        <item m="1" x="381"/>
        <item m="1" x="354"/>
        <item m="1" x="378"/>
        <item m="1" x="369"/>
        <item m="1" x="376"/>
        <item x="17"/>
        <item m="1" x="371"/>
        <item m="1" x="375"/>
        <item m="1" x="372"/>
        <item m="1" x="357"/>
        <item m="1" x="358"/>
        <item m="1" x="353"/>
        <item m="1" x="370"/>
        <item m="1" x="364"/>
        <item m="1" x="347"/>
        <item m="1" x="365"/>
        <item m="1" x="352"/>
        <item m="1" x="362"/>
        <item m="1" x="348"/>
        <item m="1" x="346"/>
        <item m="1" x="178"/>
        <item m="1" x="356"/>
        <item m="1" x="363"/>
        <item m="1" x="319"/>
        <item m="1" x="345"/>
        <item m="1" x="361"/>
        <item m="1" x="355"/>
        <item m="1" x="304"/>
        <item m="1" x="299"/>
        <item m="1" x="350"/>
        <item m="1" x="351"/>
        <item m="1" x="318"/>
        <item m="1" x="301"/>
        <item m="1" x="234"/>
        <item m="1" x="305"/>
        <item m="1" x="298"/>
        <item m="1" x="349"/>
        <item m="1" x="339"/>
        <item m="1" x="343"/>
        <item m="1" x="330"/>
        <item m="1" x="324"/>
        <item m="1" x="143"/>
        <item m="1" x="321"/>
        <item m="1" x="260"/>
        <item m="1" x="336"/>
        <item m="1" x="341"/>
        <item m="1" x="335"/>
        <item m="1" x="338"/>
        <item m="1" x="183"/>
        <item m="1" x="340"/>
        <item m="1" x="337"/>
        <item m="1" x="331"/>
        <item m="1" x="333"/>
        <item m="1" x="261"/>
        <item m="1" x="286"/>
        <item m="1" x="323"/>
        <item m="1" x="332"/>
        <item m="1" x="326"/>
        <item m="1" x="100"/>
        <item m="1" x="316"/>
        <item m="1" x="315"/>
        <item m="1" x="320"/>
        <item m="1" x="328"/>
        <item m="1" x="308"/>
        <item m="1" x="280"/>
        <item m="1" x="327"/>
        <item m="1" x="322"/>
        <item m="1" x="325"/>
        <item m="1" x="283"/>
        <item m="1" x="314"/>
        <item m="1" x="312"/>
        <item m="1" x="294"/>
        <item m="1" x="307"/>
        <item m="1" x="290"/>
        <item m="1" x="317"/>
        <item m="1" x="310"/>
        <item m="1" x="281"/>
        <item m="1" x="313"/>
        <item m="1" x="311"/>
        <item m="1" x="269"/>
        <item m="1" x="293"/>
        <item m="1" x="306"/>
        <item m="1" x="289"/>
        <item m="1" x="223"/>
        <item m="1" x="277"/>
        <item m="1" x="200"/>
        <item m="1" x="291"/>
        <item m="1" x="309"/>
        <item m="1" x="284"/>
        <item m="1" x="302"/>
        <item m="1" x="189"/>
        <item m="1" x="297"/>
        <item m="1" x="282"/>
        <item m="1" x="110"/>
        <item m="1" x="279"/>
        <item m="1" x="191"/>
        <item m="1" x="296"/>
        <item m="1" x="188"/>
        <item m="1" x="292"/>
        <item m="1" x="265"/>
        <item m="1" x="295"/>
        <item m="1" x="256"/>
        <item m="1" x="250"/>
        <item m="1" x="276"/>
        <item m="1" x="246"/>
        <item m="1" x="233"/>
        <item m="1" x="288"/>
        <item m="1" x="287"/>
        <item m="1" x="190"/>
        <item m="1" x="274"/>
        <item m="1" x="278"/>
        <item m="1" x="224"/>
        <item m="1" x="245"/>
        <item m="1" x="267"/>
        <item m="1" x="248"/>
        <item m="1" x="218"/>
        <item m="1" x="275"/>
        <item m="1" x="97"/>
        <item m="1" x="237"/>
        <item m="1" x="255"/>
        <item m="1" x="266"/>
        <item m="1" x="242"/>
        <item m="1" x="79"/>
        <item m="1" x="270"/>
        <item m="1" x="211"/>
        <item m="1" x="138"/>
        <item m="1" x="212"/>
        <item m="1" x="258"/>
        <item m="1" x="150"/>
        <item m="1" x="253"/>
        <item m="1" x="122"/>
        <item m="1" x="273"/>
        <item m="1" x="263"/>
        <item m="1" x="272"/>
        <item m="1" x="262"/>
        <item m="1" x="163"/>
        <item m="1" x="221"/>
        <item x="50"/>
        <item m="1" x="264"/>
        <item m="1" x="254"/>
        <item m="1" x="268"/>
        <item m="1" x="251"/>
        <item m="1" x="240"/>
        <item m="1" x="239"/>
        <item m="1" x="244"/>
        <item m="1" x="235"/>
        <item m="1" x="226"/>
        <item m="1" x="214"/>
        <item m="1" x="271"/>
        <item m="1" x="134"/>
        <item m="1" x="249"/>
        <item m="1" x="228"/>
        <item m="1" x="193"/>
        <item m="1" x="202"/>
        <item m="1" x="165"/>
        <item m="1" x="192"/>
        <item m="1" x="247"/>
        <item m="1" x="259"/>
        <item m="1" x="236"/>
        <item m="1" x="243"/>
        <item m="1" x="156"/>
        <item m="1" x="167"/>
        <item m="1" x="155"/>
        <item m="1" x="252"/>
        <item m="1" x="225"/>
        <item m="1" x="215"/>
        <item m="1" x="125"/>
        <item m="1" x="216"/>
        <item m="1" x="217"/>
        <item m="1" x="103"/>
        <item m="1" x="109"/>
        <item m="1" x="229"/>
        <item m="1" x="158"/>
        <item m="1" x="195"/>
        <item m="1" x="227"/>
        <item m="1" x="181"/>
        <item m="1" x="238"/>
        <item m="1" x="241"/>
        <item m="1" x="210"/>
        <item m="1" x="209"/>
        <item m="1" x="139"/>
        <item m="1" x="175"/>
        <item m="1" x="230"/>
        <item m="1" x="142"/>
        <item m="1" x="177"/>
        <item x="51"/>
        <item m="1" x="203"/>
        <item m="1" x="232"/>
        <item m="1" x="179"/>
        <item m="1" x="219"/>
        <item m="1" x="161"/>
        <item m="1" x="168"/>
        <item m="1" x="213"/>
        <item m="1" x="231"/>
        <item m="1" x="205"/>
        <item m="1" x="207"/>
        <item m="1" x="220"/>
        <item m="1" x="171"/>
        <item m="1" x="222"/>
        <item m="1" x="204"/>
        <item m="1" x="206"/>
        <item m="1" x="197"/>
        <item m="1" x="182"/>
        <item m="1" x="113"/>
        <item m="1" x="176"/>
        <item m="1" x="194"/>
        <item m="1" x="198"/>
        <item m="1" x="83"/>
        <item m="1" x="208"/>
        <item m="1" x="196"/>
        <item m="1" x="149"/>
        <item m="1" x="136"/>
        <item m="1" x="186"/>
        <item m="1" x="187"/>
        <item m="1" x="78"/>
        <item m="1" x="119"/>
        <item x="8"/>
        <item m="1" x="93"/>
        <item m="1" x="201"/>
        <item m="1" x="54"/>
        <item m="1" x="162"/>
        <item m="1" x="199"/>
        <item m="1" x="174"/>
        <item m="1" x="160"/>
        <item m="1" x="173"/>
        <item m="1" x="116"/>
        <item x="23"/>
        <item m="1" x="151"/>
        <item m="1" x="144"/>
        <item x="46"/>
        <item m="1" x="185"/>
        <item m="1" x="170"/>
        <item x="44"/>
        <item m="1" x="169"/>
        <item m="1" x="172"/>
        <item m="1" x="148"/>
        <item m="1" x="94"/>
        <item m="1" x="146"/>
        <item m="1" x="71"/>
        <item m="1" x="157"/>
        <item m="1" x="159"/>
        <item x="40"/>
        <item m="1" x="91"/>
        <item m="1" x="166"/>
        <item m="1" x="118"/>
        <item m="1" x="108"/>
        <item m="1" x="121"/>
        <item m="1" x="129"/>
        <item m="1" x="147"/>
        <item m="1" x="153"/>
        <item m="1" x="154"/>
        <item m="1" x="164"/>
        <item m="1" x="141"/>
        <item m="1" x="152"/>
        <item m="1" x="145"/>
        <item m="1" x="107"/>
        <item x="20"/>
        <item m="1" x="130"/>
        <item m="1" x="131"/>
        <item m="1" x="124"/>
        <item m="1" x="126"/>
        <item m="1" x="132"/>
        <item x="12"/>
        <item m="1" x="133"/>
        <item m="1" x="106"/>
        <item m="1" x="98"/>
        <item m="1" x="111"/>
        <item m="1" x="140"/>
        <item x="48"/>
        <item x="39"/>
        <item x="47"/>
        <item m="1" x="120"/>
        <item x="15"/>
        <item m="1" x="137"/>
        <item m="1" x="128"/>
        <item m="1" x="135"/>
        <item x="21"/>
        <item m="1" x="115"/>
        <item m="1" x="64"/>
        <item m="1" x="127"/>
        <item m="1" x="123"/>
        <item m="1" x="96"/>
        <item x="1"/>
        <item m="1" x="92"/>
        <item m="1" x="61"/>
        <item m="1" x="117"/>
        <item m="1" x="101"/>
        <item m="1" x="66"/>
        <item m="1" x="114"/>
        <item m="1" x="73"/>
        <item m="1" x="104"/>
        <item m="1" x="112"/>
        <item m="1" x="105"/>
        <item m="1" x="84"/>
        <item x="18"/>
        <item m="1" x="87"/>
        <item m="1" x="82"/>
        <item x="28"/>
        <item m="1" x="102"/>
        <item m="1" x="86"/>
        <item m="1" x="55"/>
        <item m="1" x="62"/>
        <item x="25"/>
        <item m="1" x="88"/>
        <item m="1" x="76"/>
        <item m="1" x="80"/>
        <item x="33"/>
        <item x="10"/>
        <item m="1" x="65"/>
        <item m="1" x="99"/>
        <item x="3"/>
        <item m="1" x="90"/>
        <item m="1" x="85"/>
        <item x="38"/>
        <item m="1" x="95"/>
        <item m="1" x="89"/>
        <item x="34"/>
        <item x="35"/>
        <item x="52"/>
        <item m="1" x="59"/>
        <item m="1" x="63"/>
        <item m="1" x="72"/>
        <item m="1" x="68"/>
        <item m="1" x="75"/>
        <item x="27"/>
        <item x="37"/>
        <item x="9"/>
        <item m="1" x="67"/>
        <item m="1" x="58"/>
        <item x="30"/>
        <item m="1" x="77"/>
        <item x="4"/>
        <item m="1" x="57"/>
        <item m="1" x="81"/>
        <item m="1" x="69"/>
        <item x="49"/>
        <item m="1" x="74"/>
        <item x="19"/>
        <item m="1" x="56"/>
        <item m="1" x="70"/>
        <item m="1" x="60"/>
        <item x="16"/>
        <item x="45"/>
        <item x="11"/>
        <item x="42"/>
        <item x="14"/>
        <item x="22"/>
        <item x="29"/>
        <item x="41"/>
        <item x="2"/>
        <item x="5"/>
        <item x="7"/>
        <item m="1" x="53"/>
        <item x="31"/>
        <item x="32"/>
        <item x="13"/>
        <item x="24"/>
        <item x="43"/>
        <item x="26"/>
        <item x="36"/>
      </items>
    </pivotField>
    <pivotField dataField="1" compact="0" outline="0" showAll="0" defaultSubtotal="0"/>
    <pivotField axis="axisRow" compact="0" outline="0" showAll="0" defaultSubtotal="0">
      <items count="1169">
        <item m="1" x="1168"/>
        <item x="6"/>
        <item m="1" x="1142"/>
        <item m="1" x="1126"/>
        <item m="1" x="1155"/>
        <item m="1" x="1152"/>
        <item m="1" x="1158"/>
        <item m="1" x="1090"/>
        <item m="1" x="1157"/>
        <item m="1" x="1112"/>
        <item m="1" x="1149"/>
        <item m="1" x="1138"/>
        <item m="1" x="1166"/>
        <item m="1" x="1109"/>
        <item x="32"/>
        <item m="1" x="1140"/>
        <item m="1" x="1110"/>
        <item m="1" x="992"/>
        <item m="1" x="1143"/>
        <item m="1" x="1107"/>
        <item x="37"/>
        <item m="1" x="1105"/>
        <item m="1" x="1156"/>
        <item m="1" x="1160"/>
        <item m="1" x="1123"/>
        <item m="1" x="911"/>
        <item m="1" x="149"/>
        <item m="1" x="1119"/>
        <item m="1" x="1134"/>
        <item m="1" x="1111"/>
        <item m="1" x="1127"/>
        <item m="1" x="1151"/>
        <item m="1" x="1144"/>
        <item m="1" x="1150"/>
        <item m="1" x="1147"/>
        <item m="1" x="1120"/>
        <item m="1" x="1145"/>
        <item m="1" x="1141"/>
        <item m="1" x="1122"/>
        <item m="1" x="1146"/>
        <item m="1" x="1124"/>
        <item m="1" x="751"/>
        <item m="1" x="1164"/>
        <item m="1" x="1108"/>
        <item m="1" x="1162"/>
        <item m="1" x="1037"/>
        <item m="1" x="1148"/>
        <item x="65"/>
        <item x="8"/>
        <item m="1" x="1163"/>
        <item m="1" x="1132"/>
        <item m="1" x="1129"/>
        <item m="1" x="1128"/>
        <item m="1" x="1161"/>
        <item m="1" x="1167"/>
        <item m="1" x="1165"/>
        <item m="1" x="1137"/>
        <item m="1" x="1114"/>
        <item m="1" x="297"/>
        <item m="1" x="603"/>
        <item m="1" x="1159"/>
        <item x="79"/>
        <item m="1" x="1106"/>
        <item m="1" x="322"/>
        <item m="1" x="1125"/>
        <item m="1" x="1121"/>
        <item m="1" x="1153"/>
        <item m="1" x="1154"/>
        <item m="1" x="1136"/>
        <item m="1" x="1135"/>
        <item m="1" x="1116"/>
        <item m="1" x="1117"/>
        <item m="1" x="256"/>
        <item m="1" x="198"/>
        <item m="1" x="135"/>
        <item m="1" x="961"/>
        <item m="1" x="1131"/>
        <item m="1" x="1139"/>
        <item m="1" x="1072"/>
        <item m="1" x="1054"/>
        <item m="1" x="982"/>
        <item m="1" x="1009"/>
        <item m="1" x="1003"/>
        <item m="1" x="981"/>
        <item m="1" x="1113"/>
        <item m="1" x="1050"/>
        <item m="1" x="1040"/>
        <item m="1" x="1115"/>
        <item m="1" x="1118"/>
        <item m="1" x="1098"/>
        <item m="1" x="983"/>
        <item m="1" x="1130"/>
        <item m="1" x="1133"/>
        <item m="1" x="1060"/>
        <item m="1" x="1004"/>
        <item m="1" x="974"/>
        <item m="1" x="1079"/>
        <item m="1" x="1080"/>
        <item m="1" x="980"/>
        <item m="1" x="1088"/>
        <item m="1" x="821"/>
        <item m="1" x="914"/>
        <item m="1" x="1058"/>
        <item m="1" x="1102"/>
        <item m="1" x="1094"/>
        <item m="1" x="1066"/>
        <item m="1" x="211"/>
        <item m="1" x="1093"/>
        <item m="1" x="1025"/>
        <item m="1" x="1061"/>
        <item m="1" x="1073"/>
        <item x="11"/>
        <item x="12"/>
        <item m="1" x="1065"/>
        <item m="1" x="1029"/>
        <item m="1" x="1078"/>
        <item m="1" x="1053"/>
        <item m="1" x="955"/>
        <item x="56"/>
        <item m="1" x="1103"/>
        <item m="1" x="1051"/>
        <item m="1" x="1077"/>
        <item m="1" x="1052"/>
        <item m="1" x="998"/>
        <item x="87"/>
        <item m="1" x="1091"/>
        <item m="1" x="903"/>
        <item m="1" x="952"/>
        <item m="1" x="997"/>
        <item m="1" x="1068"/>
        <item m="1" x="1081"/>
        <item m="1" x="904"/>
        <item m="1" x="1063"/>
        <item m="1" x="954"/>
        <item m="1" x="979"/>
        <item m="1" x="1100"/>
        <item m="1" x="1014"/>
        <item m="1" x="906"/>
        <item m="1" x="1082"/>
        <item m="1" x="1048"/>
        <item m="1" x="1104"/>
        <item m="1" x="1085"/>
        <item m="1" x="1096"/>
        <item m="1" x="1042"/>
        <item m="1" x="1036"/>
        <item m="1" x="1092"/>
        <item m="1" x="1022"/>
        <item m="1" x="1101"/>
        <item m="1" x="353"/>
        <item m="1" x="1015"/>
        <item m="1" x="1059"/>
        <item m="1" x="756"/>
        <item m="1" x="1086"/>
        <item m="1" x="1099"/>
        <item m="1" x="1084"/>
        <item m="1" x="1097"/>
        <item m="1" x="1095"/>
        <item m="1" x="785"/>
        <item m="1" x="1083"/>
        <item m="1" x="1087"/>
        <item m="1" x="1070"/>
        <item m="1" x="1089"/>
        <item m="1" x="1075"/>
        <item m="1" x="969"/>
        <item m="1" x="972"/>
        <item m="1" x="934"/>
        <item m="1" x="999"/>
        <item m="1" x="971"/>
        <item m="1" x="224"/>
        <item m="1" x="1018"/>
        <item m="1" x="1041"/>
        <item m="1" x="1034"/>
        <item m="1" x="978"/>
        <item m="1" x="1074"/>
        <item m="1" x="1076"/>
        <item m="1" x="1038"/>
        <item m="1" x="1044"/>
        <item m="1" x="1024"/>
        <item m="1" x="1067"/>
        <item m="1" x="912"/>
        <item m="1" x="905"/>
        <item m="1" x="977"/>
        <item m="1" x="1071"/>
        <item m="1" x="1069"/>
        <item m="1" x="1062"/>
        <item m="1" x="1005"/>
        <item m="1" x="1064"/>
        <item m="1" x="976"/>
        <item m="1" x="975"/>
        <item m="1" x="1033"/>
        <item m="1" x="1057"/>
        <item m="1" x="915"/>
        <item m="1" x="1046"/>
        <item m="1" x="1055"/>
        <item m="1" x="1056"/>
        <item m="1" x="1030"/>
        <item m="1" x="1047"/>
        <item m="1" x="918"/>
        <item m="1" x="964"/>
        <item m="1" x="1039"/>
        <item m="1" x="937"/>
        <item m="1" x="1049"/>
        <item m="1" x="913"/>
        <item m="1" x="1002"/>
        <item m="1" x="600"/>
        <item m="1" x="940"/>
        <item m="1" x="1023"/>
        <item x="84"/>
        <item x="16"/>
        <item m="1" x="995"/>
        <item m="1" x="994"/>
        <item m="1" x="858"/>
        <item m="1" x="947"/>
        <item m="1" x="164"/>
        <item m="1" x="1019"/>
        <item m="1" x="1043"/>
        <item m="1" x="1045"/>
        <item m="1" x="943"/>
        <item m="1" x="1017"/>
        <item m="1" x="960"/>
        <item m="1" x="910"/>
        <item m="1" x="687"/>
        <item m="1" x="665"/>
        <item m="1" x="857"/>
        <item m="1" x="946"/>
        <item m="1" x="889"/>
        <item x="24"/>
        <item m="1" x="950"/>
        <item m="1" x="1035"/>
        <item m="1" x="1001"/>
        <item m="1" x="1026"/>
        <item m="1" x="854"/>
        <item m="1" x="1031"/>
        <item m="1" x="1032"/>
        <item m="1" x="927"/>
        <item m="1" x="1011"/>
        <item m="1" x="1028"/>
        <item m="1" x="1020"/>
        <item m="1" x="1027"/>
        <item m="1" x="1013"/>
        <item m="1" x="928"/>
        <item m="1" x="886"/>
        <item m="1" x="884"/>
        <item m="1" x="890"/>
        <item m="1" x="1021"/>
        <item m="1" x="846"/>
        <item m="1" x="963"/>
        <item m="1" x="618"/>
        <item m="1" x="902"/>
        <item m="1" x="991"/>
        <item m="1" x="1010"/>
        <item m="1" x="660"/>
        <item m="1" x="841"/>
        <item m="1" x="1016"/>
        <item m="1" x="1012"/>
        <item m="1" x="804"/>
        <item m="1" x="808"/>
        <item m="1" x="986"/>
        <item m="1" x="1007"/>
        <item m="1" x="967"/>
        <item m="1" x="931"/>
        <item m="1" x="1006"/>
        <item m="1" x="948"/>
        <item m="1" x="1008"/>
        <item m="1" x="1000"/>
        <item m="1" x="427"/>
        <item m="1" x="962"/>
        <item m="1" x="579"/>
        <item m="1" x="965"/>
        <item m="1" x="892"/>
        <item m="1" x="958"/>
        <item m="1" x="993"/>
        <item m="1" x="984"/>
        <item m="1" x="941"/>
        <item m="1" x="900"/>
        <item m="1" x="996"/>
        <item m="1" x="876"/>
        <item m="1" x="989"/>
        <item m="1" x="990"/>
        <item m="1" x="988"/>
        <item m="1" x="987"/>
        <item m="1" x="863"/>
        <item m="1" x="985"/>
        <item m="1" x="966"/>
        <item m="1" x="757"/>
        <item m="1" x="956"/>
        <item m="1" x="627"/>
        <item m="1" x="544"/>
        <item m="1" x="775"/>
        <item x="85"/>
        <item m="1" x="973"/>
        <item m="1" x="970"/>
        <item m="1" x="922"/>
        <item m="1" x="641"/>
        <item m="1" x="893"/>
        <item m="1" x="853"/>
        <item m="1" x="968"/>
        <item m="1" x="959"/>
        <item m="1" x="953"/>
        <item m="1" x="921"/>
        <item m="1" x="935"/>
        <item m="1" x="847"/>
        <item m="1" x="372"/>
        <item m="1" x="957"/>
        <item m="1" x="949"/>
        <item m="1" x="833"/>
        <item m="1" x="770"/>
        <item m="1" x="896"/>
        <item x="61"/>
        <item m="1" x="897"/>
        <item m="1" x="939"/>
        <item m="1" x="800"/>
        <item m="1" x="848"/>
        <item m="1" x="144"/>
        <item m="1" x="930"/>
        <item m="1" x="908"/>
        <item m="1" x="951"/>
        <item m="1" x="944"/>
        <item m="1" x="945"/>
        <item m="1" x="441"/>
        <item m="1" x="942"/>
        <item m="1" x="881"/>
        <item m="1" x="870"/>
        <item m="1" x="867"/>
        <item m="1" x="720"/>
        <item m="1" x="936"/>
        <item m="1" x="929"/>
        <item m="1" x="933"/>
        <item m="1" x="926"/>
        <item m="1" x="938"/>
        <item m="1" x="899"/>
        <item m="1" x="748"/>
        <item m="1" x="901"/>
        <item m="1" x="860"/>
        <item m="1" x="790"/>
        <item m="1" x="907"/>
        <item m="1" x="869"/>
        <item m="1" x="916"/>
        <item m="1" x="924"/>
        <item m="1" x="932"/>
        <item m="1" x="919"/>
        <item m="1" x="923"/>
        <item m="1" x="850"/>
        <item m="1" x="801"/>
        <item m="1" x="838"/>
        <item m="1" x="693"/>
        <item m="1" x="845"/>
        <item m="1" x="827"/>
        <item m="1" x="843"/>
        <item m="1" x="805"/>
        <item m="1" x="836"/>
        <item m="1" x="825"/>
        <item m="1" x="776"/>
        <item m="1" x="865"/>
        <item x="0"/>
        <item m="1" x="633"/>
        <item m="1" x="759"/>
        <item m="1" x="580"/>
        <item m="1" x="809"/>
        <item m="1" x="898"/>
        <item m="1" x="925"/>
        <item m="1" x="880"/>
        <item m="1" x="891"/>
        <item m="1" x="692"/>
        <item m="1" x="436"/>
        <item m="1" x="784"/>
        <item m="1" x="909"/>
        <item m="1" x="917"/>
        <item m="1" x="920"/>
        <item m="1" x="774"/>
        <item m="1" x="894"/>
        <item m="1" x="895"/>
        <item m="1" x="866"/>
        <item m="1" x="831"/>
        <item m="1" x="887"/>
        <item m="1" x="727"/>
        <item m="1" x="685"/>
        <item m="1" x="868"/>
        <item m="1" x="878"/>
        <item m="1" x="879"/>
        <item m="1" x="888"/>
        <item m="1" x="728"/>
        <item m="1" x="786"/>
        <item m="1" x="386"/>
        <item m="1" x="855"/>
        <item m="1" x="822"/>
        <item m="1" x="622"/>
        <item m="1" x="712"/>
        <item m="1" x="421"/>
        <item m="1" x="844"/>
        <item m="1" x="861"/>
        <item m="1" x="653"/>
        <item m="1" x="872"/>
        <item m="1" x="882"/>
        <item m="1" x="883"/>
        <item m="1" x="885"/>
        <item m="1" x="864"/>
        <item m="1" x="829"/>
        <item m="1" x="694"/>
        <item m="1" x="875"/>
        <item m="1" x="877"/>
        <item m="1" x="772"/>
        <item m="1" x="859"/>
        <item m="1" x="797"/>
        <item m="1" x="823"/>
        <item m="1" x="812"/>
        <item m="1" x="849"/>
        <item m="1" x="824"/>
        <item m="1" x="777"/>
        <item m="1" x="676"/>
        <item m="1" x="840"/>
        <item m="1" x="814"/>
        <item m="1" x="736"/>
        <item m="1" x="718"/>
        <item m="1" x="738"/>
        <item m="1" x="648"/>
        <item m="1" x="806"/>
        <item m="1" x="856"/>
        <item m="1" x="153"/>
        <item m="1" x="752"/>
        <item x="46"/>
        <item m="1" x="837"/>
        <item m="1" x="799"/>
        <item m="1" x="874"/>
        <item m="1" x="852"/>
        <item m="1" x="783"/>
        <item m="1" x="871"/>
        <item m="1" x="873"/>
        <item m="1" x="763"/>
        <item m="1" x="740"/>
        <item m="1" x="818"/>
        <item x="38"/>
        <item m="1" x="521"/>
        <item m="1" x="811"/>
        <item m="1" x="842"/>
        <item m="1" x="862"/>
        <item m="1" x="851"/>
        <item m="1" x="819"/>
        <item m="1" x="795"/>
        <item m="1" x="764"/>
        <item m="1" x="719"/>
        <item m="1" x="671"/>
        <item m="1" x="636"/>
        <item m="1" x="734"/>
        <item m="1" x="628"/>
        <item m="1" x="830"/>
        <item m="1" x="684"/>
        <item m="1" x="733"/>
        <item m="1" x="771"/>
        <item m="1" x="793"/>
        <item m="1" x="655"/>
        <item m="1" x="839"/>
        <item m="1" x="663"/>
        <item m="1" x="832"/>
        <item m="1" x="835"/>
        <item m="1" x="598"/>
        <item m="1" x="834"/>
        <item m="1" x="654"/>
        <item x="77"/>
        <item m="1" x="741"/>
        <item m="1" x="725"/>
        <item m="1" x="828"/>
        <item m="1" x="758"/>
        <item m="1" x="739"/>
        <item m="1" x="656"/>
        <item m="1" x="767"/>
        <item m="1" x="745"/>
        <item m="1" x="780"/>
        <item m="1" x="542"/>
        <item m="1" x="781"/>
        <item m="1" x="761"/>
        <item m="1" x="826"/>
        <item m="1" x="697"/>
        <item m="1" x="556"/>
        <item m="1" x="667"/>
        <item m="1" x="552"/>
        <item m="1" x="714"/>
        <item m="1" x="753"/>
        <item m="1" x="672"/>
        <item m="1" x="820"/>
        <item m="1" x="710"/>
        <item m="1" x="513"/>
        <item m="1" x="815"/>
        <item m="1" x="816"/>
        <item m="1" x="810"/>
        <item m="1" x="743"/>
        <item m="1" x="817"/>
        <item m="1" x="176"/>
        <item m="1" x="802"/>
        <item m="1" x="807"/>
        <item m="1" x="813"/>
        <item m="1" x="794"/>
        <item m="1" x="803"/>
        <item m="1" x="788"/>
        <item m="1" x="690"/>
        <item m="1" x="279"/>
        <item m="1" x="678"/>
        <item m="1" x="706"/>
        <item m="1" x="698"/>
        <item m="1" x="658"/>
        <item m="1" x="559"/>
        <item m="1" x="524"/>
        <item m="1" x="731"/>
        <item m="1" x="711"/>
        <item m="1" x="502"/>
        <item m="1" x="673"/>
        <item m="1" x="703"/>
        <item m="1" x="395"/>
        <item m="1" x="762"/>
        <item m="1" x="699"/>
        <item m="1" x="791"/>
        <item m="1" x="389"/>
        <item m="1" x="798"/>
        <item m="1" x="766"/>
        <item m="1" x="310"/>
        <item m="1" x="735"/>
        <item m="1" x="796"/>
        <item m="1" x="779"/>
        <item m="1" x="746"/>
        <item m="1" x="623"/>
        <item m="1" x="792"/>
        <item m="1" x="742"/>
        <item m="1" x="750"/>
        <item m="1" x="789"/>
        <item m="1" x="769"/>
        <item m="1" x="787"/>
        <item m="1" x="651"/>
        <item m="1" x="450"/>
        <item m="1" x="768"/>
        <item m="1" x="782"/>
        <item m="1" x="689"/>
        <item m="1" x="778"/>
        <item m="1" x="708"/>
        <item m="1" x="546"/>
        <item m="1" x="674"/>
        <item m="1" x="582"/>
        <item m="1" x="501"/>
        <item m="1" x="625"/>
        <item m="1" x="397"/>
        <item m="1" x="352"/>
        <item m="1" x="604"/>
        <item x="17"/>
        <item m="1" x="629"/>
        <item m="1" x="231"/>
        <item m="1" x="577"/>
        <item m="1" x="425"/>
        <item m="1" x="773"/>
        <item m="1" x="749"/>
        <item m="1" x="393"/>
        <item m="1" x="722"/>
        <item m="1" x="765"/>
        <item m="1" x="506"/>
        <item m="1" x="737"/>
        <item m="1" x="688"/>
        <item m="1" x="726"/>
        <item m="1" x="754"/>
        <item m="1" x="747"/>
        <item m="1" x="564"/>
        <item m="1" x="691"/>
        <item m="1" x="548"/>
        <item m="1" x="457"/>
        <item m="1" x="540"/>
        <item m="1" x="755"/>
        <item m="1" x="652"/>
        <item m="1" x="563"/>
        <item m="1" x="644"/>
        <item m="1" x="517"/>
        <item m="1" x="679"/>
        <item m="1" x="760"/>
        <item m="1" x="677"/>
        <item m="1" x="705"/>
        <item m="1" x="669"/>
        <item m="1" x="707"/>
        <item m="1" x="704"/>
        <item m="1" x="347"/>
        <item m="1" x="732"/>
        <item m="1" x="730"/>
        <item m="1" x="661"/>
        <item m="1" x="642"/>
        <item m="1" x="721"/>
        <item m="1" x="567"/>
        <item m="1" x="713"/>
        <item m="1" x="744"/>
        <item m="1" x="729"/>
        <item m="1" x="657"/>
        <item m="1" x="511"/>
        <item m="1" x="724"/>
        <item m="1" x="649"/>
        <item m="1" x="675"/>
        <item m="1" x="508"/>
        <item m="1" x="554"/>
        <item m="1" x="682"/>
        <item m="1" x="406"/>
        <item m="1" x="645"/>
        <item m="1" x="668"/>
        <item x="49"/>
        <item m="1" x="607"/>
        <item m="1" x="717"/>
        <item m="1" x="670"/>
        <item m="1" x="595"/>
        <item m="1" x="621"/>
        <item m="1" x="608"/>
        <item m="1" x="396"/>
        <item m="1" x="388"/>
        <item m="1" x="525"/>
        <item m="1" x="340"/>
        <item m="1" x="646"/>
        <item m="1" x="533"/>
        <item m="1" x="531"/>
        <item m="1" x="301"/>
        <item m="1" x="664"/>
        <item m="1" x="561"/>
        <item m="1" x="723"/>
        <item m="1" x="680"/>
        <item m="1" x="251"/>
        <item m="1" x="716"/>
        <item m="1" x="686"/>
        <item m="1" x="715"/>
        <item m="1" x="702"/>
        <item m="1" x="631"/>
        <item m="1" x="709"/>
        <item m="1" x="446"/>
        <item m="1" x="647"/>
        <item m="1" x="700"/>
        <item m="1" x="486"/>
        <item m="1" x="650"/>
        <item m="1" x="701"/>
        <item m="1" x="458"/>
        <item m="1" x="659"/>
        <item m="1" x="695"/>
        <item m="1" x="516"/>
        <item m="1" x="666"/>
        <item m="1" x="470"/>
        <item m="1" x="696"/>
        <item m="1" x="632"/>
        <item m="1" x="681"/>
        <item m="1" x="468"/>
        <item m="1" x="569"/>
        <item x="45"/>
        <item m="1" x="253"/>
        <item m="1" x="566"/>
        <item m="1" x="574"/>
        <item m="1" x="683"/>
        <item m="1" x="620"/>
        <item m="1" x="592"/>
        <item m="1" x="639"/>
        <item m="1" x="320"/>
        <item m="1" x="662"/>
        <item m="1" x="532"/>
        <item m="1" x="643"/>
        <item m="1" x="343"/>
        <item m="1" x="634"/>
        <item m="1" x="611"/>
        <item m="1" x="578"/>
        <item m="1" x="545"/>
        <item m="1" x="573"/>
        <item m="1" x="482"/>
        <item m="1" x="133"/>
        <item m="1" x="523"/>
        <item m="1" x="591"/>
        <item m="1" x="596"/>
        <item m="1" x="550"/>
        <item m="1" x="576"/>
        <item m="1" x="572"/>
        <item m="1" x="551"/>
        <item m="1" x="527"/>
        <item m="1" x="479"/>
        <item m="1" x="626"/>
        <item m="1" x="391"/>
        <item m="1" x="325"/>
        <item m="1" x="602"/>
        <item m="1" x="515"/>
        <item m="1" x="285"/>
        <item m="1" x="637"/>
        <item m="1" x="568"/>
        <item m="1" x="404"/>
        <item m="1" x="111"/>
        <item m="1" x="221"/>
        <item m="1" x="509"/>
        <item m="1" x="640"/>
        <item m="1" x="363"/>
        <item m="1" x="555"/>
        <item m="1" x="630"/>
        <item m="1" x="581"/>
        <item m="1" x="534"/>
        <item m="1" x="597"/>
        <item m="1" x="583"/>
        <item m="1" x="586"/>
        <item m="1" x="612"/>
        <item m="1" x="599"/>
        <item m="1" x="593"/>
        <item m="1" x="529"/>
        <item m="1" x="434"/>
        <item m="1" x="562"/>
        <item m="1" x="606"/>
        <item m="1" x="300"/>
        <item m="1" x="398"/>
        <item m="1" x="590"/>
        <item m="1" x="624"/>
        <item m="1" x="617"/>
        <item m="1" x="273"/>
        <item m="1" x="451"/>
        <item m="1" x="588"/>
        <item m="1" x="619"/>
        <item m="1" x="328"/>
        <item m="1" x="605"/>
        <item m="1" x="601"/>
        <item m="1" x="638"/>
        <item m="1" x="474"/>
        <item m="1" x="635"/>
        <item m="1" x="616"/>
        <item m="1" x="448"/>
        <item m="1" x="422"/>
        <item m="1" x="494"/>
        <item m="1" x="557"/>
        <item m="1" x="303"/>
        <item m="1" x="570"/>
        <item m="1" x="459"/>
        <item m="1" x="500"/>
        <item m="1" x="537"/>
        <item m="1" x="496"/>
        <item m="1" x="499"/>
        <item m="1" x="487"/>
        <item m="1" x="510"/>
        <item m="1" x="536"/>
        <item m="1" x="485"/>
        <item m="1" x="476"/>
        <item m="1" x="484"/>
        <item m="1" x="498"/>
        <item m="1" x="489"/>
        <item m="1" x="469"/>
        <item m="1" x="505"/>
        <item m="1" x="613"/>
        <item m="1" x="460"/>
        <item m="1" x="528"/>
        <item m="1" x="589"/>
        <item m="1" x="615"/>
        <item m="1" x="538"/>
        <item m="1" x="549"/>
        <item m="1" x="478"/>
        <item m="1" x="514"/>
        <item m="1" x="541"/>
        <item m="1" x="475"/>
        <item m="1" x="526"/>
        <item m="1" x="530"/>
        <item m="1" x="609"/>
        <item m="1" x="614"/>
        <item m="1" x="575"/>
        <item m="1" x="584"/>
        <item m="1" x="610"/>
        <item m="1" x="284"/>
        <item m="1" x="342"/>
        <item m="1" x="254"/>
        <item m="1" x="481"/>
        <item m="1" x="356"/>
        <item m="1" x="519"/>
        <item m="1" x="409"/>
        <item m="1" x="497"/>
        <item m="1" x="419"/>
        <item m="1" x="370"/>
        <item m="1" x="547"/>
        <item m="1" x="417"/>
        <item m="1" x="241"/>
        <item m="1" x="423"/>
        <item m="1" x="585"/>
        <item m="1" x="535"/>
        <item m="1" x="553"/>
        <item m="1" x="490"/>
        <item m="1" x="413"/>
        <item m="1" x="359"/>
        <item m="1" x="420"/>
        <item m="1" x="539"/>
        <item m="1" x="456"/>
        <item m="1" x="503"/>
        <item m="1" x="428"/>
        <item m="1" x="491"/>
        <item x="23"/>
        <item m="1" x="565"/>
        <item m="1" x="387"/>
        <item m="1" x="384"/>
        <item m="1" x="278"/>
        <item m="1" x="594"/>
        <item m="1" x="543"/>
        <item m="1" x="437"/>
        <item m="1" x="507"/>
        <item m="1" x="587"/>
        <item m="1" x="477"/>
        <item m="1" x="512"/>
        <item m="1" x="471"/>
        <item m="1" x="408"/>
        <item m="1" x="571"/>
        <item m="1" x="289"/>
        <item m="1" x="411"/>
        <item m="1" x="403"/>
        <item m="1" x="522"/>
        <item m="1" x="375"/>
        <item m="1" x="430"/>
        <item m="1" x="558"/>
        <item m="1" x="440"/>
        <item m="1" x="492"/>
        <item m="1" x="374"/>
        <item m="1" x="435"/>
        <item m="1" x="438"/>
        <item m="1" x="560"/>
        <item m="1" x="381"/>
        <item m="1" x="412"/>
        <item m="1" x="488"/>
        <item m="1" x="357"/>
        <item x="50"/>
        <item m="1" x="132"/>
        <item m="1" x="348"/>
        <item m="1" x="207"/>
        <item m="1" x="518"/>
        <item m="1" x="483"/>
        <item m="1" x="472"/>
        <item m="1" x="463"/>
        <item m="1" x="520"/>
        <item m="1" x="292"/>
        <item m="1" x="433"/>
        <item m="1" x="179"/>
        <item m="1" x="473"/>
        <item m="1" x="382"/>
        <item m="1" x="495"/>
        <item m="1" x="493"/>
        <item m="1" x="443"/>
        <item m="1" x="327"/>
        <item m="1" x="467"/>
        <item m="1" x="377"/>
        <item m="1" x="361"/>
        <item m="1" x="455"/>
        <item m="1" x="504"/>
        <item m="1" x="383"/>
        <item m="1" x="454"/>
        <item m="1" x="480"/>
        <item m="1" x="442"/>
        <item m="1" x="230"/>
        <item m="1" x="335"/>
        <item m="1" x="336"/>
        <item m="1" x="415"/>
        <item m="1" x="371"/>
        <item m="1" x="364"/>
        <item m="1" x="461"/>
        <item m="1" x="418"/>
        <item m="1" x="429"/>
        <item m="1" x="232"/>
        <item m="1" x="465"/>
        <item m="1" x="376"/>
        <item m="1" x="369"/>
        <item m="1" x="466"/>
        <item m="1" x="405"/>
        <item m="1" x="313"/>
        <item m="1" x="452"/>
        <item m="1" x="260"/>
        <item m="1" x="447"/>
        <item m="1" x="464"/>
        <item m="1" x="453"/>
        <item m="1" x="462"/>
        <item m="1" x="416"/>
        <item m="1" x="287"/>
        <item m="1" x="424"/>
        <item m="1" x="445"/>
        <item m="1" x="385"/>
        <item m="1" x="414"/>
        <item m="1" x="141"/>
        <item m="1" x="431"/>
        <item m="1" x="400"/>
        <item m="1" x="263"/>
        <item m="1" x="439"/>
        <item m="1" x="390"/>
        <item m="1" x="449"/>
        <item m="1" x="365"/>
        <item m="1" x="444"/>
        <item m="1" x="338"/>
        <item m="1" x="346"/>
        <item m="1" x="291"/>
        <item m="1" x="432"/>
        <item m="1" x="407"/>
        <item m="1" x="264"/>
        <item m="1" x="399"/>
        <item m="1" x="329"/>
        <item m="1" x="360"/>
        <item m="1" x="345"/>
        <item m="1" x="337"/>
        <item m="1" x="333"/>
        <item m="1" x="249"/>
        <item m="1" x="261"/>
        <item m="1" x="379"/>
        <item m="1" x="215"/>
        <item m="1" x="288"/>
        <item m="1" x="426"/>
        <item m="1" x="373"/>
        <item m="1" x="401"/>
        <item m="1" x="394"/>
        <item m="1" x="267"/>
        <item m="1" x="235"/>
        <item m="1" x="392"/>
        <item m="1" x="355"/>
        <item m="1" x="402"/>
        <item m="1" x="410"/>
        <item m="1" x="311"/>
        <item m="1" x="312"/>
        <item m="1" x="272"/>
        <item m="1" x="187"/>
        <item m="1" x="380"/>
        <item m="1" x="307"/>
        <item x="41"/>
        <item m="1" x="368"/>
        <item m="1" x="308"/>
        <item m="1" x="362"/>
        <item m="1" x="349"/>
        <item m="1" x="378"/>
        <item m="1" x="159"/>
        <item m="1" x="246"/>
        <item m="1" x="244"/>
        <item m="1" x="275"/>
        <item x="81"/>
        <item m="1" x="286"/>
        <item m="1" x="302"/>
        <item m="1" x="150"/>
        <item m="1" x="295"/>
        <item m="1" x="269"/>
        <item m="1" x="350"/>
        <item m="1" x="204"/>
        <item m="1" x="316"/>
        <item m="1" x="366"/>
        <item m="1" x="298"/>
        <item x="63"/>
        <item m="1" x="317"/>
        <item m="1" x="233"/>
        <item m="1" x="206"/>
        <item m="1" x="332"/>
        <item m="1" x="367"/>
        <item x="91"/>
        <item m="1" x="304"/>
        <item m="1" x="341"/>
        <item m="1" x="319"/>
        <item m="1" x="358"/>
        <item m="1" x="294"/>
        <item m="1" x="344"/>
        <item m="1" x="354"/>
        <item m="1" x="351"/>
        <item m="1" x="339"/>
        <item m="1" x="324"/>
        <item m="1" x="250"/>
        <item m="1" x="213"/>
        <item m="1" x="326"/>
        <item m="1" x="209"/>
        <item m="1" x="259"/>
        <item m="1" x="280"/>
        <item m="1" x="306"/>
        <item m="1" x="334"/>
        <item m="1" x="203"/>
        <item m="1" x="188"/>
        <item m="1" x="165"/>
        <item m="1" x="331"/>
        <item m="1" x="192"/>
        <item m="1" x="283"/>
        <item m="1" x="174"/>
        <item x="88"/>
        <item m="1" x="276"/>
        <item m="1" x="199"/>
        <item m="1" x="323"/>
        <item m="1" x="330"/>
        <item m="1" x="318"/>
        <item m="1" x="282"/>
        <item m="1" x="146"/>
        <item m="1" x="228"/>
        <item x="89"/>
        <item m="1" x="299"/>
        <item m="1" x="222"/>
        <item m="1" x="314"/>
        <item m="1" x="262"/>
        <item m="1" x="321"/>
        <item x="57"/>
        <item m="1" x="252"/>
        <item m="1" x="277"/>
        <item m="1" x="315"/>
        <item m="1" x="238"/>
        <item m="1" x="208"/>
        <item m="1" x="258"/>
        <item m="1" x="202"/>
        <item m="1" x="271"/>
        <item m="1" x="167"/>
        <item x="18"/>
        <item x="2"/>
        <item m="1" x="296"/>
        <item m="1" x="309"/>
        <item m="1" x="270"/>
        <item m="1" x="281"/>
        <item m="1" x="274"/>
        <item m="1" x="290"/>
        <item m="1" x="305"/>
        <item m="1" x="200"/>
        <item x="35"/>
        <item x="59"/>
        <item m="1" x="217"/>
        <item m="1" x="293"/>
        <item m="1" x="243"/>
        <item m="1" x="178"/>
        <item m="1" x="227"/>
        <item m="1" x="166"/>
        <item m="1" x="201"/>
        <item m="1" x="189"/>
        <item m="1" x="212"/>
        <item x="47"/>
        <item m="1" x="248"/>
        <item m="1" x="181"/>
        <item m="1" x="266"/>
        <item m="1" x="139"/>
        <item m="1" x="108"/>
        <item m="1" x="255"/>
        <item m="1" x="225"/>
        <item m="1" x="195"/>
        <item x="66"/>
        <item m="1" x="268"/>
        <item x="73"/>
        <item m="1" x="242"/>
        <item m="1" x="214"/>
        <item m="1" x="265"/>
        <item m="1" x="237"/>
        <item m="1" x="257"/>
        <item m="1" x="240"/>
        <item m="1" x="172"/>
        <item m="1" x="130"/>
        <item m="1" x="205"/>
        <item x="14"/>
        <item x="75"/>
        <item m="1" x="142"/>
        <item m="1" x="171"/>
        <item m="1" x="239"/>
        <item m="1" x="175"/>
        <item m="1" x="247"/>
        <item x="42"/>
        <item m="1" x="245"/>
        <item m="1" x="229"/>
        <item m="1" x="126"/>
        <item m="1" x="186"/>
        <item m="1" x="129"/>
        <item m="1" x="184"/>
        <item x="71"/>
        <item m="1" x="236"/>
        <item m="1" x="145"/>
        <item m="1" x="220"/>
        <item m="1" x="223"/>
        <item m="1" x="218"/>
        <item m="1" x="113"/>
        <item x="83"/>
        <item m="1" x="234"/>
        <item x="40"/>
        <item m="1" x="226"/>
        <item m="1" x="103"/>
        <item m="1" x="120"/>
        <item m="1" x="173"/>
        <item x="53"/>
        <item m="1" x="170"/>
        <item m="1" x="196"/>
        <item m="1" x="148"/>
        <item m="1" x="216"/>
        <item m="1" x="122"/>
        <item m="1" x="219"/>
        <item m="1" x="190"/>
        <item m="1" x="157"/>
        <item m="1" x="110"/>
        <item m="1" x="168"/>
        <item m="1" x="191"/>
        <item m="1" x="140"/>
        <item m="1" x="151"/>
        <item m="1" x="185"/>
        <item m="1" x="210"/>
        <item m="1" x="193"/>
        <item m="1" x="197"/>
        <item m="1" x="194"/>
        <item m="1" x="161"/>
        <item x="10"/>
        <item x="25"/>
        <item m="1" x="138"/>
        <item m="1" x="143"/>
        <item m="1" x="182"/>
        <item x="5"/>
        <item m="1" x="156"/>
        <item m="1" x="102"/>
        <item m="1" x="183"/>
        <item m="1" x="180"/>
        <item m="1" x="107"/>
        <item m="1" x="158"/>
        <item m="1" x="169"/>
        <item x="29"/>
        <item m="1" x="106"/>
        <item m="1" x="177"/>
        <item x="39"/>
        <item m="1" x="152"/>
        <item m="1" x="117"/>
        <item m="1" x="99"/>
        <item x="26"/>
        <item x="30"/>
        <item m="1" x="154"/>
        <item m="1" x="160"/>
        <item x="9"/>
        <item m="1" x="114"/>
        <item m="1" x="162"/>
        <item m="1" x="116"/>
        <item x="1"/>
        <item x="96"/>
        <item m="1" x="134"/>
        <item m="1" x="155"/>
        <item m="1" x="163"/>
        <item x="55"/>
        <item m="1" x="115"/>
        <item x="4"/>
        <item x="70"/>
        <item x="72"/>
        <item x="76"/>
        <item x="34"/>
        <item m="1" x="100"/>
        <item x="90"/>
        <item x="93"/>
        <item m="1" x="131"/>
        <item m="1" x="118"/>
        <item m="1" x="147"/>
        <item m="1" x="121"/>
        <item m="1" x="123"/>
        <item x="92"/>
        <item m="1" x="98"/>
        <item x="43"/>
        <item m="1" x="124"/>
        <item x="58"/>
        <item x="3"/>
        <item x="15"/>
        <item x="13"/>
        <item m="1" x="136"/>
        <item m="1" x="137"/>
        <item m="1" x="112"/>
        <item m="1" x="127"/>
        <item x="94"/>
        <item x="19"/>
        <item m="1" x="119"/>
        <item x="31"/>
        <item m="1" x="128"/>
        <item x="48"/>
        <item m="1" x="125"/>
        <item x="95"/>
        <item m="1" x="104"/>
        <item x="7"/>
        <item x="20"/>
        <item x="22"/>
        <item x="28"/>
        <item m="1" x="109"/>
        <item x="78"/>
        <item x="80"/>
        <item x="86"/>
        <item x="62"/>
        <item x="82"/>
        <item m="1" x="97"/>
        <item m="1" x="101"/>
        <item x="68"/>
        <item x="69"/>
        <item x="21"/>
        <item x="33"/>
        <item m="1" x="105"/>
        <item x="27"/>
        <item x="36"/>
        <item x="44"/>
        <item x="54"/>
        <item x="60"/>
        <item x="51"/>
        <item x="67"/>
        <item x="74"/>
        <item x="52"/>
        <item x="64"/>
      </items>
    </pivotField>
    <pivotField axis="axisRow" compact="0" outline="0" showAll="0" defaultSubtotal="0">
      <items count="8">
        <item x="1"/>
        <item m="1" x="6"/>
        <item x="4"/>
        <item x="0"/>
        <item x="2"/>
        <item x="3"/>
        <item m="1" x="7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sortType="ascending" defaultSubtotal="0">
      <items count="13">
        <item x="9"/>
        <item x="7"/>
        <item x="1"/>
        <item x="3"/>
        <item x="5"/>
        <item x="6"/>
        <item x="2"/>
        <item x="10"/>
        <item x="11"/>
        <item x="8"/>
        <item x="4"/>
        <item x="12"/>
        <item x="0"/>
      </items>
    </pivotField>
    <pivotField axis="axisCol" compact="0" outline="0" showAll="0" defaultSubtotal="0">
      <items count="13">
        <item x="0"/>
        <item x="3"/>
        <item x="2"/>
        <item x="7"/>
        <item x="1"/>
        <item x="5"/>
        <item x="6"/>
        <item x="8"/>
        <item x="4"/>
        <item x="9"/>
        <item x="10"/>
        <item x="12"/>
        <item x="11"/>
      </items>
    </pivotField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x="0"/>
      </items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compact="0" outline="0" showAll="0" defaultSubtotal="0">
      <items count="6">
        <item sd="0" x="1"/>
        <item sd="0" x="2"/>
        <item sd="0" x="3"/>
        <item sd="0" x="4"/>
        <item x="5"/>
        <item x="0"/>
      </items>
    </pivotField>
    <pivotField compact="0" outline="0" showAll="0" defaultSubtotal="0">
      <items count="3">
        <item x="1"/>
        <item x="2"/>
        <item x="0"/>
      </items>
    </pivotField>
  </pivotFields>
  <rowFields count="8">
    <field x="3"/>
    <field x="9"/>
    <field x="0"/>
    <field x="8"/>
    <field x="1"/>
    <field x="4"/>
    <field x="5"/>
    <field x="7"/>
  </rowFields>
  <rowItems count="154">
    <i>
      <x/>
      <x v="1"/>
      <x v="600"/>
      <x v="3"/>
      <x v="412"/>
      <x v="424"/>
      <x v="509"/>
      <x v="1"/>
    </i>
    <i r="2">
      <x v="778"/>
      <x v="3"/>
      <x v="483"/>
      <x v="524"/>
      <x/>
      <x v="1123"/>
    </i>
    <i r="2">
      <x v="779"/>
      <x v="3"/>
      <x v="484"/>
      <x v="525"/>
      <x/>
      <x v="1125"/>
    </i>
    <i r="2">
      <x v="781"/>
      <x v="3"/>
      <x v="485"/>
      <x v="527"/>
      <x/>
      <x v="1140"/>
    </i>
    <i r="2">
      <x v="813"/>
      <x v="3"/>
      <x v="500"/>
      <x v="41"/>
      <x/>
      <x v="111"/>
    </i>
    <i>
      <x v="3"/>
      <x v="1"/>
      <x v="524"/>
      <x v="3"/>
      <x v="349"/>
      <x v="77"/>
      <x v="464"/>
      <x v="994"/>
    </i>
    <i r="2">
      <x v="541"/>
      <x v="3"/>
      <x v="365"/>
      <x v="8"/>
      <x v="383"/>
      <x v="776"/>
    </i>
    <i r="2">
      <x v="544"/>
      <x v="3"/>
      <x v="368"/>
      <x v="383"/>
      <x v="443"/>
      <x v="1004"/>
    </i>
    <i r="2">
      <x v="697"/>
      <x v="3"/>
      <x v="453"/>
      <x v="493"/>
      <x/>
      <x v="983"/>
    </i>
    <i r="2">
      <x v="739"/>
      <x v="5"/>
      <x v="341"/>
      <x v="509"/>
      <x v="304"/>
      <x v="1"/>
    </i>
    <i r="2">
      <x v="742"/>
      <x v="3"/>
      <x v="270"/>
      <x v="83"/>
      <x/>
      <x v="1"/>
    </i>
    <i r="2">
      <x v="766"/>
      <x/>
      <x v="270"/>
      <x v="514"/>
      <x/>
      <x v="1"/>
    </i>
    <i>
      <x v="5"/>
      <x v="1"/>
      <x v="392"/>
      <x/>
      <x v="271"/>
      <x v="289"/>
      <x v="393"/>
      <x v="808"/>
    </i>
    <i r="2">
      <x v="646"/>
      <x/>
      <x v="434"/>
      <x v="460"/>
      <x v="449"/>
      <x v="984"/>
    </i>
    <i r="2">
      <x v="648"/>
      <x/>
      <x v="435"/>
      <x v="462"/>
      <x v="484"/>
      <x v="1015"/>
    </i>
    <i r="2">
      <x v="660"/>
      <x/>
      <x v="121"/>
      <x v="470"/>
      <x/>
      <x v="926"/>
    </i>
    <i r="2">
      <x v="669"/>
      <x/>
      <x v="451"/>
      <x v="498"/>
      <x v="461"/>
      <x v="1089"/>
    </i>
    <i r="2">
      <x v="670"/>
      <x/>
      <x v="121"/>
      <x v="479"/>
      <x v="514"/>
      <x v="1150"/>
    </i>
    <i r="2">
      <x v="767"/>
      <x/>
      <x v="321"/>
      <x v="364"/>
      <x/>
      <x v="1161"/>
    </i>
    <i>
      <x v="11"/>
      <x v="1"/>
      <x v="259"/>
      <x v="4"/>
      <x v="451"/>
      <x v="485"/>
      <x v="508"/>
      <x v="1160"/>
    </i>
    <i r="2">
      <x v="643"/>
      <x v="4"/>
      <x v="432"/>
      <x v="455"/>
      <x v="517"/>
      <x v="1134"/>
    </i>
    <i r="2">
      <x v="663"/>
      <x v="4"/>
      <x v="438"/>
      <x v="473"/>
      <x v="510"/>
      <x v="1145"/>
    </i>
    <i r="2">
      <x v="705"/>
      <x v="4"/>
      <x v="457"/>
      <x v="113"/>
      <x/>
      <x v="112"/>
    </i>
    <i r="2">
      <x v="729"/>
      <x v="4"/>
      <x v="463"/>
      <x v="502"/>
      <x/>
      <x v="1032"/>
    </i>
    <i r="2">
      <x v="731"/>
      <x v="4"/>
      <x v="464"/>
      <x v="113"/>
      <x/>
      <x v="112"/>
    </i>
    <i r="2">
      <x v="737"/>
      <x v="4"/>
      <x v="468"/>
      <x v="8"/>
      <x/>
      <x v="1"/>
    </i>
    <i r="2">
      <x v="765"/>
      <x v="4"/>
      <x v="476"/>
      <x v="153"/>
      <x/>
      <x v="207"/>
    </i>
    <i r="2">
      <x v="768"/>
      <x v="4"/>
      <x v="432"/>
      <x v="528"/>
      <x v="48"/>
      <x v="1143"/>
    </i>
    <i r="2">
      <x v="769"/>
      <x v="4"/>
      <x v="116"/>
      <x v="520"/>
      <x/>
      <x v="1"/>
    </i>
    <i r="2">
      <x v="774"/>
      <x v="4"/>
      <x v="479"/>
      <x v="61"/>
      <x/>
      <x v="48"/>
    </i>
    <i r="2">
      <x v="777"/>
      <x v="4"/>
      <x v="482"/>
      <x v="523"/>
      <x/>
      <x v="1168"/>
    </i>
    <i r="2">
      <x v="805"/>
      <x v="4"/>
      <x v="494"/>
      <x v="15"/>
      <x/>
      <x v="124"/>
    </i>
    <i r="2">
      <x v="810"/>
      <x v="4"/>
      <x v="497"/>
      <x v="59"/>
      <x/>
      <x v="47"/>
    </i>
    <i r="2">
      <x v="811"/>
      <x v="4"/>
      <x v="498"/>
      <x v="532"/>
      <x/>
      <x v="1159"/>
    </i>
    <i r="2">
      <x v="814"/>
      <x v="4"/>
      <x v="501"/>
      <x v="533"/>
      <x/>
      <x v="1167"/>
    </i>
    <i>
      <x v="12"/>
      <x v="1"/>
      <x v="206"/>
      <x v="4"/>
      <x v="152"/>
      <x v="21"/>
      <x v="172"/>
      <x v="431"/>
    </i>
    <i r="2">
      <x v="459"/>
      <x/>
      <x v="227"/>
      <x v="323"/>
      <x v="437"/>
      <x v="1121"/>
    </i>
    <i r="2">
      <x v="476"/>
      <x/>
      <x v="317"/>
      <x v="200"/>
      <x/>
      <x v="308"/>
    </i>
    <i>
      <x v="14"/>
      <x v="1"/>
      <x v="668"/>
      <x/>
      <x v="442"/>
      <x v="529"/>
      <x v="436"/>
      <x v="1147"/>
    </i>
    <i r="2">
      <x v="725"/>
      <x/>
      <x v="341"/>
      <x v="508"/>
      <x v="502"/>
      <x v="1"/>
    </i>
    <i r="2">
      <x v="771"/>
      <x/>
      <x v="320"/>
      <x v="517"/>
      <x/>
      <x v="1093"/>
    </i>
    <i r="2">
      <x v="772"/>
      <x/>
      <x v="20"/>
      <x v="518"/>
      <x/>
      <x v="1094"/>
    </i>
    <i r="2">
      <x v="773"/>
      <x/>
      <x v="478"/>
      <x v="519"/>
      <x/>
      <x v="1"/>
    </i>
    <i r="2">
      <x v="780"/>
      <x/>
      <x v="444"/>
      <x v="41"/>
      <x/>
      <x v="111"/>
    </i>
    <i>
      <x v="15"/>
      <x v="1"/>
      <x v="509"/>
      <x v="4"/>
      <x v="340"/>
      <x v="516"/>
      <x v="526"/>
      <x v="1166"/>
    </i>
    <i r="2">
      <x v="570"/>
      <x/>
      <x v="299"/>
      <x v="521"/>
      <x v="516"/>
      <x v="1142"/>
    </i>
    <i r="2">
      <x v="622"/>
      <x/>
      <x v="97"/>
      <x v="439"/>
      <x v="513"/>
      <x v="1138"/>
    </i>
    <i r="2">
      <x v="624"/>
      <x/>
      <x v="254"/>
      <x v="446"/>
      <x v="504"/>
      <x v="1048"/>
    </i>
    <i r="2">
      <x v="625"/>
      <x/>
      <x v="426"/>
      <x v="448"/>
      <x v="524"/>
      <x v="1149"/>
    </i>
    <i r="2">
      <x v="730"/>
      <x v="4"/>
      <x v="237"/>
      <x v="503"/>
      <x v="469"/>
      <x v="1053"/>
    </i>
    <i r="2">
      <x v="732"/>
      <x/>
      <x v="230"/>
      <x v="504"/>
      <x v="512"/>
      <x v="1112"/>
    </i>
    <i>
      <x v="18"/>
      <x v="1"/>
      <x v="245"/>
      <x v="5"/>
      <x v="167"/>
      <x v="186"/>
      <x/>
      <x v="289"/>
    </i>
    <i r="2">
      <x v="249"/>
      <x v="5"/>
      <x v="175"/>
      <x v="190"/>
      <x v="396"/>
      <x v="932"/>
    </i>
    <i r="2">
      <x v="311"/>
      <x v="5"/>
      <x v="219"/>
      <x v="228"/>
      <x v="399"/>
      <x v="958"/>
    </i>
    <i r="2">
      <x v="409"/>
      <x v="5"/>
      <x v="283"/>
      <x v="299"/>
      <x v="439"/>
      <x v="993"/>
    </i>
    <i r="2">
      <x v="483"/>
      <x v="5"/>
      <x v="322"/>
      <x v="345"/>
      <x/>
      <x v="638"/>
    </i>
    <i r="2">
      <x v="489"/>
      <x v="5"/>
      <x v="327"/>
      <x v="353"/>
      <x v="483"/>
      <x v="1109"/>
    </i>
    <i r="2">
      <x v="583"/>
      <x v="5"/>
      <x v="399"/>
      <x v="83"/>
      <x v="477"/>
      <x v="1073"/>
    </i>
    <i r="2">
      <x v="587"/>
      <x v="5"/>
      <x v="401"/>
      <x v="413"/>
      <x v="480"/>
      <x v="1111"/>
    </i>
    <i r="2">
      <x v="589"/>
      <x v="5"/>
      <x v="325"/>
      <x v="200"/>
      <x/>
      <x v="308"/>
    </i>
    <i r="2">
      <x v="638"/>
      <x v="5"/>
      <x v="431"/>
      <x v="449"/>
      <x v="518"/>
      <x v="1144"/>
    </i>
    <i r="2">
      <x v="676"/>
      <x v="5"/>
      <x v="444"/>
      <x v="483"/>
      <x v="523"/>
      <x v="1164"/>
    </i>
    <i r="2">
      <x v="685"/>
      <x v="5"/>
      <x v="16"/>
      <x v="32"/>
      <x v="498"/>
      <x v="1025"/>
    </i>
    <i r="2">
      <x v="688"/>
      <x v="5"/>
      <x v="449"/>
      <x v="489"/>
      <x/>
      <x v="973"/>
    </i>
    <i r="2">
      <x v="689"/>
      <x v="5"/>
      <x v="450"/>
      <x v="490"/>
      <x v="492"/>
      <x v="1026"/>
    </i>
    <i r="2">
      <x v="776"/>
      <x v="5"/>
      <x v="481"/>
      <x v="166"/>
      <x/>
      <x v="226"/>
    </i>
    <i r="2">
      <x v="812"/>
      <x v="5"/>
      <x v="499"/>
      <x v="59"/>
      <x/>
      <x v="47"/>
    </i>
    <i>
      <x v="19"/>
      <x v="1"/>
      <x v="319"/>
      <x v="3"/>
      <x v="225"/>
      <x v="24"/>
      <x v="408"/>
      <x v="915"/>
    </i>
    <i r="2">
      <x v="493"/>
      <x v="3"/>
      <x v="329"/>
      <x v="326"/>
      <x v="423"/>
      <x v="905"/>
    </i>
    <i r="2">
      <x v="619"/>
      <x v="3"/>
      <x v="424"/>
      <x v="32"/>
      <x v="493"/>
      <x v="1074"/>
    </i>
    <i r="2">
      <x v="620"/>
      <x v="3"/>
      <x v="222"/>
      <x v="2"/>
      <x/>
      <x v="118"/>
    </i>
    <i r="2">
      <x v="628"/>
      <x v="3"/>
      <x v="329"/>
      <x v="113"/>
      <x v="474"/>
      <x v="1"/>
    </i>
    <i r="2">
      <x v="635"/>
      <x v="3"/>
      <x v="428"/>
      <x v="447"/>
      <x v="429"/>
      <x v="1086"/>
    </i>
    <i r="2">
      <x v="636"/>
      <x v="3"/>
      <x v="429"/>
      <x v="8"/>
      <x v="435"/>
      <x v="1115"/>
    </i>
    <i r="2">
      <x v="651"/>
      <x v="3"/>
      <x v="296"/>
      <x v="463"/>
      <x/>
      <x v="1136"/>
    </i>
    <i r="2">
      <x v="654"/>
      <x v="3"/>
      <x v="65"/>
      <x v="195"/>
      <x/>
      <x v="1"/>
    </i>
    <i r="2">
      <x v="671"/>
      <x v="3"/>
      <x v="328"/>
      <x v="480"/>
      <x v="496"/>
      <x v="1013"/>
    </i>
    <i r="2">
      <x v="691"/>
      <x v="3"/>
      <x v="286"/>
      <x v="21"/>
      <x/>
      <x v="1"/>
    </i>
    <i r="2">
      <x v="692"/>
      <x v="3"/>
      <x v="329"/>
      <x v="8"/>
      <x/>
      <x v="1101"/>
    </i>
    <i r="2">
      <x v="693"/>
      <x v="3"/>
      <x v="263"/>
      <x v="8"/>
      <x/>
      <x v="1"/>
    </i>
    <i r="2">
      <x v="694"/>
      <x v="3"/>
      <x v="452"/>
      <x v="32"/>
      <x/>
      <x v="1126"/>
    </i>
    <i r="2">
      <x v="695"/>
      <x v="3"/>
      <x v="295"/>
      <x v="8"/>
      <x/>
      <x v="14"/>
    </i>
    <i r="2">
      <x v="696"/>
      <x v="3"/>
      <x v="423"/>
      <x v="21"/>
      <x/>
      <x v="1"/>
    </i>
    <i r="2">
      <x v="712"/>
      <x v="3"/>
      <x v="459"/>
      <x v="497"/>
      <x/>
      <x v="1"/>
    </i>
    <i r="2">
      <x v="733"/>
      <x v="3"/>
      <x v="290"/>
      <x v="166"/>
      <x/>
      <x v="1108"/>
    </i>
    <i r="2">
      <x v="734"/>
      <x v="3"/>
      <x v="465"/>
      <x v="505"/>
      <x/>
      <x v="1097"/>
    </i>
    <i r="2">
      <x v="735"/>
      <x v="3"/>
      <x v="466"/>
      <x v="506"/>
      <x/>
      <x v="1039"/>
    </i>
    <i r="2">
      <x v="743"/>
      <x v="3"/>
      <x v="341"/>
      <x v="328"/>
      <x v="352"/>
      <x v="1"/>
    </i>
    <i r="2">
      <x v="746"/>
      <x v="3"/>
      <x v="290"/>
      <x v="510"/>
      <x/>
      <x v="1078"/>
    </i>
    <i r="2">
      <x v="747"/>
      <x v="3"/>
      <x v="470"/>
      <x v="511"/>
      <x/>
      <x v="1"/>
    </i>
    <i r="2">
      <x v="748"/>
      <x v="3"/>
      <x v="100"/>
      <x v="8"/>
      <x/>
      <x v="1"/>
    </i>
    <i r="2">
      <x v="749"/>
      <x v="3"/>
      <x v="265"/>
      <x v="297"/>
      <x/>
      <x v="541"/>
    </i>
    <i r="2">
      <x v="750"/>
      <x v="3"/>
      <x v="471"/>
      <x v="237"/>
      <x/>
      <x v="1127"/>
    </i>
    <i r="2">
      <x v="751"/>
      <x v="3"/>
      <x v="472"/>
      <x v="24"/>
      <x/>
      <x v="20"/>
    </i>
    <i r="2">
      <x v="752"/>
      <x v="3"/>
      <x v="116"/>
      <x v="24"/>
      <x/>
      <x v="20"/>
    </i>
    <i r="2">
      <x v="753"/>
      <x v="3"/>
      <x v="473"/>
      <x v="237"/>
      <x/>
      <x v="420"/>
    </i>
    <i r="2">
      <x v="754"/>
      <x v="3"/>
      <x v="303"/>
      <x v="24"/>
      <x/>
      <x v="1156"/>
    </i>
    <i r="2">
      <x v="755"/>
      <x v="3"/>
      <x v="258"/>
      <x v="8"/>
      <x/>
      <x v="14"/>
    </i>
    <i r="2">
      <x v="756"/>
      <x v="3"/>
      <x v="46"/>
      <x v="237"/>
      <x/>
      <x v="1"/>
    </i>
    <i r="2">
      <x v="757"/>
      <x v="3"/>
      <x v="335"/>
      <x v="24"/>
      <x/>
      <x v="20"/>
    </i>
    <i r="2">
      <x v="758"/>
      <x v="3"/>
      <x v="474"/>
      <x v="512"/>
      <x/>
      <x v="1163"/>
    </i>
    <i r="2">
      <x v="759"/>
      <x v="3"/>
      <x v="263"/>
      <x v="214"/>
      <x/>
      <x v="1"/>
    </i>
    <i r="2">
      <x v="760"/>
      <x v="3"/>
      <x v="224"/>
      <x v="297"/>
      <x/>
      <x v="1110"/>
    </i>
    <i r="2">
      <x v="761"/>
      <x v="3"/>
      <x v="475"/>
      <x v="8"/>
      <x/>
      <x v="1"/>
    </i>
    <i r="2">
      <x v="762"/>
      <x v="3"/>
      <x v="62"/>
      <x v="250"/>
      <x/>
      <x v="458"/>
    </i>
    <i r="2">
      <x v="763"/>
      <x v="3"/>
      <x v="65"/>
      <x v="21"/>
      <x/>
      <x v="61"/>
    </i>
    <i r="2">
      <x v="764"/>
      <x v="3"/>
      <x v="334"/>
      <x v="24"/>
      <x/>
      <x v="1"/>
    </i>
    <i r="2">
      <x v="770"/>
      <x v="3"/>
      <x v="477"/>
      <x v="510"/>
      <x/>
      <x v="1078"/>
    </i>
    <i r="2">
      <x v="782"/>
      <x v="3"/>
      <x v="486"/>
      <x v="214"/>
      <x/>
      <x v="354"/>
    </i>
    <i r="2">
      <x v="783"/>
      <x v="3"/>
      <x v="330"/>
      <x v="154"/>
      <x/>
      <x v="208"/>
    </i>
    <i r="2">
      <x v="784"/>
      <x v="3"/>
      <x v="265"/>
      <x v="214"/>
      <x/>
      <x v="354"/>
    </i>
    <i r="2">
      <x v="785"/>
      <x v="3"/>
      <x v="193"/>
      <x v="214"/>
      <x/>
      <x v="354"/>
    </i>
    <i r="2">
      <x v="786"/>
      <x v="3"/>
      <x v="286"/>
      <x v="8"/>
      <x/>
      <x v="14"/>
    </i>
    <i r="2">
      <x v="787"/>
      <x v="3"/>
      <x v="483"/>
      <x v="24"/>
      <x/>
      <x v="20"/>
    </i>
    <i r="2">
      <x v="788"/>
      <x v="3"/>
      <x v="35"/>
      <x v="24"/>
      <x/>
      <x v="20"/>
    </i>
    <i r="2">
      <x v="789"/>
      <x v="3"/>
      <x v="303"/>
      <x v="24"/>
      <x/>
      <x v="20"/>
    </i>
    <i r="2">
      <x v="790"/>
      <x v="3"/>
      <x v="487"/>
      <x v="214"/>
      <x/>
      <x v="354"/>
    </i>
    <i r="2">
      <x v="791"/>
      <x v="3"/>
      <x v="488"/>
      <x v="326"/>
      <x/>
      <x v="595"/>
    </i>
    <i r="2">
      <x v="792"/>
      <x v="3"/>
      <x v="258"/>
      <x v="113"/>
      <x/>
      <x v="112"/>
    </i>
    <i r="2">
      <x v="793"/>
      <x v="3"/>
      <x v="128"/>
      <x v="2"/>
      <x/>
      <x v="118"/>
    </i>
    <i r="2">
      <x v="794"/>
      <x v="3"/>
      <x v="417"/>
      <x v="8"/>
      <x/>
      <x v="14"/>
    </i>
    <i r="2">
      <x v="795"/>
      <x v="3"/>
      <x v="474"/>
      <x v="200"/>
      <x/>
      <x v="308"/>
    </i>
    <i r="2">
      <x v="796"/>
      <x v="3"/>
      <x v="489"/>
      <x v="2"/>
      <x/>
      <x v="118"/>
    </i>
    <i r="2">
      <x v="797"/>
      <x v="3"/>
      <x v="490"/>
      <x v="214"/>
      <x/>
      <x v="354"/>
    </i>
    <i r="2">
      <x v="798"/>
      <x v="3"/>
      <x v="263"/>
      <x v="2"/>
      <x/>
      <x v="118"/>
    </i>
    <i r="2">
      <x v="799"/>
      <x v="3"/>
      <x v="475"/>
      <x v="8"/>
      <x/>
      <x v="14"/>
    </i>
    <i r="2">
      <x v="800"/>
      <x v="3"/>
      <x v="491"/>
      <x v="8"/>
      <x/>
      <x v="14"/>
    </i>
    <i r="2">
      <x v="801"/>
      <x v="3"/>
      <x v="65"/>
      <x v="8"/>
      <x/>
      <x v="14"/>
    </i>
    <i r="2">
      <x v="802"/>
      <x v="3"/>
      <x v="492"/>
      <x v="530"/>
      <x/>
      <x v="1148"/>
    </i>
    <i r="2">
      <x v="803"/>
      <x v="3"/>
      <x v="225"/>
      <x v="214"/>
      <x/>
      <x v="354"/>
    </i>
    <i r="2">
      <x v="804"/>
      <x v="3"/>
      <x v="493"/>
      <x v="8"/>
      <x/>
      <x v="14"/>
    </i>
    <i r="2">
      <x v="806"/>
      <x v="3"/>
      <x v="495"/>
      <x v="200"/>
      <x/>
      <x v="308"/>
    </i>
    <i r="2">
      <x v="807"/>
      <x v="3"/>
      <x v="226"/>
      <x v="2"/>
      <x/>
      <x v="118"/>
    </i>
    <i r="2">
      <x v="808"/>
      <x v="3"/>
      <x v="332"/>
      <x v="214"/>
      <x/>
      <x v="354"/>
    </i>
    <i r="2">
      <x v="809"/>
      <x v="3"/>
      <x v="496"/>
      <x v="297"/>
      <x/>
      <x v="541"/>
    </i>
    <i>
      <x v="20"/>
      <x/>
      <x v="57"/>
      <x v="2"/>
      <x v="22"/>
      <x v="531"/>
      <x v="522"/>
      <x v="1157"/>
    </i>
    <i r="2">
      <x v="63"/>
      <x v="2"/>
      <x v="83"/>
      <x v="129"/>
      <x v="485"/>
      <x v="1102"/>
    </i>
    <i>
      <x v="21"/>
      <x/>
      <x v="644"/>
      <x v="2"/>
      <x v="413"/>
      <x v="457"/>
      <x v="521"/>
      <x v="1154"/>
    </i>
    <i r="1">
      <x v="1"/>
      <x v="634"/>
      <x v="2"/>
      <x v="413"/>
      <x v="495"/>
      <x v="520"/>
      <x v="1165"/>
    </i>
    <i r="2">
      <x v="653"/>
      <x v="2"/>
      <x v="436"/>
      <x v="465"/>
      <x v="491"/>
      <x v="1106"/>
    </i>
    <i r="2">
      <x v="656"/>
      <x v="2"/>
      <x v="436"/>
      <x v="467"/>
      <x v="525"/>
      <x v="1162"/>
    </i>
    <i r="2">
      <x v="674"/>
      <x v="2"/>
      <x v="16"/>
      <x v="482"/>
      <x/>
      <x v="1128"/>
    </i>
    <i r="2">
      <x v="677"/>
      <x v="2"/>
      <x v="117"/>
      <x v="8"/>
      <x/>
      <x v="1"/>
    </i>
    <i r="2">
      <x v="680"/>
      <x v="2"/>
      <x v="352"/>
      <x v="8"/>
      <x v="511"/>
      <x v="1046"/>
    </i>
    <i r="2">
      <x v="681"/>
      <x v="2"/>
      <x v="301"/>
      <x v="484"/>
      <x/>
      <x v="967"/>
    </i>
    <i r="2">
      <x v="682"/>
      <x v="2"/>
      <x v="445"/>
      <x v="8"/>
      <x/>
      <x v="1"/>
    </i>
    <i r="2">
      <x v="683"/>
      <x v="2"/>
      <x v="446"/>
      <x v="8"/>
      <x/>
      <x v="1133"/>
    </i>
    <i r="2">
      <x v="718"/>
      <x v="2"/>
      <x v="171"/>
      <x v="24"/>
      <x/>
      <x v="1"/>
    </i>
    <i r="2">
      <x v="721"/>
      <x v="2"/>
      <x v="301"/>
      <x v="16"/>
      <x/>
      <x v="1114"/>
    </i>
    <i r="2">
      <x v="722"/>
      <x v="2"/>
      <x v="445"/>
      <x v="8"/>
      <x/>
      <x v="1"/>
    </i>
    <i r="2">
      <x v="723"/>
      <x v="2"/>
      <x v="226"/>
      <x v="8"/>
      <x/>
      <x v="14"/>
    </i>
    <i r="2">
      <x v="744"/>
      <x v="2"/>
      <x v="413"/>
      <x v="507"/>
      <x v="473"/>
      <x v="1155"/>
    </i>
    <i>
      <x v="23"/>
      <x v="1"/>
      <x v="745"/>
      <x v="7"/>
      <x v="469"/>
      <x v="59"/>
      <x v="515"/>
      <x v="1151"/>
    </i>
    <i t="grand">
      <x/>
    </i>
  </rowItems>
  <colFields count="2">
    <field x="10"/>
    <field x="11"/>
  </colFields>
  <colItems count="14">
    <i>
      <x/>
      <x v="9"/>
    </i>
    <i>
      <x v="1"/>
      <x v="3"/>
    </i>
    <i>
      <x v="2"/>
      <x v="4"/>
    </i>
    <i>
      <x v="3"/>
      <x v="1"/>
    </i>
    <i>
      <x v="4"/>
      <x v="5"/>
    </i>
    <i>
      <x v="5"/>
      <x v="6"/>
    </i>
    <i>
      <x v="6"/>
      <x v="2"/>
    </i>
    <i>
      <x v="7"/>
      <x v="10"/>
    </i>
    <i>
      <x v="8"/>
      <x v="12"/>
    </i>
    <i>
      <x v="9"/>
      <x v="7"/>
    </i>
    <i>
      <x v="10"/>
      <x v="8"/>
    </i>
    <i>
      <x v="11"/>
      <x v="11"/>
    </i>
    <i>
      <x v="12"/>
      <x/>
    </i>
    <i t="grand">
      <x/>
    </i>
  </colItems>
  <dataFields count="1">
    <dataField name="Sum of Pending Settlement" fld="6" baseField="0" baseItem="0" numFmtId="164"/>
  </dataFields>
  <formats count="265">
    <format dxfId="432">
      <pivotArea outline="0" fieldPosition="0">
        <references count="4">
          <reference field="0" count="88" selected="0">
            <x v="0"/>
            <x v="1"/>
            <x v="2"/>
            <x v="3"/>
            <x v="4"/>
            <x v="5"/>
            <x v="6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</reference>
          <reference field="3" count="11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</reference>
          <reference field="8" count="0" selected="0"/>
          <reference field="9" count="0" selected="0"/>
        </references>
      </pivotArea>
    </format>
    <format dxfId="431">
      <pivotArea dataOnly="0" labelOnly="1" outline="0" fieldPosition="0">
        <references count="5">
          <reference field="0" count="1" selected="0">
            <x v="2"/>
          </reference>
          <reference field="3" count="1" selected="0">
            <x v="3"/>
          </reference>
          <reference field="4" count="1">
            <x v="36"/>
          </reference>
          <reference field="8" count="1" selected="0">
            <x v="3"/>
          </reference>
          <reference field="9" count="1" selected="0">
            <x v="1"/>
          </reference>
        </references>
      </pivotArea>
    </format>
    <format dxfId="430">
      <pivotArea dataOnly="0" labelOnly="1" outline="0" fieldPosition="0">
        <references count="6">
          <reference field="0" count="1" selected="0">
            <x v="4"/>
          </reference>
          <reference field="3" count="1" selected="0">
            <x v="0"/>
          </reference>
          <reference field="4" count="1" selected="0">
            <x v="0"/>
          </reference>
          <reference field="5" count="1">
            <x v="0"/>
          </reference>
          <reference field="8" count="1" selected="0">
            <x v="1"/>
          </reference>
          <reference field="9" count="1" selected="0">
            <x v="1"/>
          </reference>
        </references>
      </pivotArea>
    </format>
    <format dxfId="429">
      <pivotArea dataOnly="0" labelOnly="1" outline="0" fieldPosition="0">
        <references count="6">
          <reference field="0" count="1" selected="0">
            <x v="58"/>
          </reference>
          <reference field="3" count="1" selected="0">
            <x v="0"/>
          </reference>
          <reference field="4" count="1" selected="0">
            <x v="47"/>
          </reference>
          <reference field="5" count="1">
            <x v="5"/>
          </reference>
          <reference field="8" count="1" selected="0">
            <x v="2"/>
          </reference>
          <reference field="9" count="1" selected="0">
            <x v="1"/>
          </reference>
        </references>
      </pivotArea>
    </format>
    <format dxfId="428">
      <pivotArea dataOnly="0" labelOnly="1" outline="0" fieldPosition="0">
        <references count="6">
          <reference field="0" count="1" selected="0">
            <x v="47"/>
          </reference>
          <reference field="3" count="1" selected="0">
            <x v="0"/>
          </reference>
          <reference field="4" count="1" selected="0">
            <x v="55"/>
          </reference>
          <reference field="5" count="1">
            <x v="0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427">
      <pivotArea dataOnly="0" labelOnly="1" outline="0" fieldPosition="0">
        <references count="6">
          <reference field="0" count="1" selected="0">
            <x v="59"/>
          </reference>
          <reference field="3" count="1" selected="0">
            <x v="1"/>
          </reference>
          <reference field="4" count="1" selected="0">
            <x v="65"/>
          </reference>
          <reference field="5" count="1">
            <x v="8"/>
          </reference>
          <reference field="8" count="1" selected="0">
            <x v="2"/>
          </reference>
          <reference field="9" count="1" selected="0">
            <x v="1"/>
          </reference>
        </references>
      </pivotArea>
    </format>
    <format dxfId="426">
      <pivotArea dataOnly="0" labelOnly="1" outline="0" fieldPosition="0">
        <references count="6">
          <reference field="0" count="1" selected="0">
            <x v="60"/>
          </reference>
          <reference field="3" count="1" selected="0">
            <x v="1"/>
          </reference>
          <reference field="4" count="1" selected="0">
            <x v="67"/>
          </reference>
          <reference field="5" count="1">
            <x v="9"/>
          </reference>
          <reference field="8" count="1" selected="0">
            <x v="2"/>
          </reference>
          <reference field="9" count="1" selected="0">
            <x v="1"/>
          </reference>
        </references>
      </pivotArea>
    </format>
    <format dxfId="425">
      <pivotArea dataOnly="0" labelOnly="1" outline="0" fieldPosition="0">
        <references count="6">
          <reference field="0" count="1" selected="0">
            <x v="49"/>
          </reference>
          <reference field="3" count="1" selected="0">
            <x v="2"/>
          </reference>
          <reference field="4" count="1" selected="0">
            <x v="24"/>
          </reference>
          <reference field="5" count="1">
            <x v="0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424">
      <pivotArea dataOnly="0" labelOnly="1" outline="0" fieldPosition="0">
        <references count="6">
          <reference field="0" count="1" selected="0">
            <x v="0"/>
          </reference>
          <reference field="3" count="1" selected="0">
            <x v="3"/>
          </reference>
          <reference field="4" count="1" selected="0">
            <x v="74"/>
          </reference>
          <reference field="5" count="1">
            <x v="13"/>
          </reference>
          <reference field="8" count="1" selected="0">
            <x v="3"/>
          </reference>
          <reference field="9" count="1" selected="0">
            <x v="1"/>
          </reference>
        </references>
      </pivotArea>
    </format>
    <format dxfId="423">
      <pivotArea dataOnly="0" labelOnly="1" outline="0" fieldPosition="0">
        <references count="6">
          <reference field="0" count="1" selected="0">
            <x v="1"/>
          </reference>
          <reference field="3" count="1" selected="0">
            <x v="3"/>
          </reference>
          <reference field="4" count="1" selected="0">
            <x v="72"/>
          </reference>
          <reference field="5" count="1">
            <x v="0"/>
          </reference>
          <reference field="8" count="1" selected="0">
            <x v="3"/>
          </reference>
          <reference field="9" count="1" selected="0">
            <x v="1"/>
          </reference>
        </references>
      </pivotArea>
    </format>
    <format dxfId="422">
      <pivotArea dataOnly="0" labelOnly="1" outline="0" fieldPosition="0">
        <references count="6">
          <reference field="0" count="1" selected="0">
            <x v="67"/>
          </reference>
          <reference field="3" count="1" selected="0">
            <x v="5"/>
          </reference>
          <reference field="4" count="1" selected="0">
            <x v="70"/>
          </reference>
          <reference field="5" count="1">
            <x v="12"/>
          </reference>
          <reference field="8" count="1" selected="0">
            <x v="0"/>
          </reference>
          <reference field="9" count="1" selected="0">
            <x v="1"/>
          </reference>
        </references>
      </pivotArea>
    </format>
    <format dxfId="421">
      <pivotArea dataOnly="0" labelOnly="1" outline="0" fieldPosition="0">
        <references count="6">
          <reference field="0" count="1" selected="0">
            <x v="68"/>
          </reference>
          <reference field="3" count="1" selected="0">
            <x v="5"/>
          </reference>
          <reference field="4" count="1" selected="0">
            <x v="71"/>
          </reference>
          <reference field="5" count="1">
            <x v="10"/>
          </reference>
          <reference field="8" count="1" selected="0">
            <x v="0"/>
          </reference>
          <reference field="9" count="1" selected="0">
            <x v="1"/>
          </reference>
        </references>
      </pivotArea>
    </format>
    <format dxfId="420">
      <pivotArea dataOnly="0" labelOnly="1" outline="0" fieldPosition="0">
        <references count="6">
          <reference field="0" count="1" selected="0">
            <x v="69"/>
          </reference>
          <reference field="3" count="1" selected="0">
            <x v="5"/>
          </reference>
          <reference field="4" count="1" selected="0">
            <x v="34"/>
          </reference>
          <reference field="5" count="1">
            <x v="0"/>
          </reference>
          <reference field="8" count="1" selected="0">
            <x v="0"/>
          </reference>
          <reference field="9" count="1" selected="0">
            <x v="1"/>
          </reference>
        </references>
      </pivotArea>
    </format>
    <format dxfId="419">
      <pivotArea dataOnly="0" labelOnly="1" outline="0" fieldPosition="0">
        <references count="6">
          <reference field="0" count="1" selected="0">
            <x v="70"/>
          </reference>
          <reference field="3" count="1" selected="0">
            <x v="5"/>
          </reference>
          <reference field="4" count="1" selected="0">
            <x v="60"/>
          </reference>
          <reference field="5" count="1">
            <x v="7"/>
          </reference>
          <reference field="8" count="1" selected="0">
            <x v="0"/>
          </reference>
          <reference field="9" count="1" selected="0">
            <x v="1"/>
          </reference>
        </references>
      </pivotArea>
    </format>
    <format dxfId="418">
      <pivotArea dataOnly="0" labelOnly="1" outline="0" fieldPosition="0">
        <references count="6">
          <reference field="0" count="1" selected="0">
            <x v="71"/>
          </reference>
          <reference field="3" count="1" selected="0">
            <x v="5"/>
          </reference>
          <reference field="4" count="1" selected="0">
            <x v="49"/>
          </reference>
          <reference field="5" count="1">
            <x v="4"/>
          </reference>
          <reference field="8" count="1" selected="0">
            <x v="0"/>
          </reference>
          <reference field="9" count="1" selected="0">
            <x v="1"/>
          </reference>
        </references>
      </pivotArea>
    </format>
    <format dxfId="417">
      <pivotArea dataOnly="0" labelOnly="1" outline="0" fieldPosition="0">
        <references count="6">
          <reference field="0" count="1" selected="0">
            <x v="73"/>
          </reference>
          <reference field="3" count="1" selected="0">
            <x v="5"/>
          </reference>
          <reference field="4" count="1" selected="0">
            <x v="16"/>
          </reference>
          <reference field="5" count="1">
            <x v="1"/>
          </reference>
          <reference field="8" count="1" selected="0">
            <x v="0"/>
          </reference>
          <reference field="9" count="1" selected="0">
            <x v="1"/>
          </reference>
        </references>
      </pivotArea>
    </format>
    <format dxfId="416">
      <pivotArea dataOnly="0" labelOnly="1" outline="0" fieldPosition="0">
        <references count="6">
          <reference field="0" count="1" selected="0">
            <x v="74"/>
          </reference>
          <reference field="3" count="1" selected="0">
            <x v="5"/>
          </reference>
          <reference field="4" count="1" selected="0">
            <x v="66"/>
          </reference>
          <reference field="5" count="1">
            <x v="0"/>
          </reference>
          <reference field="8" count="1" selected="0">
            <x v="0"/>
          </reference>
          <reference field="9" count="1" selected="0">
            <x v="1"/>
          </reference>
        </references>
      </pivotArea>
    </format>
    <format dxfId="415">
      <pivotArea dataOnly="0" labelOnly="1" outline="0" fieldPosition="0">
        <references count="6">
          <reference field="0" count="1" selected="0">
            <x v="6"/>
          </reference>
          <reference field="3" count="1" selected="0">
            <x v="6"/>
          </reference>
          <reference field="4" count="1" selected="0">
            <x v="23"/>
          </reference>
          <reference field="5" count="1">
            <x v="3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414">
      <pivotArea dataOnly="0" labelOnly="1" outline="0" fieldPosition="0">
        <references count="6">
          <reference field="0" count="1" selected="0">
            <x v="57"/>
          </reference>
          <reference field="3" count="1" selected="0">
            <x v="7"/>
          </reference>
          <reference field="4" count="1" selected="0">
            <x v="73"/>
          </reference>
          <reference field="5" count="1">
            <x v="14"/>
          </reference>
          <reference field="8" count="1" selected="0">
            <x v="2"/>
          </reference>
          <reference field="9" count="1" selected="0">
            <x v="0"/>
          </reference>
        </references>
      </pivotArea>
    </format>
    <format dxfId="413">
      <pivotArea dataOnly="0" labelOnly="1" outline="0" fieldPosition="0">
        <references count="6">
          <reference field="0" count="1" selected="0">
            <x v="61"/>
          </reference>
          <reference field="3" count="1" selected="0">
            <x v="7"/>
          </reference>
          <reference field="4" count="1" selected="0">
            <x v="29"/>
          </reference>
          <reference field="5" count="1">
            <x v="2"/>
          </reference>
          <reference field="8" count="1" selected="0">
            <x v="2"/>
          </reference>
          <reference field="9" count="1" selected="0">
            <x v="0"/>
          </reference>
        </references>
      </pivotArea>
    </format>
    <format dxfId="412">
      <pivotArea dataOnly="0" labelOnly="1" outline="0" fieldPosition="0">
        <references count="6">
          <reference field="0" count="1" selected="0">
            <x v="62"/>
          </reference>
          <reference field="3" count="1" selected="0">
            <x v="7"/>
          </reference>
          <reference field="4" count="1" selected="0">
            <x v="57"/>
          </reference>
          <reference field="5" count="1">
            <x v="0"/>
          </reference>
          <reference field="8" count="1" selected="0">
            <x v="2"/>
          </reference>
          <reference field="9" count="1" selected="0">
            <x v="0"/>
          </reference>
        </references>
      </pivotArea>
    </format>
    <format dxfId="411">
      <pivotArea dataOnly="0" labelOnly="1" outline="0" fieldPosition="0">
        <references count="6">
          <reference field="0" count="1" selected="0">
            <x v="64"/>
          </reference>
          <reference field="3" count="1" selected="0">
            <x v="7"/>
          </reference>
          <reference field="4" count="1" selected="0">
            <x v="63"/>
          </reference>
          <reference field="5" count="1">
            <x v="6"/>
          </reference>
          <reference field="8" count="1" selected="0">
            <x v="2"/>
          </reference>
          <reference field="9" count="1" selected="0">
            <x v="0"/>
          </reference>
        </references>
      </pivotArea>
    </format>
    <format dxfId="410">
      <pivotArea dataOnly="0" labelOnly="1" outline="0" fieldPosition="0">
        <references count="6">
          <reference field="0" count="1" selected="0">
            <x v="66"/>
          </reference>
          <reference field="3" count="1" selected="0">
            <x v="7"/>
          </reference>
          <reference field="4" count="1" selected="0">
            <x v="69"/>
          </reference>
          <reference field="5" count="1">
            <x v="11"/>
          </reference>
          <reference field="8" count="1" selected="0">
            <x v="0"/>
          </reference>
          <reference field="9" count="1" selected="0">
            <x v="1"/>
          </reference>
        </references>
      </pivotArea>
    </format>
    <format dxfId="409">
      <pivotArea dataOnly="0" labelOnly="1" outline="0" fieldPosition="0">
        <references count="6">
          <reference field="0" count="1" selected="0">
            <x v="46"/>
          </reference>
          <reference field="3" count="1" selected="0">
            <x v="8"/>
          </reference>
          <reference field="4" count="1" selected="0">
            <x v="56"/>
          </reference>
          <reference field="5" count="1">
            <x v="0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408">
      <pivotArea dataOnly="0" labelOnly="1" outline="0" fieldPosition="0">
        <references count="7">
          <reference field="0" count="1" selected="0">
            <x v="47"/>
          </reference>
          <reference field="3" count="1" selected="0">
            <x v="0"/>
          </reference>
          <reference field="4" count="1" selected="0">
            <x v="55"/>
          </reference>
          <reference field="5" count="1" selected="0">
            <x v="0"/>
          </reference>
          <reference field="7" count="1">
            <x v="42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407">
      <pivotArea dataOnly="0" labelOnly="1" outline="0" fieldPosition="0">
        <references count="7">
          <reference field="0" count="1" selected="0">
            <x v="0"/>
          </reference>
          <reference field="3" count="1" selected="0">
            <x v="3"/>
          </reference>
          <reference field="4" count="1" selected="0">
            <x v="74"/>
          </reference>
          <reference field="5" count="1" selected="0">
            <x v="13"/>
          </reference>
          <reference field="7" count="1">
            <x v="55"/>
          </reference>
          <reference field="8" count="1" selected="0">
            <x v="3"/>
          </reference>
          <reference field="9" count="1" selected="0">
            <x v="1"/>
          </reference>
        </references>
      </pivotArea>
    </format>
    <format dxfId="406">
      <pivotArea dataOnly="0" labelOnly="1" outline="0" fieldPosition="0">
        <references count="7">
          <reference field="0" count="1" selected="0">
            <x v="2"/>
          </reference>
          <reference field="3" count="1" selected="0">
            <x v="3"/>
          </reference>
          <reference field="4" count="1" selected="0">
            <x v="36"/>
          </reference>
          <reference field="5" count="1" selected="0">
            <x v="0"/>
          </reference>
          <reference field="7" count="1">
            <x v="29"/>
          </reference>
          <reference field="8" count="1" selected="0">
            <x v="3"/>
          </reference>
          <reference field="9" count="1" selected="0">
            <x v="1"/>
          </reference>
        </references>
      </pivotArea>
    </format>
    <format dxfId="405">
      <pivotArea dataOnly="0" labelOnly="1" outline="0" fieldPosition="0">
        <references count="7">
          <reference field="0" count="1" selected="0">
            <x v="39"/>
          </reference>
          <reference field="3" count="1" selected="0">
            <x v="5"/>
          </reference>
          <reference field="4" count="1" selected="0">
            <x v="17"/>
          </reference>
          <reference field="5" count="1" selected="0">
            <x v="0"/>
          </reference>
          <reference field="7" count="1">
            <x v="0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404">
      <pivotArea dataOnly="0" labelOnly="1" outline="0" fieldPosition="0">
        <references count="7">
          <reference field="0" count="1" selected="0">
            <x v="42"/>
          </reference>
          <reference field="3" count="1" selected="0">
            <x v="5"/>
          </reference>
          <reference field="4" count="1" selected="0">
            <x v="5"/>
          </reference>
          <reference field="5" count="1" selected="0">
            <x v="0"/>
          </reference>
          <reference field="7" count="1">
            <x v="12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403">
      <pivotArea dataOnly="0" labelOnly="1" outline="0" fieldPosition="0">
        <references count="7">
          <reference field="0" count="1" selected="0">
            <x v="57"/>
          </reference>
          <reference field="3" count="1" selected="0">
            <x v="7"/>
          </reference>
          <reference field="4" count="1" selected="0">
            <x v="73"/>
          </reference>
          <reference field="5" count="1" selected="0">
            <x v="14"/>
          </reference>
          <reference field="7" count="1">
            <x v="54"/>
          </reference>
          <reference field="8" count="1" selected="0">
            <x v="2"/>
          </reference>
          <reference field="9" count="1" selected="0">
            <x v="0"/>
          </reference>
        </references>
      </pivotArea>
    </format>
    <format dxfId="402">
      <pivotArea dataOnly="0" labelOnly="1" outline="0" fieldPosition="0">
        <references count="6">
          <reference field="0" count="1" selected="0">
            <x v="4"/>
          </reference>
          <reference field="3" count="1" selected="0">
            <x v="0"/>
          </reference>
          <reference field="4" count="1" selected="0">
            <x v="0"/>
          </reference>
          <reference field="5" count="1">
            <x v="0"/>
          </reference>
          <reference field="8" count="1" selected="0">
            <x v="1"/>
          </reference>
          <reference field="9" count="1" selected="0">
            <x v="1"/>
          </reference>
        </references>
      </pivotArea>
    </format>
    <format dxfId="401">
      <pivotArea dataOnly="0" labelOnly="1" outline="0" fieldPosition="0">
        <references count="6">
          <reference field="0" count="1" selected="0">
            <x v="58"/>
          </reference>
          <reference field="3" count="1" selected="0">
            <x v="0"/>
          </reference>
          <reference field="4" count="1" selected="0">
            <x v="47"/>
          </reference>
          <reference field="5" count="1">
            <x v="5"/>
          </reference>
          <reference field="8" count="1" selected="0">
            <x v="2"/>
          </reference>
          <reference field="9" count="1" selected="0">
            <x v="1"/>
          </reference>
        </references>
      </pivotArea>
    </format>
    <format dxfId="400">
      <pivotArea dataOnly="0" labelOnly="1" outline="0" fieldPosition="0">
        <references count="6">
          <reference field="0" count="1" selected="0">
            <x v="47"/>
          </reference>
          <reference field="3" count="1" selected="0">
            <x v="0"/>
          </reference>
          <reference field="4" count="1" selected="0">
            <x v="55"/>
          </reference>
          <reference field="5" count="1">
            <x v="0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399">
      <pivotArea dataOnly="0" labelOnly="1" outline="0" fieldPosition="0">
        <references count="6">
          <reference field="0" count="1" selected="0">
            <x v="59"/>
          </reference>
          <reference field="3" count="1" selected="0">
            <x v="1"/>
          </reference>
          <reference field="4" count="1" selected="0">
            <x v="65"/>
          </reference>
          <reference field="5" count="1">
            <x v="8"/>
          </reference>
          <reference field="8" count="1" selected="0">
            <x v="2"/>
          </reference>
          <reference field="9" count="1" selected="0">
            <x v="1"/>
          </reference>
        </references>
      </pivotArea>
    </format>
    <format dxfId="398">
      <pivotArea dataOnly="0" labelOnly="1" outline="0" fieldPosition="0">
        <references count="6">
          <reference field="0" count="1" selected="0">
            <x v="60"/>
          </reference>
          <reference field="3" count="1" selected="0">
            <x v="1"/>
          </reference>
          <reference field="4" count="1" selected="0">
            <x v="67"/>
          </reference>
          <reference field="5" count="1">
            <x v="9"/>
          </reference>
          <reference field="8" count="1" selected="0">
            <x v="2"/>
          </reference>
          <reference field="9" count="1" selected="0">
            <x v="1"/>
          </reference>
        </references>
      </pivotArea>
    </format>
    <format dxfId="397">
      <pivotArea dataOnly="0" labelOnly="1" outline="0" fieldPosition="0">
        <references count="6">
          <reference field="0" count="1" selected="0">
            <x v="49"/>
          </reference>
          <reference field="3" count="1" selected="0">
            <x v="2"/>
          </reference>
          <reference field="4" count="1" selected="0">
            <x v="24"/>
          </reference>
          <reference field="5" count="1">
            <x v="0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396">
      <pivotArea dataOnly="0" labelOnly="1" outline="0" fieldPosition="0">
        <references count="6">
          <reference field="0" count="1" selected="0">
            <x v="0"/>
          </reference>
          <reference field="3" count="1" selected="0">
            <x v="3"/>
          </reference>
          <reference field="4" count="1" selected="0">
            <x v="74"/>
          </reference>
          <reference field="5" count="1">
            <x v="13"/>
          </reference>
          <reference field="8" count="1" selected="0">
            <x v="3"/>
          </reference>
          <reference field="9" count="1" selected="0">
            <x v="1"/>
          </reference>
        </references>
      </pivotArea>
    </format>
    <format dxfId="395">
      <pivotArea dataOnly="0" labelOnly="1" outline="0" fieldPosition="0">
        <references count="6">
          <reference field="0" count="1" selected="0">
            <x v="1"/>
          </reference>
          <reference field="3" count="1" selected="0">
            <x v="3"/>
          </reference>
          <reference field="4" count="1" selected="0">
            <x v="72"/>
          </reference>
          <reference field="5" count="1">
            <x v="0"/>
          </reference>
          <reference field="8" count="1" selected="0">
            <x v="3"/>
          </reference>
          <reference field="9" count="1" selected="0">
            <x v="1"/>
          </reference>
        </references>
      </pivotArea>
    </format>
    <format dxfId="394">
      <pivotArea dataOnly="0" labelOnly="1" outline="0" fieldPosition="0">
        <references count="6">
          <reference field="0" count="1" selected="0">
            <x v="67"/>
          </reference>
          <reference field="3" count="1" selected="0">
            <x v="5"/>
          </reference>
          <reference field="4" count="1" selected="0">
            <x v="70"/>
          </reference>
          <reference field="5" count="1">
            <x v="12"/>
          </reference>
          <reference field="8" count="1" selected="0">
            <x v="0"/>
          </reference>
          <reference field="9" count="1" selected="0">
            <x v="1"/>
          </reference>
        </references>
      </pivotArea>
    </format>
    <format dxfId="393">
      <pivotArea dataOnly="0" labelOnly="1" outline="0" fieldPosition="0">
        <references count="6">
          <reference field="0" count="1" selected="0">
            <x v="68"/>
          </reference>
          <reference field="3" count="1" selected="0">
            <x v="5"/>
          </reference>
          <reference field="4" count="1" selected="0">
            <x v="71"/>
          </reference>
          <reference field="5" count="1">
            <x v="10"/>
          </reference>
          <reference field="8" count="1" selected="0">
            <x v="0"/>
          </reference>
          <reference field="9" count="1" selected="0">
            <x v="1"/>
          </reference>
        </references>
      </pivotArea>
    </format>
    <format dxfId="392">
      <pivotArea dataOnly="0" labelOnly="1" outline="0" fieldPosition="0">
        <references count="6">
          <reference field="0" count="1" selected="0">
            <x v="69"/>
          </reference>
          <reference field="3" count="1" selected="0">
            <x v="5"/>
          </reference>
          <reference field="4" count="1" selected="0">
            <x v="34"/>
          </reference>
          <reference field="5" count="1">
            <x v="0"/>
          </reference>
          <reference field="8" count="1" selected="0">
            <x v="0"/>
          </reference>
          <reference field="9" count="1" selected="0">
            <x v="1"/>
          </reference>
        </references>
      </pivotArea>
    </format>
    <format dxfId="391">
      <pivotArea dataOnly="0" labelOnly="1" outline="0" fieldPosition="0">
        <references count="6">
          <reference field="0" count="1" selected="0">
            <x v="70"/>
          </reference>
          <reference field="3" count="1" selected="0">
            <x v="5"/>
          </reference>
          <reference field="4" count="1" selected="0">
            <x v="60"/>
          </reference>
          <reference field="5" count="1">
            <x v="7"/>
          </reference>
          <reference field="8" count="1" selected="0">
            <x v="0"/>
          </reference>
          <reference field="9" count="1" selected="0">
            <x v="1"/>
          </reference>
        </references>
      </pivotArea>
    </format>
    <format dxfId="390">
      <pivotArea dataOnly="0" labelOnly="1" outline="0" fieldPosition="0">
        <references count="6">
          <reference field="0" count="1" selected="0">
            <x v="71"/>
          </reference>
          <reference field="3" count="1" selected="0">
            <x v="5"/>
          </reference>
          <reference field="4" count="1" selected="0">
            <x v="49"/>
          </reference>
          <reference field="5" count="1">
            <x v="4"/>
          </reference>
          <reference field="8" count="1" selected="0">
            <x v="0"/>
          </reference>
          <reference field="9" count="1" selected="0">
            <x v="1"/>
          </reference>
        </references>
      </pivotArea>
    </format>
    <format dxfId="389">
      <pivotArea dataOnly="0" labelOnly="1" outline="0" fieldPosition="0">
        <references count="6">
          <reference field="0" count="1" selected="0">
            <x v="73"/>
          </reference>
          <reference field="3" count="1" selected="0">
            <x v="5"/>
          </reference>
          <reference field="4" count="1" selected="0">
            <x v="16"/>
          </reference>
          <reference field="5" count="1">
            <x v="1"/>
          </reference>
          <reference field="8" count="1" selected="0">
            <x v="0"/>
          </reference>
          <reference field="9" count="1" selected="0">
            <x v="1"/>
          </reference>
        </references>
      </pivotArea>
    </format>
    <format dxfId="388">
      <pivotArea dataOnly="0" labelOnly="1" outline="0" fieldPosition="0">
        <references count="6">
          <reference field="0" count="1" selected="0">
            <x v="74"/>
          </reference>
          <reference field="3" count="1" selected="0">
            <x v="5"/>
          </reference>
          <reference field="4" count="1" selected="0">
            <x v="66"/>
          </reference>
          <reference field="5" count="1">
            <x v="0"/>
          </reference>
          <reference field="8" count="1" selected="0">
            <x v="0"/>
          </reference>
          <reference field="9" count="1" selected="0">
            <x v="1"/>
          </reference>
        </references>
      </pivotArea>
    </format>
    <format dxfId="387">
      <pivotArea dataOnly="0" labelOnly="1" outline="0" fieldPosition="0">
        <references count="6">
          <reference field="0" count="1" selected="0">
            <x v="6"/>
          </reference>
          <reference field="3" count="1" selected="0">
            <x v="6"/>
          </reference>
          <reference field="4" count="1" selected="0">
            <x v="23"/>
          </reference>
          <reference field="5" count="1">
            <x v="3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386">
      <pivotArea dataOnly="0" labelOnly="1" outline="0" fieldPosition="0">
        <references count="6">
          <reference field="0" count="1" selected="0">
            <x v="57"/>
          </reference>
          <reference field="3" count="1" selected="0">
            <x v="7"/>
          </reference>
          <reference field="4" count="1" selected="0">
            <x v="73"/>
          </reference>
          <reference field="5" count="1">
            <x v="14"/>
          </reference>
          <reference field="8" count="1" selected="0">
            <x v="2"/>
          </reference>
          <reference field="9" count="1" selected="0">
            <x v="0"/>
          </reference>
        </references>
      </pivotArea>
    </format>
    <format dxfId="385">
      <pivotArea dataOnly="0" labelOnly="1" outline="0" fieldPosition="0">
        <references count="6">
          <reference field="0" count="1" selected="0">
            <x v="61"/>
          </reference>
          <reference field="3" count="1" selected="0">
            <x v="7"/>
          </reference>
          <reference field="4" count="1" selected="0">
            <x v="29"/>
          </reference>
          <reference field="5" count="1">
            <x v="2"/>
          </reference>
          <reference field="8" count="1" selected="0">
            <x v="2"/>
          </reference>
          <reference field="9" count="1" selected="0">
            <x v="0"/>
          </reference>
        </references>
      </pivotArea>
    </format>
    <format dxfId="384">
      <pivotArea dataOnly="0" labelOnly="1" outline="0" fieldPosition="0">
        <references count="6">
          <reference field="0" count="1" selected="0">
            <x v="62"/>
          </reference>
          <reference field="3" count="1" selected="0">
            <x v="7"/>
          </reference>
          <reference field="4" count="1" selected="0">
            <x v="57"/>
          </reference>
          <reference field="5" count="1">
            <x v="0"/>
          </reference>
          <reference field="8" count="1" selected="0">
            <x v="2"/>
          </reference>
          <reference field="9" count="1" selected="0">
            <x v="0"/>
          </reference>
        </references>
      </pivotArea>
    </format>
    <format dxfId="383">
      <pivotArea dataOnly="0" labelOnly="1" outline="0" fieldPosition="0">
        <references count="6">
          <reference field="0" count="1" selected="0">
            <x v="64"/>
          </reference>
          <reference field="3" count="1" selected="0">
            <x v="7"/>
          </reference>
          <reference field="4" count="1" selected="0">
            <x v="63"/>
          </reference>
          <reference field="5" count="1">
            <x v="6"/>
          </reference>
          <reference field="8" count="1" selected="0">
            <x v="2"/>
          </reference>
          <reference field="9" count="1" selected="0">
            <x v="0"/>
          </reference>
        </references>
      </pivotArea>
    </format>
    <format dxfId="382">
      <pivotArea dataOnly="0" labelOnly="1" outline="0" fieldPosition="0">
        <references count="6">
          <reference field="0" count="1" selected="0">
            <x v="66"/>
          </reference>
          <reference field="3" count="1" selected="0">
            <x v="7"/>
          </reference>
          <reference field="4" count="1" selected="0">
            <x v="69"/>
          </reference>
          <reference field="5" count="1">
            <x v="11"/>
          </reference>
          <reference field="8" count="1" selected="0">
            <x v="0"/>
          </reference>
          <reference field="9" count="1" selected="0">
            <x v="1"/>
          </reference>
        </references>
      </pivotArea>
    </format>
    <format dxfId="381">
      <pivotArea dataOnly="0" labelOnly="1" outline="0" fieldPosition="0">
        <references count="6">
          <reference field="0" count="1" selected="0">
            <x v="46"/>
          </reference>
          <reference field="3" count="1" selected="0">
            <x v="8"/>
          </reference>
          <reference field="4" count="1" selected="0">
            <x v="56"/>
          </reference>
          <reference field="5" count="1">
            <x v="0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380">
      <pivotArea outline="0" collapsedLevelsAreSubtotals="1" fieldPosition="0"/>
    </format>
    <format dxfId="379">
      <pivotArea outline="0" fieldPosition="0">
        <references count="2">
          <reference field="3" count="0" selected="0"/>
          <reference field="9" count="0" selected="0"/>
        </references>
      </pivotArea>
    </format>
    <format dxfId="378">
      <pivotArea dataOnly="0" labelOnly="1" outline="0" fieldPosition="0">
        <references count="5">
          <reference field="0" count="1" selected="0">
            <x v="4"/>
          </reference>
          <reference field="3" count="1" selected="0">
            <x v="0"/>
          </reference>
          <reference field="4" count="1">
            <x v="0"/>
          </reference>
          <reference field="8" count="1" selected="0">
            <x v="1"/>
          </reference>
          <reference field="9" count="1" selected="0">
            <x v="1"/>
          </reference>
        </references>
      </pivotArea>
    </format>
    <format dxfId="377">
      <pivotArea dataOnly="0" labelOnly="1" outline="0" fieldPosition="0">
        <references count="5">
          <reference field="0" count="1" selected="0">
            <x v="5"/>
          </reference>
          <reference field="3" count="1" selected="0">
            <x v="0"/>
          </reference>
          <reference field="4" count="1">
            <x v="1"/>
          </reference>
          <reference field="8" count="1" selected="0">
            <x v="1"/>
          </reference>
          <reference field="9" count="1" selected="0">
            <x v="1"/>
          </reference>
        </references>
      </pivotArea>
    </format>
    <format dxfId="376">
      <pivotArea dataOnly="0" labelOnly="1" outline="0" fieldPosition="0">
        <references count="5">
          <reference field="0" count="1" selected="0">
            <x v="58"/>
          </reference>
          <reference field="3" count="1" selected="0">
            <x v="0"/>
          </reference>
          <reference field="4" count="1">
            <x v="47"/>
          </reference>
          <reference field="8" count="1" selected="0">
            <x v="2"/>
          </reference>
          <reference field="9" count="1" selected="0">
            <x v="1"/>
          </reference>
        </references>
      </pivotArea>
    </format>
    <format dxfId="375">
      <pivotArea dataOnly="0" labelOnly="1" outline="0" fieldPosition="0">
        <references count="5">
          <reference field="0" count="1" selected="0">
            <x v="47"/>
          </reference>
          <reference field="3" count="1" selected="0">
            <x v="0"/>
          </reference>
          <reference field="4" count="1">
            <x v="55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374">
      <pivotArea dataOnly="0" labelOnly="1" outline="0" fieldPosition="0">
        <references count="5">
          <reference field="0" count="1" selected="0">
            <x v="59"/>
          </reference>
          <reference field="3" count="1" selected="0">
            <x v="1"/>
          </reference>
          <reference field="4" count="1">
            <x v="65"/>
          </reference>
          <reference field="8" count="1" selected="0">
            <x v="2"/>
          </reference>
          <reference field="9" count="1" selected="0">
            <x v="1"/>
          </reference>
        </references>
      </pivotArea>
    </format>
    <format dxfId="373">
      <pivotArea dataOnly="0" labelOnly="1" outline="0" fieldPosition="0">
        <references count="5">
          <reference field="0" count="1" selected="0">
            <x v="60"/>
          </reference>
          <reference field="3" count="1" selected="0">
            <x v="1"/>
          </reference>
          <reference field="4" count="1">
            <x v="67"/>
          </reference>
          <reference field="8" count="1" selected="0">
            <x v="2"/>
          </reference>
          <reference field="9" count="1" selected="0">
            <x v="1"/>
          </reference>
        </references>
      </pivotArea>
    </format>
    <format dxfId="372">
      <pivotArea dataOnly="0" labelOnly="1" outline="0" fieldPosition="0">
        <references count="5">
          <reference field="0" count="1" selected="0">
            <x v="49"/>
          </reference>
          <reference field="3" count="1" selected="0">
            <x v="2"/>
          </reference>
          <reference field="4" count="1">
            <x v="24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371">
      <pivotArea dataOnly="0" labelOnly="1" outline="0" fieldPosition="0">
        <references count="5">
          <reference field="0" count="1" selected="0">
            <x v="0"/>
          </reference>
          <reference field="3" count="1" selected="0">
            <x v="3"/>
          </reference>
          <reference field="4" count="1">
            <x v="74"/>
          </reference>
          <reference field="8" count="1" selected="0">
            <x v="3"/>
          </reference>
          <reference field="9" count="1" selected="0">
            <x v="1"/>
          </reference>
        </references>
      </pivotArea>
    </format>
    <format dxfId="370">
      <pivotArea dataOnly="0" labelOnly="1" outline="0" fieldPosition="0">
        <references count="5">
          <reference field="0" count="1" selected="0">
            <x v="1"/>
          </reference>
          <reference field="3" count="1" selected="0">
            <x v="3"/>
          </reference>
          <reference field="4" count="1">
            <x v="72"/>
          </reference>
          <reference field="8" count="1" selected="0">
            <x v="3"/>
          </reference>
          <reference field="9" count="1" selected="0">
            <x v="1"/>
          </reference>
        </references>
      </pivotArea>
    </format>
    <format dxfId="369">
      <pivotArea dataOnly="0" labelOnly="1" outline="0" fieldPosition="0">
        <references count="5">
          <reference field="0" count="1" selected="0">
            <x v="90"/>
          </reference>
          <reference field="3" count="1" selected="0">
            <x v="3"/>
          </reference>
          <reference field="4" count="1">
            <x v="36"/>
          </reference>
          <reference field="8" count="1" selected="0">
            <x v="3"/>
          </reference>
          <reference field="9" count="1" selected="0">
            <x v="1"/>
          </reference>
        </references>
      </pivotArea>
    </format>
    <format dxfId="368">
      <pivotArea dataOnly="0" labelOnly="1" outline="0" fieldPosition="0">
        <references count="5">
          <reference field="0" count="1" selected="0">
            <x v="45"/>
          </reference>
          <reference field="3" count="1" selected="0">
            <x v="4"/>
          </reference>
          <reference field="4" count="1">
            <x v="61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367">
      <pivotArea dataOnly="0" labelOnly="1" outline="0" fieldPosition="0">
        <references count="5">
          <reference field="0" count="1" selected="0">
            <x v="72"/>
          </reference>
          <reference field="3" count="1" selected="0">
            <x v="5"/>
          </reference>
          <reference field="4" count="1">
            <x v="51"/>
          </reference>
          <reference field="8" count="1" selected="0">
            <x v="0"/>
          </reference>
          <reference field="9" count="1" selected="0">
            <x v="0"/>
          </reference>
        </references>
      </pivotArea>
    </format>
    <format dxfId="366">
      <pivotArea dataOnly="0" labelOnly="1" outline="0" fieldPosition="0">
        <references count="5">
          <reference field="0" count="1" selected="0">
            <x v="67"/>
          </reference>
          <reference field="3" count="1" selected="0">
            <x v="5"/>
          </reference>
          <reference field="4" count="1">
            <x v="70"/>
          </reference>
          <reference field="8" count="1" selected="0">
            <x v="0"/>
          </reference>
          <reference field="9" count="1" selected="0">
            <x v="1"/>
          </reference>
        </references>
      </pivotArea>
    </format>
    <format dxfId="365">
      <pivotArea dataOnly="0" labelOnly="1" outline="0" fieldPosition="0">
        <references count="5">
          <reference field="0" count="1" selected="0">
            <x v="68"/>
          </reference>
          <reference field="3" count="1" selected="0">
            <x v="5"/>
          </reference>
          <reference field="4" count="1">
            <x v="71"/>
          </reference>
          <reference field="8" count="1" selected="0">
            <x v="0"/>
          </reference>
          <reference field="9" count="1" selected="0">
            <x v="1"/>
          </reference>
        </references>
      </pivotArea>
    </format>
    <format dxfId="364">
      <pivotArea dataOnly="0" labelOnly="1" outline="0" fieldPosition="0">
        <references count="5">
          <reference field="0" count="1" selected="0">
            <x v="69"/>
          </reference>
          <reference field="3" count="1" selected="0">
            <x v="5"/>
          </reference>
          <reference field="4" count="1">
            <x v="34"/>
          </reference>
          <reference field="8" count="1" selected="0">
            <x v="0"/>
          </reference>
          <reference field="9" count="1" selected="0">
            <x v="1"/>
          </reference>
        </references>
      </pivotArea>
    </format>
    <format dxfId="363">
      <pivotArea dataOnly="0" labelOnly="1" outline="0" fieldPosition="0">
        <references count="5">
          <reference field="0" count="1" selected="0">
            <x v="70"/>
          </reference>
          <reference field="3" count="1" selected="0">
            <x v="5"/>
          </reference>
          <reference field="4" count="1">
            <x v="60"/>
          </reference>
          <reference field="8" count="1" selected="0">
            <x v="0"/>
          </reference>
          <reference field="9" count="1" selected="0">
            <x v="1"/>
          </reference>
        </references>
      </pivotArea>
    </format>
    <format dxfId="362">
      <pivotArea dataOnly="0" labelOnly="1" outline="0" fieldPosition="0">
        <references count="5">
          <reference field="0" count="1" selected="0">
            <x v="71"/>
          </reference>
          <reference field="3" count="1" selected="0">
            <x v="5"/>
          </reference>
          <reference field="4" count="1">
            <x v="49"/>
          </reference>
          <reference field="8" count="1" selected="0">
            <x v="0"/>
          </reference>
          <reference field="9" count="1" selected="0">
            <x v="1"/>
          </reference>
        </references>
      </pivotArea>
    </format>
    <format dxfId="361">
      <pivotArea dataOnly="0" labelOnly="1" outline="0" fieldPosition="0">
        <references count="5">
          <reference field="0" count="1" selected="0">
            <x v="73"/>
          </reference>
          <reference field="3" count="1" selected="0">
            <x v="5"/>
          </reference>
          <reference field="4" count="1">
            <x v="16"/>
          </reference>
          <reference field="8" count="1" selected="0">
            <x v="0"/>
          </reference>
          <reference field="9" count="1" selected="0">
            <x v="1"/>
          </reference>
        </references>
      </pivotArea>
    </format>
    <format dxfId="360">
      <pivotArea dataOnly="0" labelOnly="1" outline="0" fieldPosition="0">
        <references count="5">
          <reference field="0" count="1" selected="0">
            <x v="74"/>
          </reference>
          <reference field="3" count="1" selected="0">
            <x v="5"/>
          </reference>
          <reference field="4" count="1">
            <x v="66"/>
          </reference>
          <reference field="8" count="1" selected="0">
            <x v="0"/>
          </reference>
          <reference field="9" count="1" selected="0">
            <x v="1"/>
          </reference>
        </references>
      </pivotArea>
    </format>
    <format dxfId="359">
      <pivotArea dataOnly="0" labelOnly="1" outline="0" fieldPosition="0">
        <references count="5">
          <reference field="0" count="1" selected="0">
            <x v="75"/>
          </reference>
          <reference field="3" count="1" selected="0">
            <x v="5"/>
          </reference>
          <reference field="4" count="1">
            <x v="58"/>
          </reference>
          <reference field="8" count="1" selected="0">
            <x v="0"/>
          </reference>
          <reference field="9" count="1" selected="0">
            <x v="1"/>
          </reference>
        </references>
      </pivotArea>
    </format>
    <format dxfId="358">
      <pivotArea dataOnly="0" labelOnly="1" outline="0" fieldPosition="0">
        <references count="5">
          <reference field="0" count="1" selected="0">
            <x v="76"/>
          </reference>
          <reference field="3" count="1" selected="0">
            <x v="5"/>
          </reference>
          <reference field="4" count="1">
            <x v="50"/>
          </reference>
          <reference field="8" count="1" selected="0">
            <x v="0"/>
          </reference>
          <reference field="9" count="1" selected="0">
            <x v="1"/>
          </reference>
        </references>
      </pivotArea>
    </format>
    <format dxfId="357">
      <pivotArea dataOnly="0" labelOnly="1" outline="0" fieldPosition="0">
        <references count="5">
          <reference field="0" count="1" selected="0">
            <x v="77"/>
          </reference>
          <reference field="3" count="1" selected="0">
            <x v="5"/>
          </reference>
          <reference field="4" count="1">
            <x v="41"/>
          </reference>
          <reference field="8" count="1" selected="0">
            <x v="0"/>
          </reference>
          <reference field="9" count="1" selected="0">
            <x v="1"/>
          </reference>
        </references>
      </pivotArea>
    </format>
    <format dxfId="356">
      <pivotArea dataOnly="0" labelOnly="1" outline="0" fieldPosition="0">
        <references count="5">
          <reference field="0" count="1" selected="0">
            <x v="78"/>
          </reference>
          <reference field="3" count="1" selected="0">
            <x v="5"/>
          </reference>
          <reference field="4" count="1">
            <x v="21"/>
          </reference>
          <reference field="8" count="1" selected="0">
            <x v="0"/>
          </reference>
          <reference field="9" count="1" selected="0">
            <x v="1"/>
          </reference>
        </references>
      </pivotArea>
    </format>
    <format dxfId="355">
      <pivotArea dataOnly="0" labelOnly="1" outline="0" fieldPosition="0">
        <references count="5">
          <reference field="0" count="1" selected="0">
            <x v="79"/>
          </reference>
          <reference field="3" count="1" selected="0">
            <x v="5"/>
          </reference>
          <reference field="4" count="1">
            <x v="10"/>
          </reference>
          <reference field="8" count="1" selected="0">
            <x v="0"/>
          </reference>
          <reference field="9" count="1" selected="0">
            <x v="1"/>
          </reference>
        </references>
      </pivotArea>
    </format>
    <format dxfId="354">
      <pivotArea dataOnly="0" labelOnly="1" outline="0" fieldPosition="0">
        <references count="5">
          <reference field="0" count="1" selected="0">
            <x v="80"/>
          </reference>
          <reference field="3" count="1" selected="0">
            <x v="5"/>
          </reference>
          <reference field="4" count="1">
            <x v="2"/>
          </reference>
          <reference field="8" count="1" selected="0">
            <x v="0"/>
          </reference>
          <reference field="9" count="1" selected="0">
            <x v="1"/>
          </reference>
        </references>
      </pivotArea>
    </format>
    <format dxfId="353">
      <pivotArea dataOnly="0" labelOnly="1" outline="0" fieldPosition="0">
        <references count="5">
          <reference field="0" count="1" selected="0">
            <x v="81"/>
          </reference>
          <reference field="3" count="1" selected="0">
            <x v="5"/>
          </reference>
          <reference field="4" count="1">
            <x v="3"/>
          </reference>
          <reference field="8" count="1" selected="0">
            <x v="0"/>
          </reference>
          <reference field="9" count="1" selected="0">
            <x v="1"/>
          </reference>
        </references>
      </pivotArea>
    </format>
    <format dxfId="352">
      <pivotArea dataOnly="0" labelOnly="1" outline="0" fieldPosition="0">
        <references count="5">
          <reference field="0" count="1" selected="0">
            <x v="82"/>
          </reference>
          <reference field="3" count="1" selected="0">
            <x v="5"/>
          </reference>
          <reference field="4" count="1">
            <x v="24"/>
          </reference>
          <reference field="8" count="1" selected="0">
            <x v="0"/>
          </reference>
          <reference field="9" count="1" selected="0">
            <x v="1"/>
          </reference>
        </references>
      </pivotArea>
    </format>
    <format dxfId="351">
      <pivotArea dataOnly="0" labelOnly="1" outline="0" fieldPosition="0">
        <references count="5">
          <reference field="0" count="1" selected="0">
            <x v="83"/>
          </reference>
          <reference field="3" count="1" selected="0">
            <x v="5"/>
          </reference>
          <reference field="4" count="1">
            <x v="45"/>
          </reference>
          <reference field="8" count="1" selected="0">
            <x v="0"/>
          </reference>
          <reference field="9" count="1" selected="0">
            <x v="1"/>
          </reference>
        </references>
      </pivotArea>
    </format>
    <format dxfId="350">
      <pivotArea dataOnly="0" labelOnly="1" outline="0" fieldPosition="0">
        <references count="5">
          <reference field="0" count="1" selected="0">
            <x v="84"/>
          </reference>
          <reference field="3" count="1" selected="0">
            <x v="5"/>
          </reference>
          <reference field="4" count="1">
            <x v="18"/>
          </reference>
          <reference field="8" count="1" selected="0">
            <x v="0"/>
          </reference>
          <reference field="9" count="1" selected="0">
            <x v="1"/>
          </reference>
        </references>
      </pivotArea>
    </format>
    <format dxfId="349">
      <pivotArea dataOnly="0" labelOnly="1" outline="0" fieldPosition="0">
        <references count="5">
          <reference field="0" count="1" selected="0">
            <x v="85"/>
          </reference>
          <reference field="3" count="1" selected="0">
            <x v="5"/>
          </reference>
          <reference field="4" count="1">
            <x v="21"/>
          </reference>
          <reference field="8" count="1" selected="0">
            <x v="0"/>
          </reference>
          <reference field="9" count="1" selected="0">
            <x v="1"/>
          </reference>
        </references>
      </pivotArea>
    </format>
    <format dxfId="348">
      <pivotArea dataOnly="0" labelOnly="1" outline="0" fieldPosition="0">
        <references count="5">
          <reference field="0" count="1" selected="0">
            <x v="86"/>
          </reference>
          <reference field="3" count="1" selected="0">
            <x v="5"/>
          </reference>
          <reference field="4" count="1">
            <x v="24"/>
          </reference>
          <reference field="8" count="1" selected="0">
            <x v="0"/>
          </reference>
          <reference field="9" count="1" selected="0">
            <x v="1"/>
          </reference>
        </references>
      </pivotArea>
    </format>
    <format dxfId="347">
      <pivotArea dataOnly="0" labelOnly="1" outline="0" fieldPosition="0">
        <references count="5">
          <reference field="0" count="1" selected="0">
            <x v="87"/>
          </reference>
          <reference field="3" count="1" selected="0">
            <x v="5"/>
          </reference>
          <reference field="4" count="1">
            <x v="41"/>
          </reference>
          <reference field="8" count="1" selected="0">
            <x v="0"/>
          </reference>
          <reference field="9" count="1" selected="0">
            <x v="1"/>
          </reference>
        </references>
      </pivotArea>
    </format>
    <format dxfId="346">
      <pivotArea dataOnly="0" labelOnly="1" outline="0" fieldPosition="0">
        <references count="5">
          <reference field="0" count="1" selected="0">
            <x v="88"/>
          </reference>
          <reference field="3" count="1" selected="0">
            <x v="5"/>
          </reference>
          <reference field="4" count="1">
            <x v="53"/>
          </reference>
          <reference field="8" count="1" selected="0">
            <x v="0"/>
          </reference>
          <reference field="9" count="1" selected="0">
            <x v="1"/>
          </reference>
        </references>
      </pivotArea>
    </format>
    <format dxfId="345">
      <pivotArea dataOnly="0" labelOnly="1" outline="0" fieldPosition="0">
        <references count="5">
          <reference field="0" count="1" selected="0">
            <x v="8"/>
          </reference>
          <reference field="3" count="1" selected="0">
            <x v="5"/>
          </reference>
          <reference field="4" count="1">
            <x v="8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344">
      <pivotArea dataOnly="0" labelOnly="1" outline="0" fieldPosition="0">
        <references count="5">
          <reference field="0" count="1" selected="0">
            <x v="9"/>
          </reference>
          <reference field="3" count="1" selected="0">
            <x v="5"/>
          </reference>
          <reference field="4" count="1">
            <x v="30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343">
      <pivotArea dataOnly="0" labelOnly="1" outline="0" fieldPosition="0">
        <references count="5">
          <reference field="0" count="1" selected="0">
            <x v="10"/>
          </reference>
          <reference field="3" count="1" selected="0">
            <x v="5"/>
          </reference>
          <reference field="4" count="1">
            <x v="11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342">
      <pivotArea dataOnly="0" labelOnly="1" outline="0" fieldPosition="0">
        <references count="5">
          <reference field="0" count="1" selected="0">
            <x v="11"/>
          </reference>
          <reference field="3" count="1" selected="0">
            <x v="5"/>
          </reference>
          <reference field="4" count="1">
            <x v="8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341">
      <pivotArea dataOnly="0" labelOnly="1" outline="0" fieldPosition="0">
        <references count="5">
          <reference field="0" count="1" selected="0">
            <x v="12"/>
          </reference>
          <reference field="3" count="1" selected="0">
            <x v="5"/>
          </reference>
          <reference field="4" count="1">
            <x v="46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340">
      <pivotArea dataOnly="0" labelOnly="1" outline="0" fieldPosition="0">
        <references count="5">
          <reference field="0" count="1" selected="0">
            <x v="13"/>
          </reference>
          <reference field="3" count="1" selected="0">
            <x v="5"/>
          </reference>
          <reference field="4" count="1">
            <x v="44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339">
      <pivotArea dataOnly="0" labelOnly="1" outline="0" fieldPosition="0">
        <references count="5">
          <reference field="0" count="1" selected="0">
            <x v="14"/>
          </reference>
          <reference field="3" count="1" selected="0">
            <x v="5"/>
          </reference>
          <reference field="4" count="1">
            <x v="37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338">
      <pivotArea dataOnly="0" labelOnly="1" outline="0" fieldPosition="0">
        <references count="5">
          <reference field="0" count="1" selected="0">
            <x v="15"/>
          </reference>
          <reference field="3" count="1" selected="0">
            <x v="5"/>
          </reference>
          <reference field="4" count="1">
            <x v="39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337">
      <pivotArea dataOnly="0" labelOnly="1" outline="0" fieldPosition="0">
        <references count="5">
          <reference field="0" count="1" selected="0">
            <x v="16"/>
          </reference>
          <reference field="3" count="1" selected="0">
            <x v="5"/>
          </reference>
          <reference field="4" count="1">
            <x v="48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336">
      <pivotArea dataOnly="0" labelOnly="1" outline="0" fieldPosition="0">
        <references count="5">
          <reference field="0" count="1" selected="0">
            <x v="17"/>
          </reference>
          <reference field="3" count="1" selected="0">
            <x v="5"/>
          </reference>
          <reference field="4" count="1">
            <x v="19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335">
      <pivotArea dataOnly="0" labelOnly="1" outline="0" fieldPosition="0">
        <references count="5">
          <reference field="0" count="1" selected="0">
            <x v="18"/>
          </reference>
          <reference field="3" count="1" selected="0">
            <x v="5"/>
          </reference>
          <reference field="4" count="1">
            <x v="6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334">
      <pivotArea dataOnly="0" labelOnly="1" outline="0" fieldPosition="0">
        <references count="5">
          <reference field="0" count="1" selected="0">
            <x v="19"/>
          </reference>
          <reference field="3" count="1" selected="0">
            <x v="5"/>
          </reference>
          <reference field="4" count="1">
            <x v="12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333">
      <pivotArea dataOnly="0" labelOnly="1" outline="0" fieldPosition="0">
        <references count="5">
          <reference field="0" count="1" selected="0">
            <x v="20"/>
          </reference>
          <reference field="3" count="1" selected="0">
            <x v="5"/>
          </reference>
          <reference field="4" count="1">
            <x v="15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332">
      <pivotArea dataOnly="0" labelOnly="1" outline="0" fieldPosition="0">
        <references count="5">
          <reference field="0" count="1" selected="0">
            <x v="21"/>
          </reference>
          <reference field="3" count="1" selected="0">
            <x v="5"/>
          </reference>
          <reference field="4" count="1">
            <x v="35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331">
      <pivotArea dataOnly="0" labelOnly="1" outline="0" fieldPosition="0">
        <references count="5">
          <reference field="0" count="1" selected="0">
            <x v="22"/>
          </reference>
          <reference field="3" count="1" selected="0">
            <x v="5"/>
          </reference>
          <reference field="4" count="1">
            <x v="31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330">
      <pivotArea dataOnly="0" labelOnly="1" outline="0" fieldPosition="0">
        <references count="5">
          <reference field="0" count="1" selected="0">
            <x v="23"/>
          </reference>
          <reference field="3" count="1" selected="0">
            <x v="5"/>
          </reference>
          <reference field="4" count="1">
            <x v="41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329">
      <pivotArea dataOnly="0" labelOnly="1" outline="0" fieldPosition="0">
        <references count="5">
          <reference field="0" count="1" selected="0">
            <x v="24"/>
          </reference>
          <reference field="3" count="1" selected="0">
            <x v="5"/>
          </reference>
          <reference field="4" count="1">
            <x v="4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328">
      <pivotArea dataOnly="0" labelOnly="1" outline="0" fieldPosition="0">
        <references count="5">
          <reference field="0" count="1" selected="0">
            <x v="25"/>
          </reference>
          <reference field="3" count="1" selected="0">
            <x v="5"/>
          </reference>
          <reference field="4" count="1">
            <x v="54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327">
      <pivotArea dataOnly="0" labelOnly="1" outline="0" fieldPosition="0">
        <references count="5">
          <reference field="0" count="1" selected="0">
            <x v="26"/>
          </reference>
          <reference field="3" count="1" selected="0">
            <x v="5"/>
          </reference>
          <reference field="4" count="1">
            <x v="24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326">
      <pivotArea dataOnly="0" labelOnly="1" outline="0" fieldPosition="0">
        <references count="5">
          <reference field="0" count="1" selected="0">
            <x v="27"/>
          </reference>
          <reference field="3" count="1" selected="0">
            <x v="5"/>
          </reference>
          <reference field="4" count="1">
            <x v="41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325">
      <pivotArea dataOnly="0" labelOnly="1" outline="0" fieldPosition="0">
        <references count="5">
          <reference field="0" count="1" selected="0">
            <x v="28"/>
          </reference>
          <reference field="3" count="1" selected="0">
            <x v="5"/>
          </reference>
          <reference field="4" count="1">
            <x v="9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324">
      <pivotArea dataOnly="0" labelOnly="1" outline="0" fieldPosition="0">
        <references count="5">
          <reference field="0" count="1" selected="0">
            <x v="29"/>
          </reference>
          <reference field="3" count="1" selected="0">
            <x v="5"/>
          </reference>
          <reference field="4" count="1">
            <x v="27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323">
      <pivotArea dataOnly="0" labelOnly="1" outline="0" fieldPosition="0">
        <references count="5">
          <reference field="0" count="1" selected="0">
            <x v="30"/>
          </reference>
          <reference field="3" count="1" selected="0">
            <x v="5"/>
          </reference>
          <reference field="4" count="1">
            <x v="8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322">
      <pivotArea dataOnly="0" labelOnly="1" outline="0" fieldPosition="0">
        <references count="5">
          <reference field="0" count="1" selected="0">
            <x v="31"/>
          </reference>
          <reference field="3" count="1" selected="0">
            <x v="5"/>
          </reference>
          <reference field="4" count="1">
            <x v="42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321">
      <pivotArea dataOnly="0" labelOnly="1" outline="0" fieldPosition="0">
        <references count="5">
          <reference field="0" count="1" selected="0">
            <x v="32"/>
          </reference>
          <reference field="3" count="1" selected="0">
            <x v="5"/>
          </reference>
          <reference field="4" count="1">
            <x v="28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320">
      <pivotArea dataOnly="0" labelOnly="1" outline="0" fieldPosition="0">
        <references count="5">
          <reference field="0" count="1" selected="0">
            <x v="33"/>
          </reference>
          <reference field="3" count="1" selected="0">
            <x v="5"/>
          </reference>
          <reference field="4" count="1">
            <x v="32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319">
      <pivotArea dataOnly="0" labelOnly="1" outline="0" fieldPosition="0">
        <references count="5">
          <reference field="0" count="1" selected="0">
            <x v="34"/>
          </reference>
          <reference field="3" count="1" selected="0">
            <x v="5"/>
          </reference>
          <reference field="4" count="1">
            <x v="41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318">
      <pivotArea dataOnly="0" labelOnly="1" outline="0" fieldPosition="0">
        <references count="5">
          <reference field="0" count="1" selected="0">
            <x v="35"/>
          </reference>
          <reference field="3" count="1" selected="0">
            <x v="5"/>
          </reference>
          <reference field="4" count="1">
            <x v="33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317">
      <pivotArea dataOnly="0" labelOnly="1" outline="0" fieldPosition="0">
        <references count="5">
          <reference field="0" count="1" selected="0">
            <x v="36"/>
          </reference>
          <reference field="3" count="1" selected="0">
            <x v="5"/>
          </reference>
          <reference field="4" count="1">
            <x v="24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316">
      <pivotArea dataOnly="0" labelOnly="1" outline="0" fieldPosition="0">
        <references count="5">
          <reference field="0" count="1" selected="0">
            <x v="37"/>
          </reference>
          <reference field="3" count="1" selected="0">
            <x v="5"/>
          </reference>
          <reference field="4" count="1">
            <x v="14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315">
      <pivotArea dataOnly="0" labelOnly="1" outline="0" fieldPosition="0">
        <references count="5">
          <reference field="0" count="1" selected="0">
            <x v="38"/>
          </reference>
          <reference field="3" count="1" selected="0">
            <x v="5"/>
          </reference>
          <reference field="4" count="1">
            <x v="13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314">
      <pivotArea dataOnly="0" labelOnly="1" outline="0" fieldPosition="0">
        <references count="5">
          <reference field="0" count="1" selected="0">
            <x v="39"/>
          </reference>
          <reference field="3" count="1" selected="0">
            <x v="5"/>
          </reference>
          <reference field="4" count="1">
            <x v="17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313">
      <pivotArea dataOnly="0" labelOnly="1" outline="0" fieldPosition="0">
        <references count="5">
          <reference field="0" count="1" selected="0">
            <x v="40"/>
          </reference>
          <reference field="3" count="1" selected="0">
            <x v="5"/>
          </reference>
          <reference field="4" count="1">
            <x v="26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312">
      <pivotArea dataOnly="0" labelOnly="1" outline="0" fieldPosition="0">
        <references count="5">
          <reference field="0" count="1" selected="0">
            <x v="41"/>
          </reference>
          <reference field="3" count="1" selected="0">
            <x v="5"/>
          </reference>
          <reference field="4" count="1">
            <x v="20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311">
      <pivotArea dataOnly="0" labelOnly="1" outline="0" fieldPosition="0">
        <references count="5">
          <reference field="0" count="1" selected="0">
            <x v="42"/>
          </reference>
          <reference field="3" count="1" selected="0">
            <x v="5"/>
          </reference>
          <reference field="4" count="1">
            <x v="5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310">
      <pivotArea dataOnly="0" labelOnly="1" outline="0" fieldPosition="0">
        <references count="5">
          <reference field="0" count="1" selected="0">
            <x v="43"/>
          </reference>
          <reference field="3" count="1" selected="0">
            <x v="5"/>
          </reference>
          <reference field="4" count="1">
            <x v="7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309">
      <pivotArea dataOnly="0" labelOnly="1" outline="0" fieldPosition="0">
        <references count="5">
          <reference field="0" count="1" selected="0">
            <x v="44"/>
          </reference>
          <reference field="3" count="1" selected="0">
            <x v="5"/>
          </reference>
          <reference field="4" count="1">
            <x v="8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308">
      <pivotArea dataOnly="0" labelOnly="1" outline="0" fieldPosition="0">
        <references count="5">
          <reference field="0" count="1" selected="0">
            <x v="48"/>
          </reference>
          <reference field="3" count="1" selected="0">
            <x v="5"/>
          </reference>
          <reference field="4" count="1">
            <x v="59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307">
      <pivotArea dataOnly="0" labelOnly="1" outline="0" fieldPosition="0">
        <references count="5">
          <reference field="0" count="1" selected="0">
            <x v="51"/>
          </reference>
          <reference field="3" count="1" selected="0">
            <x v="5"/>
          </reference>
          <reference field="4" count="1">
            <x v="43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306">
      <pivotArea dataOnly="0" labelOnly="1" outline="0" fieldPosition="0">
        <references count="5">
          <reference field="0" count="1" selected="0">
            <x v="52"/>
          </reference>
          <reference field="3" count="1" selected="0">
            <x v="5"/>
          </reference>
          <reference field="4" count="1">
            <x v="52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305">
      <pivotArea dataOnly="0" labelOnly="1" outline="0" fieldPosition="0">
        <references count="5">
          <reference field="0" count="1" selected="0">
            <x v="53"/>
          </reference>
          <reference field="3" count="1" selected="0">
            <x v="5"/>
          </reference>
          <reference field="4" count="1">
            <x v="40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304">
      <pivotArea dataOnly="0" labelOnly="1" outline="0" fieldPosition="0">
        <references count="5">
          <reference field="0" count="1" selected="0">
            <x v="54"/>
          </reference>
          <reference field="3" count="1" selected="0">
            <x v="5"/>
          </reference>
          <reference field="4" count="1">
            <x v="59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303">
      <pivotArea dataOnly="0" labelOnly="1" outline="0" fieldPosition="0">
        <references count="5">
          <reference field="0" count="1" selected="0">
            <x v="55"/>
          </reference>
          <reference field="3" count="1" selected="0">
            <x v="5"/>
          </reference>
          <reference field="4" count="1">
            <x v="25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302">
      <pivotArea dataOnly="0" labelOnly="1" outline="0" fieldPosition="0">
        <references count="5">
          <reference field="0" count="1" selected="0">
            <x v="56"/>
          </reference>
          <reference field="3" count="1" selected="0">
            <x v="5"/>
          </reference>
          <reference field="4" count="1">
            <x v="22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301">
      <pivotArea dataOnly="0" labelOnly="1" outline="0" fieldPosition="0">
        <references count="5">
          <reference field="0" count="1" selected="0">
            <x v="91"/>
          </reference>
          <reference field="3" count="1" selected="0">
            <x v="5"/>
          </reference>
          <reference field="4" count="1">
            <x v="24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300">
      <pivotArea dataOnly="0" labelOnly="1" outline="0" fieldPosition="0">
        <references count="5">
          <reference field="0" count="1" selected="0">
            <x v="93"/>
          </reference>
          <reference field="3" count="1" selected="0">
            <x v="5"/>
          </reference>
          <reference field="4" count="1">
            <x v="32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299">
      <pivotArea dataOnly="0" labelOnly="1" outline="0" fieldPosition="0">
        <references count="5">
          <reference field="0" count="1" selected="0">
            <x v="94"/>
          </reference>
          <reference field="3" count="1" selected="0">
            <x v="5"/>
          </reference>
          <reference field="4" count="1">
            <x v="76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298">
      <pivotArea dataOnly="0" labelOnly="1" outline="0" fieldPosition="0">
        <references count="5">
          <reference field="0" count="1" selected="0">
            <x v="6"/>
          </reference>
          <reference field="3" count="1" selected="0">
            <x v="6"/>
          </reference>
          <reference field="4" count="1">
            <x v="23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297">
      <pivotArea dataOnly="0" labelOnly="1" outline="0" fieldPosition="0">
        <references count="5">
          <reference field="0" count="1" selected="0">
            <x v="57"/>
          </reference>
          <reference field="3" count="1" selected="0">
            <x v="7"/>
          </reference>
          <reference field="4" count="1">
            <x v="73"/>
          </reference>
          <reference field="8" count="1" selected="0">
            <x v="2"/>
          </reference>
          <reference field="9" count="1" selected="0">
            <x v="0"/>
          </reference>
        </references>
      </pivotArea>
    </format>
    <format dxfId="296">
      <pivotArea dataOnly="0" labelOnly="1" outline="0" fieldPosition="0">
        <references count="5">
          <reference field="0" count="1" selected="0">
            <x v="61"/>
          </reference>
          <reference field="3" count="1" selected="0">
            <x v="7"/>
          </reference>
          <reference field="4" count="1">
            <x v="29"/>
          </reference>
          <reference field="8" count="1" selected="0">
            <x v="2"/>
          </reference>
          <reference field="9" count="1" selected="0">
            <x v="0"/>
          </reference>
        </references>
      </pivotArea>
    </format>
    <format dxfId="295">
      <pivotArea dataOnly="0" labelOnly="1" outline="0" fieldPosition="0">
        <references count="5">
          <reference field="0" count="1" selected="0">
            <x v="62"/>
          </reference>
          <reference field="3" count="1" selected="0">
            <x v="7"/>
          </reference>
          <reference field="4" count="1">
            <x v="57"/>
          </reference>
          <reference field="8" count="1" selected="0">
            <x v="2"/>
          </reference>
          <reference field="9" count="1" selected="0">
            <x v="0"/>
          </reference>
        </references>
      </pivotArea>
    </format>
    <format dxfId="294">
      <pivotArea dataOnly="0" labelOnly="1" outline="0" fieldPosition="0">
        <references count="5">
          <reference field="0" count="1" selected="0">
            <x v="63"/>
          </reference>
          <reference field="3" count="1" selected="0">
            <x v="7"/>
          </reference>
          <reference field="4" count="1">
            <x v="68"/>
          </reference>
          <reference field="8" count="1" selected="0">
            <x v="2"/>
          </reference>
          <reference field="9" count="1" selected="0">
            <x v="0"/>
          </reference>
        </references>
      </pivotArea>
    </format>
    <format dxfId="293">
      <pivotArea dataOnly="0" labelOnly="1" outline="0" fieldPosition="0">
        <references count="5">
          <reference field="0" count="1" selected="0">
            <x v="64"/>
          </reference>
          <reference field="3" count="1" selected="0">
            <x v="7"/>
          </reference>
          <reference field="4" count="1">
            <x v="63"/>
          </reference>
          <reference field="8" count="1" selected="0">
            <x v="2"/>
          </reference>
          <reference field="9" count="1" selected="0">
            <x v="0"/>
          </reference>
        </references>
      </pivotArea>
    </format>
    <format dxfId="292">
      <pivotArea dataOnly="0" labelOnly="1" outline="0" fieldPosition="0">
        <references count="5">
          <reference field="0" count="1" selected="0">
            <x v="66"/>
          </reference>
          <reference field="3" count="1" selected="0">
            <x v="7"/>
          </reference>
          <reference field="4" count="1">
            <x v="69"/>
          </reference>
          <reference field="8" count="1" selected="0">
            <x v="0"/>
          </reference>
          <reference field="9" count="1" selected="0">
            <x v="1"/>
          </reference>
        </references>
      </pivotArea>
    </format>
    <format dxfId="291">
      <pivotArea dataOnly="0" labelOnly="1" outline="0" fieldPosition="0">
        <references count="5">
          <reference field="0" count="1" selected="0">
            <x v="46"/>
          </reference>
          <reference field="3" count="1" selected="0">
            <x v="8"/>
          </reference>
          <reference field="4" count="1">
            <x v="56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290">
      <pivotArea dataOnly="0" labelOnly="1" outline="0" fieldPosition="0">
        <references count="5">
          <reference field="0" count="1" selected="0">
            <x v="3"/>
          </reference>
          <reference field="3" count="1" selected="0">
            <x v="9"/>
          </reference>
          <reference field="4" count="1">
            <x v="38"/>
          </reference>
          <reference field="8" count="1" selected="0">
            <x v="1"/>
          </reference>
          <reference field="9" count="1" selected="0">
            <x v="1"/>
          </reference>
        </references>
      </pivotArea>
    </format>
    <format dxfId="289">
      <pivotArea dataOnly="0" labelOnly="1" outline="0" fieldPosition="0">
        <references count="5">
          <reference field="0" count="1" selected="0">
            <x v="65"/>
          </reference>
          <reference field="3" count="1" selected="0">
            <x v="10"/>
          </reference>
          <reference field="4" count="1">
            <x v="64"/>
          </reference>
          <reference field="8" count="1" selected="0">
            <x v="2"/>
          </reference>
          <reference field="9" count="1" selected="0">
            <x v="1"/>
          </reference>
        </references>
      </pivotArea>
    </format>
    <format dxfId="288">
      <pivotArea dataOnly="0" labelOnly="1" outline="0" fieldPosition="0">
        <references count="5">
          <reference field="0" count="1" selected="0">
            <x v="7"/>
          </reference>
          <reference field="3" count="1" selected="0">
            <x v="11"/>
          </reference>
          <reference field="4" count="1">
            <x v="62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287">
      <pivotArea dataOnly="0" labelOnly="1" outline="0" fieldPosition="0">
        <references count="6">
          <reference field="0" count="1" selected="0">
            <x v="6"/>
          </reference>
          <reference field="3" count="1" selected="0">
            <x v="6"/>
          </reference>
          <reference field="4" count="1" selected="0">
            <x v="23"/>
          </reference>
          <reference field="5" count="1">
            <x v="3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286">
      <pivotArea dataOnly="0" labelOnly="1" outline="0" fieldPosition="0">
        <references count="6">
          <reference field="0" count="1" selected="0">
            <x v="57"/>
          </reference>
          <reference field="3" count="1" selected="0">
            <x v="7"/>
          </reference>
          <reference field="4" count="1" selected="0">
            <x v="73"/>
          </reference>
          <reference field="5" count="1">
            <x v="14"/>
          </reference>
          <reference field="8" count="1" selected="0">
            <x v="2"/>
          </reference>
          <reference field="9" count="1" selected="0">
            <x v="0"/>
          </reference>
        </references>
      </pivotArea>
    </format>
    <format dxfId="285">
      <pivotArea dataOnly="0" labelOnly="1" outline="0" fieldPosition="0">
        <references count="6">
          <reference field="0" count="1" selected="0">
            <x v="61"/>
          </reference>
          <reference field="3" count="1" selected="0">
            <x v="7"/>
          </reference>
          <reference field="4" count="1" selected="0">
            <x v="29"/>
          </reference>
          <reference field="5" count="1">
            <x v="2"/>
          </reference>
          <reference field="8" count="1" selected="0">
            <x v="2"/>
          </reference>
          <reference field="9" count="1" selected="0">
            <x v="0"/>
          </reference>
        </references>
      </pivotArea>
    </format>
    <format dxfId="284">
      <pivotArea dataOnly="0" labelOnly="1" outline="0" fieldPosition="0">
        <references count="6">
          <reference field="0" count="1" selected="0">
            <x v="62"/>
          </reference>
          <reference field="3" count="1" selected="0">
            <x v="7"/>
          </reference>
          <reference field="4" count="1" selected="0">
            <x v="57"/>
          </reference>
          <reference field="5" count="1">
            <x v="0"/>
          </reference>
          <reference field="8" count="1" selected="0">
            <x v="2"/>
          </reference>
          <reference field="9" count="1" selected="0">
            <x v="0"/>
          </reference>
        </references>
      </pivotArea>
    </format>
    <format dxfId="283">
      <pivotArea dataOnly="0" labelOnly="1" outline="0" fieldPosition="0">
        <references count="6">
          <reference field="0" count="1" selected="0">
            <x v="64"/>
          </reference>
          <reference field="3" count="1" selected="0">
            <x v="7"/>
          </reference>
          <reference field="4" count="1" selected="0">
            <x v="63"/>
          </reference>
          <reference field="5" count="1">
            <x v="6"/>
          </reference>
          <reference field="8" count="1" selected="0">
            <x v="2"/>
          </reference>
          <reference field="9" count="1" selected="0">
            <x v="0"/>
          </reference>
        </references>
      </pivotArea>
    </format>
    <format dxfId="282">
      <pivotArea dataOnly="0" labelOnly="1" outline="0" fieldPosition="0">
        <references count="6">
          <reference field="0" count="1" selected="0">
            <x v="66"/>
          </reference>
          <reference field="3" count="1" selected="0">
            <x v="7"/>
          </reference>
          <reference field="4" count="1" selected="0">
            <x v="69"/>
          </reference>
          <reference field="5" count="1">
            <x v="11"/>
          </reference>
          <reference field="8" count="1" selected="0">
            <x v="0"/>
          </reference>
          <reference field="9" count="1" selected="0">
            <x v="1"/>
          </reference>
        </references>
      </pivotArea>
    </format>
    <format dxfId="281">
      <pivotArea dataOnly="0" labelOnly="1" outline="0" fieldPosition="0">
        <references count="6">
          <reference field="0" count="1" selected="0">
            <x v="46"/>
          </reference>
          <reference field="3" count="1" selected="0">
            <x v="8"/>
          </reference>
          <reference field="4" count="1" selected="0">
            <x v="56"/>
          </reference>
          <reference field="5" count="1">
            <x v="0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280">
      <pivotArea dataOnly="0" labelOnly="1" outline="0" fieldPosition="0">
        <references count="6">
          <reference field="0" count="1" selected="0">
            <x v="3"/>
          </reference>
          <reference field="3" count="1" selected="0">
            <x v="9"/>
          </reference>
          <reference field="4" count="1" selected="0">
            <x v="38"/>
          </reference>
          <reference field="5" count="1">
            <x v="0"/>
          </reference>
          <reference field="8" count="1" selected="0">
            <x v="1"/>
          </reference>
          <reference field="9" count="1" selected="0">
            <x v="1"/>
          </reference>
        </references>
      </pivotArea>
    </format>
    <format dxfId="279">
      <pivotArea dataOnly="0" labelOnly="1" outline="0" fieldPosition="0">
        <references count="6">
          <reference field="0" count="1" selected="0">
            <x v="65"/>
          </reference>
          <reference field="3" count="1" selected="0">
            <x v="10"/>
          </reference>
          <reference field="4" count="1" selected="0">
            <x v="64"/>
          </reference>
          <reference field="5" count="1">
            <x v="0"/>
          </reference>
          <reference field="8" count="1" selected="0">
            <x v="2"/>
          </reference>
          <reference field="9" count="1" selected="0">
            <x v="1"/>
          </reference>
        </references>
      </pivotArea>
    </format>
    <format dxfId="278">
      <pivotArea dataOnly="0" labelOnly="1" outline="0" fieldPosition="0">
        <references count="6">
          <reference field="0" count="1" selected="0">
            <x v="7"/>
          </reference>
          <reference field="3" count="1" selected="0">
            <x v="11"/>
          </reference>
          <reference field="4" count="1" selected="0">
            <x v="62"/>
          </reference>
          <reference field="5" count="1">
            <x v="0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277">
      <pivotArea dataOnly="0" labelOnly="1" outline="0" fieldPosition="0">
        <references count="7">
          <reference field="0" count="1" selected="0">
            <x v="4"/>
          </reference>
          <reference field="3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7" count="1">
            <x v="7"/>
          </reference>
          <reference field="8" count="1" selected="0">
            <x v="1"/>
          </reference>
          <reference field="9" count="1" selected="0">
            <x v="1"/>
          </reference>
        </references>
      </pivotArea>
    </format>
    <format dxfId="276">
      <pivotArea dataOnly="0" labelOnly="1" outline="0" fieldPosition="0">
        <references count="7">
          <reference field="0" count="1" selected="0">
            <x v="5"/>
          </reference>
          <reference field="3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7" count="1">
            <x v="9"/>
          </reference>
          <reference field="8" count="1" selected="0">
            <x v="1"/>
          </reference>
          <reference field="9" count="1" selected="0">
            <x v="1"/>
          </reference>
        </references>
      </pivotArea>
    </format>
    <format dxfId="275">
      <pivotArea dataOnly="0" labelOnly="1" outline="0" fieldPosition="0">
        <references count="7">
          <reference field="0" count="1" selected="0">
            <x v="58"/>
          </reference>
          <reference field="3" count="1" selected="0">
            <x v="0"/>
          </reference>
          <reference field="4" count="1" selected="0">
            <x v="47"/>
          </reference>
          <reference field="5" count="1" selected="0">
            <x v="5"/>
          </reference>
          <reference field="7" count="1">
            <x v="24"/>
          </reference>
          <reference field="8" count="1" selected="0">
            <x v="2"/>
          </reference>
          <reference field="9" count="1" selected="0">
            <x v="1"/>
          </reference>
        </references>
      </pivotArea>
    </format>
    <format dxfId="274">
      <pivotArea dataOnly="0" labelOnly="1" outline="0" fieldPosition="0">
        <references count="7">
          <reference field="0" count="1" selected="0">
            <x v="47"/>
          </reference>
          <reference field="3" count="1" selected="0">
            <x v="0"/>
          </reference>
          <reference field="4" count="1" selected="0">
            <x v="55"/>
          </reference>
          <reference field="5" count="1" selected="0">
            <x v="0"/>
          </reference>
          <reference field="7" count="1">
            <x v="62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273">
      <pivotArea dataOnly="0" labelOnly="1" outline="0" fieldPosition="0">
        <references count="7">
          <reference field="0" count="1" selected="0">
            <x v="59"/>
          </reference>
          <reference field="3" count="1" selected="0">
            <x v="1"/>
          </reference>
          <reference field="4" count="1" selected="0">
            <x v="65"/>
          </reference>
          <reference field="5" count="1" selected="0">
            <x v="8"/>
          </reference>
          <reference field="7" count="1">
            <x v="38"/>
          </reference>
          <reference field="8" count="1" selected="0">
            <x v="2"/>
          </reference>
          <reference field="9" count="1" selected="0">
            <x v="1"/>
          </reference>
        </references>
      </pivotArea>
    </format>
    <format dxfId="272">
      <pivotArea dataOnly="0" labelOnly="1" outline="0" fieldPosition="0">
        <references count="7">
          <reference field="0" count="1" selected="0">
            <x v="60"/>
          </reference>
          <reference field="3" count="1" selected="0">
            <x v="1"/>
          </reference>
          <reference field="4" count="1" selected="0">
            <x v="67"/>
          </reference>
          <reference field="5" count="1" selected="0">
            <x v="9"/>
          </reference>
          <reference field="7" count="1">
            <x v="46"/>
          </reference>
          <reference field="8" count="1" selected="0">
            <x v="2"/>
          </reference>
          <reference field="9" count="1" selected="0">
            <x v="1"/>
          </reference>
        </references>
      </pivotArea>
    </format>
    <format dxfId="271">
      <pivotArea dataOnly="0" labelOnly="1" outline="0" fieldPosition="0">
        <references count="7">
          <reference field="0" count="1" selected="0">
            <x v="49"/>
          </reference>
          <reference field="3" count="1" selected="0">
            <x v="2"/>
          </reference>
          <reference field="4" count="1" selected="0">
            <x v="24"/>
          </reference>
          <reference field="5" count="1" selected="0">
            <x v="0"/>
          </reference>
          <reference field="7" count="1">
            <x v="20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270">
      <pivotArea dataOnly="0" labelOnly="1" outline="0" fieldPosition="0">
        <references count="7">
          <reference field="0" count="1" selected="0">
            <x v="0"/>
          </reference>
          <reference field="3" count="1" selected="0">
            <x v="3"/>
          </reference>
          <reference field="4" count="1" selected="0">
            <x v="74"/>
          </reference>
          <reference field="5" count="1" selected="0">
            <x v="13"/>
          </reference>
          <reference field="7" count="1">
            <x v="56"/>
          </reference>
          <reference field="8" count="1" selected="0">
            <x v="3"/>
          </reference>
          <reference field="9" count="1" selected="0">
            <x v="1"/>
          </reference>
        </references>
      </pivotArea>
    </format>
    <format dxfId="269">
      <pivotArea dataOnly="0" labelOnly="1" outline="0" fieldPosition="0">
        <references count="7">
          <reference field="0" count="1" selected="0">
            <x v="1"/>
          </reference>
          <reference field="3" count="1" selected="0">
            <x v="3"/>
          </reference>
          <reference field="4" count="1" selected="0">
            <x v="72"/>
          </reference>
          <reference field="5" count="1" selected="0">
            <x v="0"/>
          </reference>
          <reference field="7" count="1">
            <x v="53"/>
          </reference>
          <reference field="8" count="1" selected="0">
            <x v="3"/>
          </reference>
          <reference field="9" count="1" selected="0">
            <x v="1"/>
          </reference>
        </references>
      </pivotArea>
    </format>
    <format dxfId="268">
      <pivotArea dataOnly="0" labelOnly="1" outline="0" fieldPosition="0">
        <references count="7">
          <reference field="0" count="1" selected="0">
            <x v="90"/>
          </reference>
          <reference field="3" count="1" selected="0">
            <x v="3"/>
          </reference>
          <reference field="4" count="1" selected="0">
            <x v="36"/>
          </reference>
          <reference field="5" count="1" selected="0">
            <x v="0"/>
          </reference>
          <reference field="7" count="1">
            <x v="29"/>
          </reference>
          <reference field="8" count="1" selected="0">
            <x v="3"/>
          </reference>
          <reference field="9" count="1" selected="0">
            <x v="1"/>
          </reference>
        </references>
      </pivotArea>
    </format>
    <format dxfId="267">
      <pivotArea dataOnly="0" labelOnly="1" outline="0" fieldPosition="0">
        <references count="7">
          <reference field="0" count="1" selected="0">
            <x v="45"/>
          </reference>
          <reference field="3" count="1" selected="0">
            <x v="4"/>
          </reference>
          <reference field="4" count="1" selected="0">
            <x v="61"/>
          </reference>
          <reference field="5" count="1" selected="0">
            <x v="0"/>
          </reference>
          <reference field="7" count="1">
            <x v="48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266">
      <pivotArea dataOnly="0" labelOnly="1" outline="0" fieldPosition="0">
        <references count="7">
          <reference field="0" count="1" selected="0">
            <x v="72"/>
          </reference>
          <reference field="3" count="1" selected="0">
            <x v="5"/>
          </reference>
          <reference field="4" count="1" selected="0">
            <x v="51"/>
          </reference>
          <reference field="5" count="1" selected="0">
            <x v="0"/>
          </reference>
          <reference field="7" count="1">
            <x v="2"/>
          </reference>
          <reference field="8" count="1" selected="0">
            <x v="0"/>
          </reference>
          <reference field="9" count="1" selected="0">
            <x v="0"/>
          </reference>
        </references>
      </pivotArea>
    </format>
    <format dxfId="265">
      <pivotArea dataOnly="0" labelOnly="1" outline="0" fieldPosition="0">
        <references count="7">
          <reference field="0" count="1" selected="0">
            <x v="67"/>
          </reference>
          <reference field="3" count="1" selected="0">
            <x v="5"/>
          </reference>
          <reference field="4" count="1" selected="0">
            <x v="70"/>
          </reference>
          <reference field="5" count="1" selected="0">
            <x v="12"/>
          </reference>
          <reference field="7" count="1">
            <x v="23"/>
          </reference>
          <reference field="8" count="1" selected="0">
            <x v="0"/>
          </reference>
          <reference field="9" count="1" selected="0">
            <x v="1"/>
          </reference>
        </references>
      </pivotArea>
    </format>
    <format dxfId="264">
      <pivotArea dataOnly="0" labelOnly="1" outline="0" fieldPosition="0">
        <references count="7">
          <reference field="0" count="1" selected="0">
            <x v="68"/>
          </reference>
          <reference field="3" count="1" selected="0">
            <x v="5"/>
          </reference>
          <reference field="4" count="1" selected="0">
            <x v="71"/>
          </reference>
          <reference field="5" count="1" selected="0">
            <x v="10"/>
          </reference>
          <reference field="7" count="1">
            <x v="52"/>
          </reference>
          <reference field="8" count="1" selected="0">
            <x v="0"/>
          </reference>
          <reference field="9" count="1" selected="0">
            <x v="1"/>
          </reference>
        </references>
      </pivotArea>
    </format>
    <format dxfId="263">
      <pivotArea dataOnly="0" labelOnly="1" outline="0" fieldPosition="0">
        <references count="7">
          <reference field="0" count="1" selected="0">
            <x v="69"/>
          </reference>
          <reference field="3" count="1" selected="0">
            <x v="5"/>
          </reference>
          <reference field="4" count="1" selected="0">
            <x v="34"/>
          </reference>
          <reference field="5" count="1" selected="0">
            <x v="0"/>
          </reference>
          <reference field="7" count="1">
            <x v="1"/>
          </reference>
          <reference field="8" count="1" selected="0">
            <x v="0"/>
          </reference>
          <reference field="9" count="1" selected="0">
            <x v="1"/>
          </reference>
        </references>
      </pivotArea>
    </format>
    <format dxfId="262">
      <pivotArea dataOnly="0" labelOnly="1" outline="0" fieldPosition="0">
        <references count="7">
          <reference field="0" count="1" selected="0">
            <x v="70"/>
          </reference>
          <reference field="3" count="1" selected="0">
            <x v="5"/>
          </reference>
          <reference field="4" count="1" selected="0">
            <x v="60"/>
          </reference>
          <reference field="5" count="1" selected="0">
            <x v="7"/>
          </reference>
          <reference field="7" count="1">
            <x v="30"/>
          </reference>
          <reference field="8" count="1" selected="0">
            <x v="0"/>
          </reference>
          <reference field="9" count="1" selected="0">
            <x v="1"/>
          </reference>
        </references>
      </pivotArea>
    </format>
    <format dxfId="261">
      <pivotArea dataOnly="0" labelOnly="1" outline="0" fieldPosition="0">
        <references count="7">
          <reference field="0" count="1" selected="0">
            <x v="71"/>
          </reference>
          <reference field="3" count="1" selected="0">
            <x v="5"/>
          </reference>
          <reference field="4" count="1" selected="0">
            <x v="49"/>
          </reference>
          <reference field="5" count="1" selected="0">
            <x v="4"/>
          </reference>
          <reference field="7" count="1">
            <x v="27"/>
          </reference>
          <reference field="8" count="1" selected="0">
            <x v="0"/>
          </reference>
          <reference field="9" count="1" selected="0">
            <x v="1"/>
          </reference>
        </references>
      </pivotArea>
    </format>
    <format dxfId="260">
      <pivotArea dataOnly="0" labelOnly="1" outline="0" fieldPosition="0">
        <references count="7">
          <reference field="0" count="1" selected="0">
            <x v="73"/>
          </reference>
          <reference field="3" count="1" selected="0">
            <x v="5"/>
          </reference>
          <reference field="4" count="1" selected="0">
            <x v="16"/>
          </reference>
          <reference field="5" count="1" selected="0">
            <x v="1"/>
          </reference>
          <reference field="7" count="1">
            <x v="5"/>
          </reference>
          <reference field="8" count="1" selected="0">
            <x v="0"/>
          </reference>
          <reference field="9" count="1" selected="0">
            <x v="1"/>
          </reference>
        </references>
      </pivotArea>
    </format>
    <format dxfId="259">
      <pivotArea dataOnly="0" labelOnly="1" outline="0" fieldPosition="0">
        <references count="7">
          <reference field="0" count="1" selected="0">
            <x v="74"/>
          </reference>
          <reference field="3" count="1" selected="0">
            <x v="5"/>
          </reference>
          <reference field="4" count="1" selected="0">
            <x v="66"/>
          </reference>
          <reference field="5" count="1" selected="0">
            <x v="0"/>
          </reference>
          <reference field="7" count="1">
            <x v="1"/>
          </reference>
          <reference field="8" count="1" selected="0">
            <x v="0"/>
          </reference>
          <reference field="9" count="1" selected="0">
            <x v="1"/>
          </reference>
        </references>
      </pivotArea>
    </format>
    <format dxfId="258">
      <pivotArea dataOnly="0" labelOnly="1" outline="0" fieldPosition="0">
        <references count="7">
          <reference field="0" count="1" selected="0">
            <x v="75"/>
          </reference>
          <reference field="3" count="1" selected="0">
            <x v="5"/>
          </reference>
          <reference field="4" count="1" selected="0">
            <x v="58"/>
          </reference>
          <reference field="5" count="1" selected="0">
            <x v="0"/>
          </reference>
          <reference field="7" count="1">
            <x v="45"/>
          </reference>
          <reference field="8" count="1" selected="0">
            <x v="0"/>
          </reference>
          <reference field="9" count="1" selected="0">
            <x v="1"/>
          </reference>
        </references>
      </pivotArea>
    </format>
    <format dxfId="257">
      <pivotArea dataOnly="0" labelOnly="1" outline="0" fieldPosition="0">
        <references count="7">
          <reference field="0" count="1" selected="0">
            <x v="76"/>
          </reference>
          <reference field="3" count="1" selected="0">
            <x v="5"/>
          </reference>
          <reference field="4" count="1" selected="0">
            <x v="50"/>
          </reference>
          <reference field="5" count="1" selected="0">
            <x v="0"/>
          </reference>
          <reference field="7" count="1">
            <x v="1"/>
          </reference>
          <reference field="8" count="1" selected="0">
            <x v="0"/>
          </reference>
          <reference field="9" count="1" selected="0">
            <x v="1"/>
          </reference>
        </references>
      </pivotArea>
    </format>
    <format dxfId="256">
      <pivotArea dataOnly="0" labelOnly="1" outline="0" fieldPosition="0">
        <references count="7">
          <reference field="0" count="1" selected="0">
            <x v="77"/>
          </reference>
          <reference field="3" count="1" selected="0">
            <x v="5"/>
          </reference>
          <reference field="4" count="1" selected="0">
            <x v="41"/>
          </reference>
          <reference field="5" count="1" selected="0">
            <x v="0"/>
          </reference>
          <reference field="7" count="1">
            <x v="3"/>
          </reference>
          <reference field="8" count="1" selected="0">
            <x v="0"/>
          </reference>
          <reference field="9" count="1" selected="0">
            <x v="1"/>
          </reference>
        </references>
      </pivotArea>
    </format>
    <format dxfId="255">
      <pivotArea dataOnly="0" labelOnly="1" outline="0" fieldPosition="0">
        <references count="7">
          <reference field="0" count="1" selected="0">
            <x v="78"/>
          </reference>
          <reference field="3" count="1" selected="0">
            <x v="5"/>
          </reference>
          <reference field="4" count="1" selected="0">
            <x v="21"/>
          </reference>
          <reference field="5" count="1" selected="0">
            <x v="0"/>
          </reference>
          <reference field="7" count="1">
            <x v="1"/>
          </reference>
          <reference field="8" count="1" selected="0">
            <x v="0"/>
          </reference>
          <reference field="9" count="1" selected="0">
            <x v="1"/>
          </reference>
        </references>
      </pivotArea>
    </format>
    <format dxfId="254">
      <pivotArea dataOnly="0" labelOnly="1" outline="0" fieldPosition="0">
        <references count="7">
          <reference field="0" count="1" selected="0">
            <x v="79"/>
          </reference>
          <reference field="3" count="1" selected="0">
            <x v="5"/>
          </reference>
          <reference field="4" count="1" selected="0">
            <x v="10"/>
          </reference>
          <reference field="5" count="1" selected="0">
            <x v="0"/>
          </reference>
          <reference field="7" count="1">
            <x v="1"/>
          </reference>
          <reference field="8" count="1" selected="0">
            <x v="0"/>
          </reference>
          <reference field="9" count="1" selected="0">
            <x v="1"/>
          </reference>
        </references>
      </pivotArea>
    </format>
    <format dxfId="253">
      <pivotArea dataOnly="0" labelOnly="1" outline="0" fieldPosition="0">
        <references count="7">
          <reference field="0" count="1" selected="0">
            <x v="80"/>
          </reference>
          <reference field="3" count="1" selected="0">
            <x v="5"/>
          </reference>
          <reference field="4" count="1" selected="0">
            <x v="2"/>
          </reference>
          <reference field="5" count="1" selected="0">
            <x v="0"/>
          </reference>
          <reference field="7" count="1">
            <x v="1"/>
          </reference>
          <reference field="8" count="1" selected="0">
            <x v="0"/>
          </reference>
          <reference field="9" count="1" selected="0">
            <x v="1"/>
          </reference>
        </references>
      </pivotArea>
    </format>
    <format dxfId="252">
      <pivotArea dataOnly="0" labelOnly="1" outline="0" fieldPosition="0">
        <references count="7">
          <reference field="0" count="1" selected="0">
            <x v="81"/>
          </reference>
          <reference field="3" count="1" selected="0">
            <x v="5"/>
          </reference>
          <reference field="4" count="1" selected="0">
            <x v="3"/>
          </reference>
          <reference field="5" count="1" selected="0">
            <x v="0"/>
          </reference>
          <reference field="7" count="1">
            <x v="1"/>
          </reference>
          <reference field="8" count="1" selected="0">
            <x v="0"/>
          </reference>
          <reference field="9" count="1" selected="0">
            <x v="1"/>
          </reference>
        </references>
      </pivotArea>
    </format>
    <format dxfId="251">
      <pivotArea dataOnly="0" labelOnly="1" outline="0" fieldPosition="0">
        <references count="7">
          <reference field="0" count="1" selected="0">
            <x v="82"/>
          </reference>
          <reference field="3" count="1" selected="0">
            <x v="5"/>
          </reference>
          <reference field="4" count="1" selected="0">
            <x v="24"/>
          </reference>
          <reference field="5" count="1" selected="0">
            <x v="0"/>
          </reference>
          <reference field="7" count="1">
            <x v="1"/>
          </reference>
          <reference field="8" count="1" selected="0">
            <x v="0"/>
          </reference>
          <reference field="9" count="1" selected="0">
            <x v="1"/>
          </reference>
        </references>
      </pivotArea>
    </format>
    <format dxfId="250">
      <pivotArea dataOnly="0" labelOnly="1" outline="0" fieldPosition="0">
        <references count="7">
          <reference field="0" count="1" selected="0">
            <x v="83"/>
          </reference>
          <reference field="3" count="1" selected="0">
            <x v="5"/>
          </reference>
          <reference field="4" count="1" selected="0">
            <x v="45"/>
          </reference>
          <reference field="5" count="1" selected="0">
            <x v="0"/>
          </reference>
          <reference field="7" count="1">
            <x v="1"/>
          </reference>
          <reference field="8" count="1" selected="0">
            <x v="0"/>
          </reference>
          <reference field="9" count="1" selected="0">
            <x v="1"/>
          </reference>
        </references>
      </pivotArea>
    </format>
    <format dxfId="249">
      <pivotArea dataOnly="0" labelOnly="1" outline="0" fieldPosition="0">
        <references count="7">
          <reference field="0" count="1" selected="0">
            <x v="84"/>
          </reference>
          <reference field="3" count="1" selected="0">
            <x v="5"/>
          </reference>
          <reference field="4" count="1" selected="0">
            <x v="18"/>
          </reference>
          <reference field="5" count="1" selected="0">
            <x v="0"/>
          </reference>
          <reference field="7" count="1">
            <x v="17"/>
          </reference>
          <reference field="8" count="1" selected="0">
            <x v="0"/>
          </reference>
          <reference field="9" count="1" selected="0">
            <x v="1"/>
          </reference>
        </references>
      </pivotArea>
    </format>
    <format dxfId="248">
      <pivotArea dataOnly="0" labelOnly="1" outline="0" fieldPosition="0">
        <references count="7">
          <reference field="0" count="1" selected="0">
            <x v="85"/>
          </reference>
          <reference field="3" count="1" selected="0">
            <x v="5"/>
          </reference>
          <reference field="4" count="1" selected="0">
            <x v="21"/>
          </reference>
          <reference field="5" count="1" selected="0">
            <x v="0"/>
          </reference>
          <reference field="7" count="1">
            <x v="1"/>
          </reference>
          <reference field="8" count="1" selected="0">
            <x v="0"/>
          </reference>
          <reference field="9" count="1" selected="0">
            <x v="1"/>
          </reference>
        </references>
      </pivotArea>
    </format>
    <format dxfId="247">
      <pivotArea dataOnly="0" labelOnly="1" outline="0" fieldPosition="0">
        <references count="7">
          <reference field="0" count="1" selected="0">
            <x v="86"/>
          </reference>
          <reference field="3" count="1" selected="0">
            <x v="5"/>
          </reference>
          <reference field="4" count="1" selected="0">
            <x v="24"/>
          </reference>
          <reference field="5" count="1" selected="0">
            <x v="0"/>
          </reference>
          <reference field="7" count="1">
            <x v="1"/>
          </reference>
          <reference field="8" count="1" selected="0">
            <x v="0"/>
          </reference>
          <reference field="9" count="1" selected="0">
            <x v="1"/>
          </reference>
        </references>
      </pivotArea>
    </format>
    <format dxfId="246">
      <pivotArea dataOnly="0" labelOnly="1" outline="0" fieldPosition="0">
        <references count="7">
          <reference field="0" count="1" selected="0">
            <x v="87"/>
          </reference>
          <reference field="3" count="1" selected="0">
            <x v="5"/>
          </reference>
          <reference field="4" count="1" selected="0">
            <x v="41"/>
          </reference>
          <reference field="5" count="1" selected="0">
            <x v="0"/>
          </reference>
          <reference field="7" count="1">
            <x v="1"/>
          </reference>
          <reference field="8" count="1" selected="0">
            <x v="0"/>
          </reference>
          <reference field="9" count="1" selected="0">
            <x v="1"/>
          </reference>
        </references>
      </pivotArea>
    </format>
    <format dxfId="245">
      <pivotArea dataOnly="0" labelOnly="1" outline="0" fieldPosition="0">
        <references count="7">
          <reference field="0" count="1" selected="0">
            <x v="88"/>
          </reference>
          <reference field="3" count="1" selected="0">
            <x v="5"/>
          </reference>
          <reference field="4" count="1" selected="0">
            <x v="53"/>
          </reference>
          <reference field="5" count="1" selected="0">
            <x v="0"/>
          </reference>
          <reference field="7" count="1">
            <x v="40"/>
          </reference>
          <reference field="8" count="1" selected="0">
            <x v="0"/>
          </reference>
          <reference field="9" count="1" selected="0">
            <x v="1"/>
          </reference>
        </references>
      </pivotArea>
    </format>
    <format dxfId="244">
      <pivotArea dataOnly="0" labelOnly="1" outline="0" fieldPosition="0">
        <references count="7">
          <reference field="0" count="1" selected="0">
            <x v="8"/>
          </reference>
          <reference field="3" count="1" selected="0">
            <x v="5"/>
          </reference>
          <reference field="4" count="1" selected="0">
            <x v="8"/>
          </reference>
          <reference field="5" count="1" selected="0">
            <x v="0"/>
          </reference>
          <reference field="7" count="1">
            <x v="14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243">
      <pivotArea dataOnly="0" labelOnly="1" outline="0" fieldPosition="0">
        <references count="7">
          <reference field="0" count="1" selected="0">
            <x v="9"/>
          </reference>
          <reference field="3" count="1" selected="0">
            <x v="5"/>
          </reference>
          <reference field="4" count="1" selected="0">
            <x v="30"/>
          </reference>
          <reference field="5" count="1" selected="0">
            <x v="0"/>
          </reference>
          <reference field="7" count="1">
            <x v="1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242">
      <pivotArea dataOnly="0" labelOnly="1" outline="0" fieldPosition="0">
        <references count="7">
          <reference field="0" count="1" selected="0">
            <x v="10"/>
          </reference>
          <reference field="3" count="1" selected="0">
            <x v="5"/>
          </reference>
          <reference field="4" count="1" selected="0">
            <x v="11"/>
          </reference>
          <reference field="5" count="1" selected="0">
            <x v="0"/>
          </reference>
          <reference field="7" count="1">
            <x v="1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241">
      <pivotArea dataOnly="0" labelOnly="1" outline="0" fieldPosition="0">
        <references count="7">
          <reference field="0" count="1" selected="0">
            <x v="11"/>
          </reference>
          <reference field="3" count="1" selected="0">
            <x v="5"/>
          </reference>
          <reference field="4" count="1" selected="0">
            <x v="8"/>
          </reference>
          <reference field="5" count="1" selected="0">
            <x v="0"/>
          </reference>
          <reference field="7" count="1">
            <x v="1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240">
      <pivotArea dataOnly="0" labelOnly="1" outline="0" fieldPosition="0">
        <references count="7">
          <reference field="0" count="1" selected="0">
            <x v="12"/>
          </reference>
          <reference field="3" count="1" selected="0">
            <x v="5"/>
          </reference>
          <reference field="4" count="1" selected="0">
            <x v="46"/>
          </reference>
          <reference field="5" count="1" selected="0">
            <x v="0"/>
          </reference>
          <reference field="7" count="1">
            <x v="37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239">
      <pivotArea dataOnly="0" labelOnly="1" outline="0" fieldPosition="0">
        <references count="7">
          <reference field="0" count="1" selected="0">
            <x v="13"/>
          </reference>
          <reference field="3" count="1" selected="0">
            <x v="5"/>
          </reference>
          <reference field="4" count="1" selected="0">
            <x v="44"/>
          </reference>
          <reference field="5" count="1" selected="0">
            <x v="0"/>
          </reference>
          <reference field="7" count="1">
            <x v="1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238">
      <pivotArea dataOnly="0" labelOnly="1" outline="0" fieldPosition="0">
        <references count="7">
          <reference field="0" count="1" selected="0">
            <x v="14"/>
          </reference>
          <reference field="3" count="1" selected="0">
            <x v="5"/>
          </reference>
          <reference field="4" count="1" selected="0">
            <x v="37"/>
          </reference>
          <reference field="5" count="1" selected="0">
            <x v="0"/>
          </reference>
          <reference field="7" count="1">
            <x v="31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237">
      <pivotArea dataOnly="0" labelOnly="1" outline="0" fieldPosition="0">
        <references count="7">
          <reference field="0" count="1" selected="0">
            <x v="15"/>
          </reference>
          <reference field="3" count="1" selected="0">
            <x v="5"/>
          </reference>
          <reference field="4" count="1" selected="0">
            <x v="39"/>
          </reference>
          <reference field="5" count="1" selected="0">
            <x v="0"/>
          </reference>
          <reference field="7" count="1">
            <x v="33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236">
      <pivotArea dataOnly="0" labelOnly="1" outline="0" fieldPosition="0">
        <references count="7">
          <reference field="0" count="1" selected="0">
            <x v="16"/>
          </reference>
          <reference field="3" count="1" selected="0">
            <x v="5"/>
          </reference>
          <reference field="4" count="1" selected="0">
            <x v="48"/>
          </reference>
          <reference field="5" count="1" selected="0">
            <x v="0"/>
          </reference>
          <reference field="7" count="1">
            <x v="1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235">
      <pivotArea dataOnly="0" labelOnly="1" outline="0" fieldPosition="0">
        <references count="7">
          <reference field="0" count="1" selected="0">
            <x v="17"/>
          </reference>
          <reference field="3" count="1" selected="0">
            <x v="5"/>
          </reference>
          <reference field="4" count="1" selected="0">
            <x v="19"/>
          </reference>
          <reference field="5" count="1" selected="0">
            <x v="0"/>
          </reference>
          <reference field="7" count="1">
            <x v="1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234">
      <pivotArea dataOnly="0" labelOnly="1" outline="0" fieldPosition="0">
        <references count="7">
          <reference field="0" count="1" selected="0">
            <x v="18"/>
          </reference>
          <reference field="3" count="1" selected="0">
            <x v="5"/>
          </reference>
          <reference field="4" count="1" selected="0">
            <x v="6"/>
          </reference>
          <reference field="5" count="1" selected="0">
            <x v="0"/>
          </reference>
          <reference field="7" count="1">
            <x v="1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233">
      <pivotArea dataOnly="0" labelOnly="1" outline="0" fieldPosition="0">
        <references count="7">
          <reference field="0" count="1" selected="0">
            <x v="19"/>
          </reference>
          <reference field="3" count="1" selected="0">
            <x v="5"/>
          </reference>
          <reference field="4" count="1" selected="0">
            <x v="12"/>
          </reference>
          <reference field="5" count="1" selected="0">
            <x v="0"/>
          </reference>
          <reference field="7" count="1">
            <x v="15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232">
      <pivotArea dataOnly="0" labelOnly="1" outline="0" fieldPosition="0">
        <references count="7">
          <reference field="0" count="1" selected="0">
            <x v="20"/>
          </reference>
          <reference field="3" count="1" selected="0">
            <x v="5"/>
          </reference>
          <reference field="4" count="1" selected="0">
            <x v="15"/>
          </reference>
          <reference field="5" count="1" selected="0">
            <x v="0"/>
          </reference>
          <reference field="7" count="1">
            <x v="1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231">
      <pivotArea dataOnly="0" labelOnly="1" outline="0" fieldPosition="0">
        <references count="7">
          <reference field="0" count="1" selected="0">
            <x v="21"/>
          </reference>
          <reference field="3" count="1" selected="0">
            <x v="5"/>
          </reference>
          <reference field="4" count="1" selected="0">
            <x v="35"/>
          </reference>
          <reference field="5" count="1" selected="0">
            <x v="0"/>
          </reference>
          <reference field="7" count="1">
            <x v="28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230">
      <pivotArea dataOnly="0" labelOnly="1" outline="0" fieldPosition="0">
        <references count="7">
          <reference field="0" count="1" selected="0">
            <x v="22"/>
          </reference>
          <reference field="3" count="1" selected="0">
            <x v="5"/>
          </reference>
          <reference field="4" count="1" selected="0">
            <x v="31"/>
          </reference>
          <reference field="5" count="1" selected="0">
            <x v="0"/>
          </reference>
          <reference field="7" count="1">
            <x v="25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229">
      <pivotArea dataOnly="0" labelOnly="1" outline="0" fieldPosition="0">
        <references count="7">
          <reference field="0" count="1" selected="0">
            <x v="23"/>
          </reference>
          <reference field="3" count="1" selected="0">
            <x v="5"/>
          </reference>
          <reference field="4" count="1" selected="0">
            <x v="41"/>
          </reference>
          <reference field="5" count="1" selected="0">
            <x v="0"/>
          </reference>
          <reference field="7" count="1">
            <x v="1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228">
      <pivotArea dataOnly="0" labelOnly="1" outline="0" fieldPosition="0">
        <references count="7">
          <reference field="0" count="1" selected="0">
            <x v="24"/>
          </reference>
          <reference field="3" count="1" selected="0">
            <x v="5"/>
          </reference>
          <reference field="4" count="1" selected="0">
            <x v="4"/>
          </reference>
          <reference field="5" count="1" selected="0">
            <x v="0"/>
          </reference>
          <reference field="7" count="1">
            <x v="10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227">
      <pivotArea dataOnly="0" labelOnly="1" outline="0" fieldPosition="0">
        <references count="7">
          <reference field="0" count="1" selected="0">
            <x v="25"/>
          </reference>
          <reference field="3" count="1" selected="0">
            <x v="5"/>
          </reference>
          <reference field="4" count="1" selected="0">
            <x v="54"/>
          </reference>
          <reference field="5" count="1" selected="0">
            <x v="0"/>
          </reference>
          <reference field="7" count="1">
            <x v="41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226">
      <pivotArea dataOnly="0" labelOnly="1" outline="0" fieldPosition="0">
        <references count="7">
          <reference field="0" count="1" selected="0">
            <x v="26"/>
          </reference>
          <reference field="3" count="1" selected="0">
            <x v="5"/>
          </reference>
          <reference field="4" count="1" selected="0">
            <x v="24"/>
          </reference>
          <reference field="5" count="1" selected="0">
            <x v="0"/>
          </reference>
          <reference field="7" count="1">
            <x v="1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225">
      <pivotArea dataOnly="0" labelOnly="1" outline="0" fieldPosition="0">
        <references count="7">
          <reference field="0" count="1" selected="0">
            <x v="27"/>
          </reference>
          <reference field="3" count="1" selected="0">
            <x v="5"/>
          </reference>
          <reference field="4" count="1" selected="0">
            <x v="41"/>
          </reference>
          <reference field="5" count="1" selected="0">
            <x v="0"/>
          </reference>
          <reference field="7" count="1">
            <x v="1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224">
      <pivotArea dataOnly="0" labelOnly="1" outline="0" fieldPosition="0">
        <references count="7">
          <reference field="0" count="1" selected="0">
            <x v="28"/>
          </reference>
          <reference field="3" count="1" selected="0">
            <x v="5"/>
          </reference>
          <reference field="4" count="1" selected="0">
            <x v="9"/>
          </reference>
          <reference field="5" count="1" selected="0">
            <x v="0"/>
          </reference>
          <reference field="7" count="1">
            <x v="1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223">
      <pivotArea dataOnly="0" labelOnly="1" outline="0" fieldPosition="0">
        <references count="7">
          <reference field="0" count="1" selected="0">
            <x v="29"/>
          </reference>
          <reference field="3" count="1" selected="0">
            <x v="5"/>
          </reference>
          <reference field="4" count="1" selected="0">
            <x v="27"/>
          </reference>
          <reference field="5" count="1" selected="0">
            <x v="0"/>
          </reference>
          <reference field="7" count="1">
            <x v="1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222">
      <pivotArea dataOnly="0" labelOnly="1" outline="0" fieldPosition="0">
        <references count="7">
          <reference field="0" count="1" selected="0">
            <x v="30"/>
          </reference>
          <reference field="3" count="1" selected="0">
            <x v="5"/>
          </reference>
          <reference field="4" count="1" selected="0">
            <x v="8"/>
          </reference>
          <reference field="5" count="1" selected="0">
            <x v="0"/>
          </reference>
          <reference field="7" count="1">
            <x v="14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221">
      <pivotArea dataOnly="0" labelOnly="1" outline="0" fieldPosition="0">
        <references count="7">
          <reference field="0" count="1" selected="0">
            <x v="31"/>
          </reference>
          <reference field="3" count="1" selected="0">
            <x v="5"/>
          </reference>
          <reference field="4" count="1" selected="0">
            <x v="42"/>
          </reference>
          <reference field="5" count="1" selected="0">
            <x v="0"/>
          </reference>
          <reference field="7" count="1">
            <x v="35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220">
      <pivotArea dataOnly="0" labelOnly="1" outline="0" fieldPosition="0">
        <references count="7">
          <reference field="0" count="1" selected="0">
            <x v="32"/>
          </reference>
          <reference field="3" count="1" selected="0">
            <x v="5"/>
          </reference>
          <reference field="4" count="1" selected="0">
            <x v="28"/>
          </reference>
          <reference field="5" count="1" selected="0">
            <x v="0"/>
          </reference>
          <reference field="7" count="1">
            <x v="1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219">
      <pivotArea dataOnly="0" labelOnly="1" outline="0" fieldPosition="0">
        <references count="7">
          <reference field="0" count="1" selected="0">
            <x v="33"/>
          </reference>
          <reference field="3" count="1" selected="0">
            <x v="5"/>
          </reference>
          <reference field="4" count="1" selected="0">
            <x v="32"/>
          </reference>
          <reference field="5" count="1" selected="0">
            <x v="0"/>
          </reference>
          <reference field="7" count="1">
            <x v="26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218">
      <pivotArea dataOnly="0" labelOnly="1" outline="0" fieldPosition="0">
        <references count="7">
          <reference field="0" count="1" selected="0">
            <x v="34"/>
          </reference>
          <reference field="3" count="1" selected="0">
            <x v="5"/>
          </reference>
          <reference field="4" count="1" selected="0">
            <x v="41"/>
          </reference>
          <reference field="5" count="1" selected="0">
            <x v="0"/>
          </reference>
          <reference field="7" count="1">
            <x v="1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217">
      <pivotArea dataOnly="0" labelOnly="1" outline="0" fieldPosition="0">
        <references count="7">
          <reference field="0" count="1" selected="0">
            <x v="35"/>
          </reference>
          <reference field="3" count="1" selected="0">
            <x v="5"/>
          </reference>
          <reference field="4" count="1" selected="0">
            <x v="33"/>
          </reference>
          <reference field="5" count="1" selected="0">
            <x v="0"/>
          </reference>
          <reference field="7" count="1">
            <x v="1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216">
      <pivotArea dataOnly="0" labelOnly="1" outline="0" fieldPosition="0">
        <references count="7">
          <reference field="0" count="1" selected="0">
            <x v="36"/>
          </reference>
          <reference field="3" count="1" selected="0">
            <x v="5"/>
          </reference>
          <reference field="4" count="1" selected="0">
            <x v="24"/>
          </reference>
          <reference field="5" count="1" selected="0">
            <x v="0"/>
          </reference>
          <reference field="7" count="1">
            <x v="1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215">
      <pivotArea dataOnly="0" labelOnly="1" outline="0" fieldPosition="0">
        <references count="7">
          <reference field="0" count="1" selected="0">
            <x v="37"/>
          </reference>
          <reference field="3" count="1" selected="0">
            <x v="5"/>
          </reference>
          <reference field="4" count="1" selected="0">
            <x v="14"/>
          </reference>
          <reference field="5" count="1" selected="0">
            <x v="0"/>
          </reference>
          <reference field="7" count="1">
            <x v="16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214">
      <pivotArea dataOnly="0" labelOnly="1" outline="0" fieldPosition="0">
        <references count="7">
          <reference field="0" count="1" selected="0">
            <x v="38"/>
          </reference>
          <reference field="3" count="1" selected="0">
            <x v="5"/>
          </reference>
          <reference field="4" count="1" selected="0">
            <x v="13"/>
          </reference>
          <reference field="5" count="1" selected="0">
            <x v="0"/>
          </reference>
          <reference field="7" count="1">
            <x v="1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213">
      <pivotArea dataOnly="0" labelOnly="1" outline="0" fieldPosition="0">
        <references count="7">
          <reference field="0" count="1" selected="0">
            <x v="39"/>
          </reference>
          <reference field="3" count="1" selected="0">
            <x v="5"/>
          </reference>
          <reference field="4" count="1" selected="0">
            <x v="17"/>
          </reference>
          <reference field="5" count="1" selected="0">
            <x v="0"/>
          </reference>
          <reference field="7" count="1">
            <x v="1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212">
      <pivotArea dataOnly="0" labelOnly="1" outline="0" fieldPosition="0">
        <references count="7">
          <reference field="0" count="1" selected="0">
            <x v="40"/>
          </reference>
          <reference field="3" count="1" selected="0">
            <x v="5"/>
          </reference>
          <reference field="4" count="1" selected="0">
            <x v="26"/>
          </reference>
          <reference field="5" count="1" selected="0">
            <x v="0"/>
          </reference>
          <reference field="7" count="1">
            <x v="22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211">
      <pivotArea dataOnly="0" labelOnly="1" outline="0" fieldPosition="0">
        <references count="7">
          <reference field="0" count="1" selected="0">
            <x v="41"/>
          </reference>
          <reference field="3" count="1" selected="0">
            <x v="5"/>
          </reference>
          <reference field="4" count="1" selected="0">
            <x v="20"/>
          </reference>
          <reference field="5" count="1" selected="0">
            <x v="0"/>
          </reference>
          <reference field="7" count="1">
            <x v="18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210">
      <pivotArea dataOnly="0" labelOnly="1" outline="0" fieldPosition="0">
        <references count="7">
          <reference field="0" count="1" selected="0">
            <x v="42"/>
          </reference>
          <reference field="3" count="1" selected="0">
            <x v="5"/>
          </reference>
          <reference field="4" count="1" selected="0">
            <x v="5"/>
          </reference>
          <reference field="5" count="1" selected="0">
            <x v="0"/>
          </reference>
          <reference field="7" count="1">
            <x v="1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209">
      <pivotArea dataOnly="0" labelOnly="1" outline="0" fieldPosition="0">
        <references count="7">
          <reference field="0" count="1" selected="0">
            <x v="43"/>
          </reference>
          <reference field="3" count="1" selected="0">
            <x v="5"/>
          </reference>
          <reference field="4" count="1" selected="0">
            <x v="7"/>
          </reference>
          <reference field="5" count="1" selected="0">
            <x v="0"/>
          </reference>
          <reference field="7" count="1">
            <x v="13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208">
      <pivotArea dataOnly="0" labelOnly="1" outline="0" fieldPosition="0">
        <references count="7">
          <reference field="0" count="1" selected="0">
            <x v="44"/>
          </reference>
          <reference field="3" count="1" selected="0">
            <x v="5"/>
          </reference>
          <reference field="4" count="1" selected="0">
            <x v="8"/>
          </reference>
          <reference field="5" count="1" selected="0">
            <x v="0"/>
          </reference>
          <reference field="7" count="1">
            <x v="14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207">
      <pivotArea dataOnly="0" labelOnly="1" outline="0" fieldPosition="0">
        <references count="7">
          <reference field="0" count="1" selected="0">
            <x v="48"/>
          </reference>
          <reference field="3" count="1" selected="0">
            <x v="5"/>
          </reference>
          <reference field="4" count="1" selected="0">
            <x v="59"/>
          </reference>
          <reference field="5" count="1" selected="0">
            <x v="0"/>
          </reference>
          <reference field="7" count="1">
            <x v="47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206">
      <pivotArea dataOnly="0" labelOnly="1" outline="0" fieldPosition="0">
        <references count="7">
          <reference field="0" count="1" selected="0">
            <x v="50"/>
          </reference>
          <reference field="3" count="1" selected="0">
            <x v="5"/>
          </reference>
          <reference field="4" count="1" selected="0">
            <x v="59"/>
          </reference>
          <reference field="5" count="1" selected="0">
            <x v="0"/>
          </reference>
          <reference field="7" count="1">
            <x v="47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205">
      <pivotArea dataOnly="0" labelOnly="1" outline="0" fieldPosition="0">
        <references count="7">
          <reference field="0" count="1" selected="0">
            <x v="51"/>
          </reference>
          <reference field="3" count="1" selected="0">
            <x v="5"/>
          </reference>
          <reference field="4" count="1" selected="0">
            <x v="43"/>
          </reference>
          <reference field="5" count="1" selected="0">
            <x v="0"/>
          </reference>
          <reference field="7" count="1">
            <x v="36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204">
      <pivotArea dataOnly="0" labelOnly="1" outline="0" fieldPosition="0">
        <references count="7">
          <reference field="0" count="1" selected="0">
            <x v="52"/>
          </reference>
          <reference field="3" count="1" selected="0">
            <x v="5"/>
          </reference>
          <reference field="4" count="1" selected="0">
            <x v="52"/>
          </reference>
          <reference field="5" count="1" selected="0">
            <x v="0"/>
          </reference>
          <reference field="7" count="1">
            <x v="39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203">
      <pivotArea dataOnly="0" labelOnly="1" outline="0" fieldPosition="0">
        <references count="7">
          <reference field="0" count="1" selected="0">
            <x v="53"/>
          </reference>
          <reference field="3" count="1" selected="0">
            <x v="5"/>
          </reference>
          <reference field="4" count="1" selected="0">
            <x v="40"/>
          </reference>
          <reference field="5" count="1" selected="0">
            <x v="0"/>
          </reference>
          <reference field="7" count="1">
            <x v="34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202">
      <pivotArea dataOnly="0" labelOnly="1" outline="0" fieldPosition="0">
        <references count="7">
          <reference field="0" count="1" selected="0">
            <x v="54"/>
          </reference>
          <reference field="3" count="1" selected="0">
            <x v="5"/>
          </reference>
          <reference field="4" count="1" selected="0">
            <x v="59"/>
          </reference>
          <reference field="5" count="1" selected="0">
            <x v="0"/>
          </reference>
          <reference field="7" count="1">
            <x v="47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201">
      <pivotArea dataOnly="0" labelOnly="1" outline="0" fieldPosition="0">
        <references count="7">
          <reference field="0" count="1" selected="0">
            <x v="55"/>
          </reference>
          <reference field="3" count="1" selected="0">
            <x v="5"/>
          </reference>
          <reference field="4" count="1" selected="0">
            <x v="25"/>
          </reference>
          <reference field="5" count="1" selected="0">
            <x v="0"/>
          </reference>
          <reference field="7" count="1">
            <x v="21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200">
      <pivotArea dataOnly="0" labelOnly="1" outline="0" fieldPosition="0">
        <references count="7">
          <reference field="0" count="1" selected="0">
            <x v="56"/>
          </reference>
          <reference field="3" count="1" selected="0">
            <x v="5"/>
          </reference>
          <reference field="4" count="1" selected="0">
            <x v="22"/>
          </reference>
          <reference field="5" count="1" selected="0">
            <x v="0"/>
          </reference>
          <reference field="7" count="1">
            <x v="19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199">
      <pivotArea dataOnly="0" labelOnly="1" outline="0" fieldPosition="0">
        <references count="7">
          <reference field="0" count="1" selected="0">
            <x v="91"/>
          </reference>
          <reference field="3" count="1" selected="0">
            <x v="5"/>
          </reference>
          <reference field="4" count="1" selected="0">
            <x v="24"/>
          </reference>
          <reference field="5" count="1" selected="0">
            <x v="0"/>
          </reference>
          <reference field="7" count="1">
            <x v="20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198">
      <pivotArea dataOnly="0" labelOnly="1" outline="0" fieldPosition="0">
        <references count="7">
          <reference field="0" count="1" selected="0">
            <x v="92"/>
          </reference>
          <reference field="3" count="1" selected="0">
            <x v="5"/>
          </reference>
          <reference field="4" count="1" selected="0">
            <x v="24"/>
          </reference>
          <reference field="5" count="1" selected="0">
            <x v="0"/>
          </reference>
          <reference field="7" count="1">
            <x v="20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197">
      <pivotArea dataOnly="0" labelOnly="1" outline="0" fieldPosition="0">
        <references count="7">
          <reference field="0" count="1" selected="0">
            <x v="93"/>
          </reference>
          <reference field="3" count="1" selected="0">
            <x v="5"/>
          </reference>
          <reference field="4" count="1" selected="0">
            <x v="32"/>
          </reference>
          <reference field="5" count="1" selected="0">
            <x v="0"/>
          </reference>
          <reference field="7" count="1">
            <x v="26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196">
      <pivotArea dataOnly="0" labelOnly="1" outline="0" fieldPosition="0">
        <references count="7">
          <reference field="0" count="1" selected="0">
            <x v="94"/>
          </reference>
          <reference field="3" count="1" selected="0">
            <x v="5"/>
          </reference>
          <reference field="4" count="1" selected="0">
            <x v="76"/>
          </reference>
          <reference field="5" count="1" selected="0">
            <x v="0"/>
          </reference>
          <reference field="7" count="1">
            <x v="58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195">
      <pivotArea dataOnly="0" labelOnly="1" outline="0" fieldPosition="0">
        <references count="7">
          <reference field="0" count="1" selected="0">
            <x v="6"/>
          </reference>
          <reference field="3" count="1" selected="0">
            <x v="6"/>
          </reference>
          <reference field="4" count="1" selected="0">
            <x v="23"/>
          </reference>
          <reference field="5" count="1" selected="0">
            <x v="3"/>
          </reference>
          <reference field="7" count="1">
            <x v="4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194">
      <pivotArea dataOnly="0" labelOnly="1" outline="0" fieldPosition="0">
        <references count="7">
          <reference field="0" count="1" selected="0">
            <x v="57"/>
          </reference>
          <reference field="3" count="1" selected="0">
            <x v="7"/>
          </reference>
          <reference field="4" count="1" selected="0">
            <x v="73"/>
          </reference>
          <reference field="5" count="1" selected="0">
            <x v="14"/>
          </reference>
          <reference field="7" count="1">
            <x v="60"/>
          </reference>
          <reference field="8" count="1" selected="0">
            <x v="2"/>
          </reference>
          <reference field="9" count="1" selected="0">
            <x v="0"/>
          </reference>
        </references>
      </pivotArea>
    </format>
    <format dxfId="193">
      <pivotArea dataOnly="0" labelOnly="1" outline="0" fieldPosition="0">
        <references count="7">
          <reference field="0" count="1" selected="0">
            <x v="61"/>
          </reference>
          <reference field="3" count="1" selected="0">
            <x v="7"/>
          </reference>
          <reference field="4" count="1" selected="0">
            <x v="29"/>
          </reference>
          <reference field="5" count="1" selected="0">
            <x v="2"/>
          </reference>
          <reference field="7" count="1">
            <x v="11"/>
          </reference>
          <reference field="8" count="1" selected="0">
            <x v="2"/>
          </reference>
          <reference field="9" count="1" selected="0">
            <x v="0"/>
          </reference>
        </references>
      </pivotArea>
    </format>
    <format dxfId="192">
      <pivotArea dataOnly="0" labelOnly="1" outline="0" fieldPosition="0">
        <references count="7">
          <reference field="0" count="1" selected="0">
            <x v="62"/>
          </reference>
          <reference field="3" count="1" selected="0">
            <x v="7"/>
          </reference>
          <reference field="4" count="1" selected="0">
            <x v="57"/>
          </reference>
          <reference field="5" count="1" selected="0">
            <x v="0"/>
          </reference>
          <reference field="7" count="1">
            <x v="44"/>
          </reference>
          <reference field="8" count="1" selected="0">
            <x v="2"/>
          </reference>
          <reference field="9" count="1" selected="0">
            <x v="0"/>
          </reference>
        </references>
      </pivotArea>
    </format>
    <format dxfId="191">
      <pivotArea dataOnly="0" labelOnly="1" outline="0" fieldPosition="0">
        <references count="7">
          <reference field="0" count="1" selected="0">
            <x v="63"/>
          </reference>
          <reference field="3" count="1" selected="0">
            <x v="7"/>
          </reference>
          <reference field="4" count="1" selected="0">
            <x v="68"/>
          </reference>
          <reference field="5" count="1" selected="0">
            <x v="0"/>
          </reference>
          <reference field="7" count="1">
            <x v="51"/>
          </reference>
          <reference field="8" count="1" selected="0">
            <x v="2"/>
          </reference>
          <reference field="9" count="1" selected="0">
            <x v="0"/>
          </reference>
        </references>
      </pivotArea>
    </format>
    <format dxfId="190">
      <pivotArea dataOnly="0" labelOnly="1" outline="0" fieldPosition="0">
        <references count="7">
          <reference field="0" count="1" selected="0">
            <x v="64"/>
          </reference>
          <reference field="3" count="1" selected="0">
            <x v="7"/>
          </reference>
          <reference field="4" count="1" selected="0">
            <x v="63"/>
          </reference>
          <reference field="5" count="1" selected="0">
            <x v="6"/>
          </reference>
          <reference field="7" count="1">
            <x v="49"/>
          </reference>
          <reference field="8" count="1" selected="0">
            <x v="2"/>
          </reference>
          <reference field="9" count="1" selected="0">
            <x v="0"/>
          </reference>
        </references>
      </pivotArea>
    </format>
    <format dxfId="189">
      <pivotArea dataOnly="0" labelOnly="1" outline="0" fieldPosition="0">
        <references count="7">
          <reference field="0" count="1" selected="0">
            <x v="66"/>
          </reference>
          <reference field="3" count="1" selected="0">
            <x v="7"/>
          </reference>
          <reference field="4" count="1" selected="0">
            <x v="69"/>
          </reference>
          <reference field="5" count="1" selected="0">
            <x v="11"/>
          </reference>
          <reference field="7" count="1">
            <x v="8"/>
          </reference>
          <reference field="8" count="1" selected="0">
            <x v="0"/>
          </reference>
          <reference field="9" count="1" selected="0">
            <x v="1"/>
          </reference>
        </references>
      </pivotArea>
    </format>
    <format dxfId="188">
      <pivotArea dataOnly="0" labelOnly="1" outline="0" fieldPosition="0">
        <references count="7">
          <reference field="0" count="1" selected="0">
            <x v="46"/>
          </reference>
          <reference field="3" count="1" selected="0">
            <x v="8"/>
          </reference>
          <reference field="4" count="1" selected="0">
            <x v="56"/>
          </reference>
          <reference field="5" count="1" selected="0">
            <x v="0"/>
          </reference>
          <reference field="7" count="1">
            <x v="43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187">
      <pivotArea dataOnly="0" labelOnly="1" outline="0" fieldPosition="0">
        <references count="7">
          <reference field="0" count="1" selected="0">
            <x v="3"/>
          </reference>
          <reference field="3" count="1" selected="0">
            <x v="9"/>
          </reference>
          <reference field="4" count="1" selected="0">
            <x v="38"/>
          </reference>
          <reference field="5" count="1" selected="0">
            <x v="0"/>
          </reference>
          <reference field="7" count="1">
            <x v="32"/>
          </reference>
          <reference field="8" count="1" selected="0">
            <x v="1"/>
          </reference>
          <reference field="9" count="1" selected="0">
            <x v="1"/>
          </reference>
        </references>
      </pivotArea>
    </format>
    <format dxfId="186">
      <pivotArea dataOnly="0" labelOnly="1" outline="0" fieldPosition="0">
        <references count="7">
          <reference field="0" count="1" selected="0">
            <x v="65"/>
          </reference>
          <reference field="3" count="1" selected="0">
            <x v="10"/>
          </reference>
          <reference field="4" count="1" selected="0">
            <x v="64"/>
          </reference>
          <reference field="5" count="1" selected="0">
            <x v="0"/>
          </reference>
          <reference field="7" count="1">
            <x v="50"/>
          </reference>
          <reference field="8" count="1" selected="0">
            <x v="2"/>
          </reference>
          <reference field="9" count="1" selected="0">
            <x v="1"/>
          </reference>
        </references>
      </pivotArea>
    </format>
    <format dxfId="185">
      <pivotArea dataOnly="0" labelOnly="1" outline="0" fieldPosition="0">
        <references count="7">
          <reference field="0" count="1" selected="0">
            <x v="7"/>
          </reference>
          <reference field="3" count="1" selected="0">
            <x v="11"/>
          </reference>
          <reference field="4" count="1" selected="0">
            <x v="62"/>
          </reference>
          <reference field="5" count="1" selected="0">
            <x v="0"/>
          </reference>
          <reference field="7" count="1">
            <x v="6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184">
      <pivotArea dataOnly="0" labelOnly="1" outline="0" fieldPosition="0">
        <references count="6">
          <reference field="0" count="1" selected="0">
            <x v="4"/>
          </reference>
          <reference field="3" count="1" selected="0">
            <x v="0"/>
          </reference>
          <reference field="4" count="1" selected="0">
            <x v="0"/>
          </reference>
          <reference field="5" count="1">
            <x v="0"/>
          </reference>
          <reference field="8" count="1" selected="0">
            <x v="1"/>
          </reference>
          <reference field="9" count="1" selected="0">
            <x v="1"/>
          </reference>
        </references>
      </pivotArea>
    </format>
    <format dxfId="183">
      <pivotArea dataOnly="0" labelOnly="1" outline="0" fieldPosition="0">
        <references count="6">
          <reference field="0" count="1" selected="0">
            <x v="58"/>
          </reference>
          <reference field="3" count="1" selected="0">
            <x v="0"/>
          </reference>
          <reference field="4" count="1" selected="0">
            <x v="47"/>
          </reference>
          <reference field="5" count="1">
            <x v="5"/>
          </reference>
          <reference field="8" count="1" selected="0">
            <x v="2"/>
          </reference>
          <reference field="9" count="1" selected="0">
            <x v="1"/>
          </reference>
        </references>
      </pivotArea>
    </format>
    <format dxfId="182">
      <pivotArea dataOnly="0" labelOnly="1" outline="0" fieldPosition="0">
        <references count="6">
          <reference field="0" count="1" selected="0">
            <x v="47"/>
          </reference>
          <reference field="3" count="1" selected="0">
            <x v="0"/>
          </reference>
          <reference field="4" count="1" selected="0">
            <x v="55"/>
          </reference>
          <reference field="5" count="1">
            <x v="0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181">
      <pivotArea dataOnly="0" labelOnly="1" outline="0" fieldPosition="0">
        <references count="6">
          <reference field="0" count="1" selected="0">
            <x v="59"/>
          </reference>
          <reference field="3" count="1" selected="0">
            <x v="1"/>
          </reference>
          <reference field="4" count="1" selected="0">
            <x v="65"/>
          </reference>
          <reference field="5" count="1">
            <x v="8"/>
          </reference>
          <reference field="8" count="1" selected="0">
            <x v="2"/>
          </reference>
          <reference field="9" count="1" selected="0">
            <x v="1"/>
          </reference>
        </references>
      </pivotArea>
    </format>
    <format dxfId="180">
      <pivotArea dataOnly="0" labelOnly="1" outline="0" fieldPosition="0">
        <references count="6">
          <reference field="0" count="1" selected="0">
            <x v="60"/>
          </reference>
          <reference field="3" count="1" selected="0">
            <x v="1"/>
          </reference>
          <reference field="4" count="1" selected="0">
            <x v="67"/>
          </reference>
          <reference field="5" count="1">
            <x v="9"/>
          </reference>
          <reference field="8" count="1" selected="0">
            <x v="2"/>
          </reference>
          <reference field="9" count="1" selected="0">
            <x v="1"/>
          </reference>
        </references>
      </pivotArea>
    </format>
    <format dxfId="179">
      <pivotArea dataOnly="0" labelOnly="1" outline="0" fieldPosition="0">
        <references count="6">
          <reference field="0" count="1" selected="0">
            <x v="49"/>
          </reference>
          <reference field="3" count="1" selected="0">
            <x v="2"/>
          </reference>
          <reference field="4" count="1" selected="0">
            <x v="24"/>
          </reference>
          <reference field="5" count="1">
            <x v="0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178">
      <pivotArea dataOnly="0" labelOnly="1" outline="0" fieldPosition="0">
        <references count="6">
          <reference field="0" count="1" selected="0">
            <x v="0"/>
          </reference>
          <reference field="3" count="1" selected="0">
            <x v="3"/>
          </reference>
          <reference field="4" count="1" selected="0">
            <x v="74"/>
          </reference>
          <reference field="5" count="1">
            <x v="13"/>
          </reference>
          <reference field="8" count="1" selected="0">
            <x v="3"/>
          </reference>
          <reference field="9" count="1" selected="0">
            <x v="1"/>
          </reference>
        </references>
      </pivotArea>
    </format>
    <format dxfId="177">
      <pivotArea dataOnly="0" labelOnly="1" outline="0" fieldPosition="0">
        <references count="6">
          <reference field="0" count="1" selected="0">
            <x v="1"/>
          </reference>
          <reference field="3" count="1" selected="0">
            <x v="3"/>
          </reference>
          <reference field="4" count="1" selected="0">
            <x v="72"/>
          </reference>
          <reference field="5" count="1">
            <x v="0"/>
          </reference>
          <reference field="8" count="1" selected="0">
            <x v="3"/>
          </reference>
          <reference field="9" count="1" selected="0">
            <x v="1"/>
          </reference>
        </references>
      </pivotArea>
    </format>
    <format dxfId="176">
      <pivotArea dataOnly="0" labelOnly="1" outline="0" fieldPosition="0">
        <references count="6">
          <reference field="0" count="1" selected="0">
            <x v="45"/>
          </reference>
          <reference field="3" count="1" selected="0">
            <x v="4"/>
          </reference>
          <reference field="4" count="1" selected="0">
            <x v="61"/>
          </reference>
          <reference field="5" count="1">
            <x v="0"/>
          </reference>
          <reference field="8" count="1" selected="0">
            <x v="4"/>
          </reference>
          <reference field="9" count="1" selected="0">
            <x v="1"/>
          </reference>
        </references>
      </pivotArea>
    </format>
    <format dxfId="175">
      <pivotArea dataOnly="0" labelOnly="1" outline="0" fieldPosition="0">
        <references count="6">
          <reference field="0" count="1" selected="0">
            <x v="72"/>
          </reference>
          <reference field="3" count="1" selected="0">
            <x v="5"/>
          </reference>
          <reference field="4" count="1" selected="0">
            <x v="51"/>
          </reference>
          <reference field="5" count="1">
            <x v="0"/>
          </reference>
          <reference field="8" count="1" selected="0">
            <x v="0"/>
          </reference>
          <reference field="9" count="1" selected="0">
            <x v="0"/>
          </reference>
        </references>
      </pivotArea>
    </format>
    <format dxfId="174">
      <pivotArea dataOnly="0" labelOnly="1" outline="0" fieldPosition="0">
        <references count="6">
          <reference field="0" count="1" selected="0">
            <x v="67"/>
          </reference>
          <reference field="3" count="1" selected="0">
            <x v="5"/>
          </reference>
          <reference field="4" count="1" selected="0">
            <x v="70"/>
          </reference>
          <reference field="5" count="1">
            <x v="12"/>
          </reference>
          <reference field="8" count="1" selected="0">
            <x v="0"/>
          </reference>
          <reference field="9" count="1" selected="0">
            <x v="1"/>
          </reference>
        </references>
      </pivotArea>
    </format>
    <format dxfId="173">
      <pivotArea dataOnly="0" labelOnly="1" outline="0" fieldPosition="0">
        <references count="6">
          <reference field="0" count="1" selected="0">
            <x v="68"/>
          </reference>
          <reference field="3" count="1" selected="0">
            <x v="5"/>
          </reference>
          <reference field="4" count="1" selected="0">
            <x v="71"/>
          </reference>
          <reference field="5" count="1">
            <x v="10"/>
          </reference>
          <reference field="8" count="1" selected="0">
            <x v="0"/>
          </reference>
          <reference field="9" count="1" selected="0">
            <x v="1"/>
          </reference>
        </references>
      </pivotArea>
    </format>
    <format dxfId="172">
      <pivotArea dataOnly="0" labelOnly="1" outline="0" fieldPosition="0">
        <references count="6">
          <reference field="0" count="1" selected="0">
            <x v="69"/>
          </reference>
          <reference field="3" count="1" selected="0">
            <x v="5"/>
          </reference>
          <reference field="4" count="1" selected="0">
            <x v="34"/>
          </reference>
          <reference field="5" count="1">
            <x v="0"/>
          </reference>
          <reference field="8" count="1" selected="0">
            <x v="0"/>
          </reference>
          <reference field="9" count="1" selected="0">
            <x v="1"/>
          </reference>
        </references>
      </pivotArea>
    </format>
    <format dxfId="171">
      <pivotArea dataOnly="0" labelOnly="1" outline="0" fieldPosition="0">
        <references count="6">
          <reference field="0" count="1" selected="0">
            <x v="70"/>
          </reference>
          <reference field="3" count="1" selected="0">
            <x v="5"/>
          </reference>
          <reference field="4" count="1" selected="0">
            <x v="60"/>
          </reference>
          <reference field="5" count="1">
            <x v="7"/>
          </reference>
          <reference field="8" count="1" selected="0">
            <x v="0"/>
          </reference>
          <reference field="9" count="1" selected="0">
            <x v="1"/>
          </reference>
        </references>
      </pivotArea>
    </format>
    <format dxfId="170">
      <pivotArea dataOnly="0" labelOnly="1" outline="0" fieldPosition="0">
        <references count="6">
          <reference field="0" count="1" selected="0">
            <x v="71"/>
          </reference>
          <reference field="3" count="1" selected="0">
            <x v="5"/>
          </reference>
          <reference field="4" count="1" selected="0">
            <x v="49"/>
          </reference>
          <reference field="5" count="1">
            <x v="4"/>
          </reference>
          <reference field="8" count="1" selected="0">
            <x v="0"/>
          </reference>
          <reference field="9" count="1" selected="0">
            <x v="1"/>
          </reference>
        </references>
      </pivotArea>
    </format>
    <format dxfId="169">
      <pivotArea dataOnly="0" labelOnly="1" outline="0" fieldPosition="0">
        <references count="6">
          <reference field="0" count="1" selected="0">
            <x v="73"/>
          </reference>
          <reference field="3" count="1" selected="0">
            <x v="5"/>
          </reference>
          <reference field="4" count="1" selected="0">
            <x v="16"/>
          </reference>
          <reference field="5" count="1">
            <x v="1"/>
          </reference>
          <reference field="8" count="1" selected="0">
            <x v="0"/>
          </reference>
          <reference field="9" count="1" selected="0">
            <x v="1"/>
          </reference>
        </references>
      </pivotArea>
    </format>
    <format dxfId="168">
      <pivotArea dataOnly="0" labelOnly="1" outline="0" fieldPosition="0">
        <references count="6">
          <reference field="0" count="1" selected="0">
            <x v="74"/>
          </reference>
          <reference field="3" count="1" selected="0">
            <x v="5"/>
          </reference>
          <reference field="4" count="1" selected="0">
            <x v="66"/>
          </reference>
          <reference field="5" count="1">
            <x v="0"/>
          </reference>
          <reference field="8" count="1" selected="0">
            <x v="0"/>
          </reference>
          <reference field="9" count="1" selected="0">
            <x v="1"/>
          </reference>
        </references>
      </pivotArea>
    </format>
  </formats>
  <pivotTableStyleInfo name="PivotStyleMedium1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710B2DC-655F-4792-B9BF-A15B730AA253}" name="PivotTable1" cacheId="80" applyNumberFormats="0" applyBorderFormats="0" applyFontFormats="0" applyPatternFormats="0" applyAlignmentFormats="0" applyWidthHeightFormats="1" dataCaption="Values" updatedVersion="8" minRefreshableVersion="3" showDrill="0" useAutoFormatting="1" colGrandTotals="0" itemPrintTitles="1" createdVersion="8" indent="0" compact="0" compactData="0" multipleFieldFilters="0">
  <location ref="A3:G31" firstHeaderRow="0" firstDataRow="1" firstDataCol="3"/>
  <pivotFields count="18">
    <pivotField compact="0" outline="0" subtotalTop="0" showAll="0" insertBlankRow="1" defaultSubtotal="0"/>
    <pivotField compact="0" numFmtId="14" outline="0" subtotalTop="0" showAll="0" insertBlankRow="1" defaultSubtotal="0"/>
    <pivotField compact="0" outline="0" subtotalTop="0" showAll="0" insertBlankRow="1" defaultSubtotal="0"/>
    <pivotField axis="axisRow" compact="0" outline="0" subtotalTop="0" showAll="0" defaultSubtotal="0">
      <items count="18">
        <item x="0"/>
        <item x="6"/>
        <item m="1" x="15"/>
        <item x="1"/>
        <item m="1" x="17"/>
        <item m="1" x="13"/>
        <item m="1" x="16"/>
        <item x="2"/>
        <item m="1" x="14"/>
        <item m="1" x="12"/>
        <item m="1" x="11"/>
        <item x="4"/>
        <item m="1" x="10"/>
        <item m="1" x="9"/>
        <item x="3"/>
        <item x="8"/>
        <item x="5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insertPageBreak="1" defaultSubtotal="0">
      <items count="24">
        <item x="5"/>
        <item m="1" x="22"/>
        <item m="1" x="18"/>
        <item x="7"/>
        <item m="1" x="21"/>
        <item x="1"/>
        <item m="1" x="23"/>
        <item m="1" x="12"/>
        <item m="1" x="17"/>
        <item m="1" x="19"/>
        <item m="1" x="20"/>
        <item x="3"/>
        <item x="10"/>
        <item m="1" x="13"/>
        <item x="8"/>
        <item x="2"/>
        <item m="1" x="16"/>
        <item m="1" x="15"/>
        <item x="4"/>
        <item x="0"/>
        <item x="9"/>
        <item x="6"/>
        <item m="1" x="14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insertBlankRow="1" defaultSubtotal="0"/>
    <pivotField axis="axisRow" compact="0" subtotalTop="0" showAll="0" defaultSubtotal="0">
      <items count="2">
        <item x="1"/>
        <item x="0"/>
      </items>
    </pivotField>
    <pivotField compact="0" outline="0" subtotalTop="0" showAll="0" insertBlankRow="1" defaultSubtotal="0"/>
    <pivotField compact="0" outline="0" subtotalTop="0" showAll="0" insertBlankRow="1" defaultSubtotal="0"/>
    <pivotField compact="0" outline="0" subtotalTop="0" showAll="0" insertBlankRow="1" defaultSubtotal="0"/>
    <pivotField dataField="1" compact="0" outline="0" subtotalTop="0" showAll="0" insertBlankRow="1" defaultSubtotal="0"/>
    <pivotField dataField="1" compact="0" outline="0" subtotalTop="0" showAll="0" insertBlankRow="1" defaultSubtotal="0"/>
    <pivotField dataField="1" compact="0" outline="0" subtotalTop="0" showAll="0" insertBlankRow="1" defaultSubtotal="0"/>
    <pivotField dataField="1" compact="0" outline="0" subtotalTop="0" showAll="0" insertBlankRow="1" defaultSubtotal="0"/>
    <pivotField compact="0" numFmtId="14" outline="0" subtotalTop="0" showAll="0" insertBlankRow="1" defaultSubtotal="0"/>
    <pivotField compact="0" numFmtId="14" outline="0" subtotalTop="0" showAll="0" insertBlankRow="1" defaultSubtotal="0"/>
    <pivotField compact="0" outline="0" subtotalTop="0" showAll="0" insertBlankRow="1" defaultSubtotal="0"/>
    <pivotField compact="0" outline="0" subtotalTop="0" showAll="0" insertBlankRow="1" defaultSubtotal="0"/>
  </pivotFields>
  <rowFields count="3">
    <field x="3"/>
    <field x="4"/>
    <field x="6"/>
  </rowFields>
  <rowItems count="28">
    <i>
      <x/>
      <x v="3"/>
      <x v="1"/>
    </i>
    <i r="1">
      <x v="5"/>
      <x v="1"/>
    </i>
    <i r="1">
      <x v="12"/>
      <x v="1"/>
    </i>
    <i r="1">
      <x v="14"/>
      <x v="1"/>
    </i>
    <i r="1">
      <x v="18"/>
      <x v="1"/>
    </i>
    <i r="1">
      <x v="19"/>
      <x v="1"/>
    </i>
    <i r="1">
      <x v="21"/>
      <x v="1"/>
    </i>
    <i>
      <x v="1"/>
      <x v="5"/>
      <x v="1"/>
    </i>
    <i r="1">
      <x v="14"/>
      <x v="1"/>
    </i>
    <i>
      <x v="3"/>
      <x/>
      <x v="1"/>
    </i>
    <i r="1">
      <x v="3"/>
      <x v="1"/>
    </i>
    <i r="1">
      <x v="5"/>
      <x v="1"/>
    </i>
    <i r="1">
      <x v="11"/>
      <x v="1"/>
    </i>
    <i r="1">
      <x v="14"/>
      <x v="1"/>
    </i>
    <i r="1">
      <x v="15"/>
      <x v="1"/>
    </i>
    <i r="1">
      <x v="18"/>
      <x v="1"/>
    </i>
    <i r="1">
      <x v="20"/>
      <x/>
    </i>
    <i r="1">
      <x v="21"/>
      <x/>
    </i>
    <i r="2">
      <x v="1"/>
    </i>
    <i r="1">
      <x v="23"/>
      <x v="1"/>
    </i>
    <i>
      <x v="7"/>
      <x/>
      <x v="1"/>
    </i>
    <i r="1">
      <x v="11"/>
      <x v="1"/>
    </i>
    <i>
      <x v="11"/>
      <x v="11"/>
      <x v="1"/>
    </i>
    <i>
      <x v="14"/>
      <x v="3"/>
      <x v="1"/>
    </i>
    <i>
      <x v="15"/>
      <x v="21"/>
      <x v="1"/>
    </i>
    <i>
      <x v="16"/>
      <x v="11"/>
      <x v="1"/>
    </i>
    <i>
      <x v="17"/>
      <x v="11"/>
      <x v="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LC Amt(SAR) " fld="10" baseField="0" baseItem="0"/>
    <dataField name="LC Settled " fld="11" baseField="0" baseItem="0"/>
    <dataField name="Pending Settlement " fld="12" baseField="0" baseItem="0"/>
    <dataField name="LC Balance " fld="13" baseField="0" baseItem="0"/>
  </dataFields>
  <formats count="123">
    <format dxfId="134">
      <pivotArea outline="0" collapsedLevelsAreSubtotals="1" fieldPosition="0"/>
    </format>
    <format dxfId="133">
      <pivotArea dataOnly="0" labelOnly="1" outline="0" fieldPosition="0">
        <references count="3">
          <reference field="3" count="1" selected="0">
            <x v="0"/>
          </reference>
          <reference field="4" count="1" selected="0">
            <x v="5"/>
          </reference>
          <reference field="6" count="1">
            <x v="0"/>
          </reference>
        </references>
      </pivotArea>
    </format>
    <format dxfId="132">
      <pivotArea dataOnly="0" labelOnly="1" outline="0" fieldPosition="0">
        <references count="3">
          <reference field="3" count="1" selected="0">
            <x v="3"/>
          </reference>
          <reference field="4" count="1" selected="0">
            <x v="7"/>
          </reference>
          <reference field="6" count="1">
            <x v="0"/>
          </reference>
        </references>
      </pivotArea>
    </format>
    <format dxfId="131">
      <pivotArea field="3" type="button" dataOnly="0" labelOnly="1" outline="0" axis="axisRow" fieldPosition="0"/>
    </format>
    <format dxfId="130">
      <pivotArea field="4" type="button" dataOnly="0" labelOnly="1" outline="0" axis="axisRow" fieldPosition="1"/>
    </format>
    <format dxfId="129">
      <pivotArea field="6" type="button" dataOnly="0" labelOnly="1" outline="0" axis="axisRow" fieldPosition="2"/>
    </format>
    <format dxfId="128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27">
      <pivotArea field="3" type="button" dataOnly="0" labelOnly="1" outline="0" axis="axisRow" fieldPosition="0"/>
    </format>
    <format dxfId="126">
      <pivotArea field="4" type="button" dataOnly="0" labelOnly="1" outline="0" axis="axisRow" fieldPosition="1"/>
    </format>
    <format dxfId="125">
      <pivotArea field="6" type="button" dataOnly="0" labelOnly="1" outline="0" axis="axisRow" fieldPosition="2"/>
    </format>
    <format dxfId="124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23">
      <pivotArea field="3" type="button" dataOnly="0" labelOnly="1" outline="0" axis="axisRow" fieldPosition="0"/>
    </format>
    <format dxfId="122">
      <pivotArea field="4" type="button" dataOnly="0" labelOnly="1" outline="0" axis="axisRow" fieldPosition="1"/>
    </format>
    <format dxfId="121">
      <pivotArea field="6" type="button" dataOnly="0" labelOnly="1" outline="0" axis="axisRow" fieldPosition="2"/>
    </format>
    <format dxfId="120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19">
      <pivotArea dataOnly="0" labelOnly="1" outline="0" fieldPosition="0">
        <references count="3">
          <reference field="3" count="1" selected="0">
            <x v="0"/>
          </reference>
          <reference field="4" count="1" selected="0">
            <x v="2"/>
          </reference>
          <reference field="6" count="1">
            <x v="1"/>
          </reference>
        </references>
      </pivotArea>
    </format>
    <format dxfId="118">
      <pivotArea dataOnly="0" labelOnly="1" outline="0" fieldPosition="0">
        <references count="3">
          <reference field="3" count="1" selected="0">
            <x v="0"/>
          </reference>
          <reference field="4" count="1" selected="0">
            <x v="4"/>
          </reference>
          <reference field="6" count="1">
            <x v="1"/>
          </reference>
        </references>
      </pivotArea>
    </format>
    <format dxfId="117">
      <pivotArea dataOnly="0" labelOnly="1" outline="0" fieldPosition="0">
        <references count="3">
          <reference field="3" count="1" selected="0">
            <x v="0"/>
          </reference>
          <reference field="4" count="1" selected="0">
            <x v="5"/>
          </reference>
          <reference field="6" count="0"/>
        </references>
      </pivotArea>
    </format>
    <format dxfId="116">
      <pivotArea dataOnly="0" labelOnly="1" outline="0" fieldPosition="0">
        <references count="3">
          <reference field="3" count="1" selected="0">
            <x v="1"/>
          </reference>
          <reference field="4" count="1" selected="0">
            <x v="0"/>
          </reference>
          <reference field="6" count="1">
            <x v="1"/>
          </reference>
        </references>
      </pivotArea>
    </format>
    <format dxfId="115">
      <pivotArea dataOnly="0" labelOnly="1" outline="0" fieldPosition="0">
        <references count="3">
          <reference field="3" count="1" selected="0">
            <x v="1"/>
          </reference>
          <reference field="4" count="1" selected="0">
            <x v="1"/>
          </reference>
          <reference field="6" count="1">
            <x v="1"/>
          </reference>
        </references>
      </pivotArea>
    </format>
    <format dxfId="114">
      <pivotArea dataOnly="0" labelOnly="1" outline="0" fieldPosition="0">
        <references count="3">
          <reference field="3" count="1" selected="0">
            <x v="2"/>
          </reference>
          <reference field="4" count="1" selected="0">
            <x v="5"/>
          </reference>
          <reference field="6" count="1">
            <x v="1"/>
          </reference>
        </references>
      </pivotArea>
    </format>
    <format dxfId="113">
      <pivotArea dataOnly="0" labelOnly="1" outline="0" fieldPosition="0">
        <references count="3">
          <reference field="3" count="1" selected="0">
            <x v="3"/>
          </reference>
          <reference field="4" count="1" selected="0">
            <x v="0"/>
          </reference>
          <reference field="6" count="1">
            <x v="1"/>
          </reference>
        </references>
      </pivotArea>
    </format>
    <format dxfId="112">
      <pivotArea dataOnly="0" labelOnly="1" outline="0" fieldPosition="0">
        <references count="3">
          <reference field="3" count="1" selected="0">
            <x v="3"/>
          </reference>
          <reference field="4" count="1" selected="0">
            <x v="3"/>
          </reference>
          <reference field="6" count="1">
            <x v="1"/>
          </reference>
        </references>
      </pivotArea>
    </format>
    <format dxfId="111">
      <pivotArea dataOnly="0" labelOnly="1" outline="0" fieldPosition="0">
        <references count="3">
          <reference field="3" count="1" selected="0">
            <x v="3"/>
          </reference>
          <reference field="4" count="1" selected="0">
            <x v="5"/>
          </reference>
          <reference field="6" count="1">
            <x v="1"/>
          </reference>
        </references>
      </pivotArea>
    </format>
    <format dxfId="110">
      <pivotArea dataOnly="0" labelOnly="1" outline="0" fieldPosition="0">
        <references count="3">
          <reference field="3" count="1" selected="0">
            <x v="3"/>
          </reference>
          <reference field="4" count="1" selected="0">
            <x v="6"/>
          </reference>
          <reference field="6" count="1">
            <x v="1"/>
          </reference>
        </references>
      </pivotArea>
    </format>
    <format dxfId="109">
      <pivotArea dataOnly="0" labelOnly="1" outline="0" fieldPosition="0">
        <references count="3">
          <reference field="3" count="1" selected="0">
            <x v="3"/>
          </reference>
          <reference field="4" count="1" selected="0">
            <x v="7"/>
          </reference>
          <reference field="6" count="0"/>
        </references>
      </pivotArea>
    </format>
    <format dxfId="108">
      <pivotArea dataOnly="0" labelOnly="1" outline="0" fieldPosition="0">
        <references count="3">
          <reference field="3" count="1" selected="0">
            <x v="3"/>
          </reference>
          <reference field="4" count="1" selected="0">
            <x v="9"/>
          </reference>
          <reference field="6" count="1">
            <x v="1"/>
          </reference>
        </references>
      </pivotArea>
    </format>
    <format dxfId="107">
      <pivotArea dataOnly="0" labelOnly="1" outline="0" fieldPosition="0">
        <references count="3">
          <reference field="3" count="1" selected="0">
            <x v="3"/>
          </reference>
          <reference field="4" count="1" selected="0">
            <x v="10"/>
          </reference>
          <reference field="6" count="1">
            <x v="1"/>
          </reference>
        </references>
      </pivotArea>
    </format>
    <format dxfId="106">
      <pivotArea dataOnly="0" labelOnly="1" outline="0" fieldPosition="0">
        <references count="3">
          <reference field="3" count="1" selected="0">
            <x v="3"/>
          </reference>
          <reference field="4" count="1" selected="0">
            <x v="11"/>
          </reference>
          <reference field="6" count="1">
            <x v="1"/>
          </reference>
        </references>
      </pivotArea>
    </format>
    <format dxfId="105">
      <pivotArea dataOnly="0" labelOnly="1" outline="0" fieldPosition="0">
        <references count="3">
          <reference field="3" count="1" selected="0">
            <x v="4"/>
          </reference>
          <reference field="4" count="1" selected="0">
            <x v="8"/>
          </reference>
          <reference field="6" count="1">
            <x v="1"/>
          </reference>
        </references>
      </pivotArea>
    </format>
    <format dxfId="104">
      <pivotArea dataOnly="0" labelOnly="1" outline="0" fieldPosition="0">
        <references count="1">
          <reference field="3" count="4">
            <x v="0"/>
            <x v="1"/>
            <x v="2"/>
            <x v="3"/>
          </reference>
        </references>
      </pivotArea>
    </format>
    <format dxfId="103">
      <pivotArea dataOnly="0" labelOnly="1" outline="0" fieldPosition="0">
        <references count="1">
          <reference field="3" count="1">
            <x v="4"/>
          </reference>
        </references>
      </pivotArea>
    </format>
    <format dxfId="102">
      <pivotArea dataOnly="0" labelOnly="1" outline="0" fieldPosition="0">
        <references count="2">
          <reference field="3" count="1" selected="0">
            <x v="0"/>
          </reference>
          <reference field="4" count="1">
            <x v="2"/>
          </reference>
        </references>
      </pivotArea>
    </format>
    <format dxfId="101">
      <pivotArea dataOnly="0" labelOnly="1" outline="0" fieldPosition="0">
        <references count="2">
          <reference field="3" count="1" selected="0">
            <x v="0"/>
          </reference>
          <reference field="4" count="1">
            <x v="4"/>
          </reference>
        </references>
      </pivotArea>
    </format>
    <format dxfId="100">
      <pivotArea dataOnly="0" labelOnly="1" outline="0" fieldPosition="0">
        <references count="2">
          <reference field="3" count="1" selected="0">
            <x v="0"/>
          </reference>
          <reference field="4" count="1">
            <x v="5"/>
          </reference>
        </references>
      </pivotArea>
    </format>
    <format dxfId="99">
      <pivotArea dataOnly="0" labelOnly="1" outline="0" fieldPosition="0">
        <references count="2">
          <reference field="3" count="1" selected="0">
            <x v="1"/>
          </reference>
          <reference field="4" count="1">
            <x v="0"/>
          </reference>
        </references>
      </pivotArea>
    </format>
    <format dxfId="98">
      <pivotArea dataOnly="0" labelOnly="1" outline="0" fieldPosition="0">
        <references count="2">
          <reference field="3" count="1" selected="0">
            <x v="1"/>
          </reference>
          <reference field="4" count="1">
            <x v="1"/>
          </reference>
        </references>
      </pivotArea>
    </format>
    <format dxfId="97">
      <pivotArea dataOnly="0" labelOnly="1" outline="0" fieldPosition="0">
        <references count="2">
          <reference field="3" count="1" selected="0">
            <x v="2"/>
          </reference>
          <reference field="4" count="1">
            <x v="5"/>
          </reference>
        </references>
      </pivotArea>
    </format>
    <format dxfId="96">
      <pivotArea dataOnly="0" labelOnly="1" outline="0" fieldPosition="0">
        <references count="2">
          <reference field="3" count="1" selected="0">
            <x v="3"/>
          </reference>
          <reference field="4" count="1">
            <x v="0"/>
          </reference>
        </references>
      </pivotArea>
    </format>
    <format dxfId="95">
      <pivotArea dataOnly="0" labelOnly="1" outline="0" fieldPosition="0">
        <references count="2">
          <reference field="3" count="1" selected="0">
            <x v="3"/>
          </reference>
          <reference field="4" count="1">
            <x v="3"/>
          </reference>
        </references>
      </pivotArea>
    </format>
    <format dxfId="94">
      <pivotArea dataOnly="0" labelOnly="1" outline="0" fieldPosition="0">
        <references count="2">
          <reference field="3" count="1" selected="0">
            <x v="3"/>
          </reference>
          <reference field="4" count="1">
            <x v="5"/>
          </reference>
        </references>
      </pivotArea>
    </format>
    <format dxfId="93">
      <pivotArea dataOnly="0" labelOnly="1" outline="0" fieldPosition="0">
        <references count="2">
          <reference field="3" count="1" selected="0">
            <x v="3"/>
          </reference>
          <reference field="4" count="1">
            <x v="6"/>
          </reference>
        </references>
      </pivotArea>
    </format>
    <format dxfId="92">
      <pivotArea dataOnly="0" labelOnly="1" outline="0" fieldPosition="0">
        <references count="2">
          <reference field="3" count="1" selected="0">
            <x v="3"/>
          </reference>
          <reference field="4" count="1">
            <x v="7"/>
          </reference>
        </references>
      </pivotArea>
    </format>
    <format dxfId="91">
      <pivotArea dataOnly="0" labelOnly="1" outline="0" fieldPosition="0">
        <references count="2">
          <reference field="3" count="1" selected="0">
            <x v="3"/>
          </reference>
          <reference field="4" count="1">
            <x v="9"/>
          </reference>
        </references>
      </pivotArea>
    </format>
    <format dxfId="90">
      <pivotArea dataOnly="0" labelOnly="1" outline="0" fieldPosition="0">
        <references count="2">
          <reference field="3" count="1" selected="0">
            <x v="3"/>
          </reference>
          <reference field="4" count="1">
            <x v="10"/>
          </reference>
        </references>
      </pivotArea>
    </format>
    <format dxfId="89">
      <pivotArea dataOnly="0" labelOnly="1" outline="0" fieldPosition="0">
        <references count="2">
          <reference field="3" count="1" selected="0">
            <x v="3"/>
          </reference>
          <reference field="4" count="1">
            <x v="11"/>
          </reference>
        </references>
      </pivotArea>
    </format>
    <format dxfId="88">
      <pivotArea dataOnly="0" labelOnly="1" outline="0" fieldPosition="0">
        <references count="2">
          <reference field="3" count="1" selected="0">
            <x v="4"/>
          </reference>
          <reference field="4" count="1">
            <x v="8"/>
          </reference>
        </references>
      </pivotArea>
    </format>
    <format dxfId="87">
      <pivotArea outline="0" collapsedLevelsAreSubtotals="1" fieldPosition="0"/>
    </format>
    <format dxfId="86">
      <pivotArea dataOnly="0" labelOnly="1" outline="0" fieldPosition="0">
        <references count="1">
          <reference field="3" count="0"/>
        </references>
      </pivotArea>
    </format>
    <format dxfId="85">
      <pivotArea dataOnly="0" labelOnly="1" outline="0" fieldPosition="0">
        <references count="2">
          <reference field="3" count="1" selected="0">
            <x v="0"/>
          </reference>
          <reference field="4" count="3">
            <x v="2"/>
            <x v="4"/>
            <x v="5"/>
          </reference>
        </references>
      </pivotArea>
    </format>
    <format dxfId="84">
      <pivotArea dataOnly="0" labelOnly="1" outline="0" fieldPosition="0">
        <references count="2">
          <reference field="3" count="1" selected="0">
            <x v="1"/>
          </reference>
          <reference field="4" count="2">
            <x v="0"/>
            <x v="1"/>
          </reference>
        </references>
      </pivotArea>
    </format>
    <format dxfId="83">
      <pivotArea dataOnly="0" labelOnly="1" outline="0" fieldPosition="0">
        <references count="2">
          <reference field="3" count="1" selected="0">
            <x v="2"/>
          </reference>
          <reference field="4" count="1">
            <x v="5"/>
          </reference>
        </references>
      </pivotArea>
    </format>
    <format dxfId="82">
      <pivotArea dataOnly="0" labelOnly="1" outline="0" fieldPosition="0">
        <references count="2">
          <reference field="3" count="1" selected="0">
            <x v="3"/>
          </reference>
          <reference field="4" count="8">
            <x v="0"/>
            <x v="3"/>
            <x v="5"/>
            <x v="6"/>
            <x v="7"/>
            <x v="9"/>
            <x v="10"/>
            <x v="11"/>
          </reference>
        </references>
      </pivotArea>
    </format>
    <format dxfId="81">
      <pivotArea dataOnly="0" labelOnly="1" outline="0" fieldPosition="0">
        <references count="2">
          <reference field="3" count="1" selected="0">
            <x v="4"/>
          </reference>
          <reference field="4" count="1">
            <x v="8"/>
          </reference>
        </references>
      </pivotArea>
    </format>
    <format dxfId="80">
      <pivotArea dataOnly="0" labelOnly="1" outline="0" fieldPosition="0">
        <references count="3">
          <reference field="3" count="1" selected="0">
            <x v="0"/>
          </reference>
          <reference field="4" count="1" selected="0">
            <x v="2"/>
          </reference>
          <reference field="6" count="1">
            <x v="1"/>
          </reference>
        </references>
      </pivotArea>
    </format>
    <format dxfId="79">
      <pivotArea dataOnly="0" labelOnly="1" outline="0" fieldPosition="0">
        <references count="3">
          <reference field="3" count="1" selected="0">
            <x v="0"/>
          </reference>
          <reference field="4" count="1" selected="0">
            <x v="4"/>
          </reference>
          <reference field="6" count="1">
            <x v="1"/>
          </reference>
        </references>
      </pivotArea>
    </format>
    <format dxfId="78">
      <pivotArea dataOnly="0" labelOnly="1" outline="0" fieldPosition="0">
        <references count="3">
          <reference field="3" count="1" selected="0">
            <x v="0"/>
          </reference>
          <reference field="4" count="1" selected="0">
            <x v="5"/>
          </reference>
          <reference field="6" count="0"/>
        </references>
      </pivotArea>
    </format>
    <format dxfId="77">
      <pivotArea dataOnly="0" labelOnly="1" outline="0" fieldPosition="0">
        <references count="3">
          <reference field="3" count="1" selected="0">
            <x v="1"/>
          </reference>
          <reference field="4" count="1" selected="0">
            <x v="0"/>
          </reference>
          <reference field="6" count="1">
            <x v="1"/>
          </reference>
        </references>
      </pivotArea>
    </format>
    <format dxfId="76">
      <pivotArea dataOnly="0" labelOnly="1" outline="0" fieldPosition="0">
        <references count="3">
          <reference field="3" count="1" selected="0">
            <x v="1"/>
          </reference>
          <reference field="4" count="1" selected="0">
            <x v="1"/>
          </reference>
          <reference field="6" count="1">
            <x v="1"/>
          </reference>
        </references>
      </pivotArea>
    </format>
    <format dxfId="75">
      <pivotArea dataOnly="0" labelOnly="1" outline="0" fieldPosition="0">
        <references count="3">
          <reference field="3" count="1" selected="0">
            <x v="2"/>
          </reference>
          <reference field="4" count="1" selected="0">
            <x v="5"/>
          </reference>
          <reference field="6" count="1">
            <x v="1"/>
          </reference>
        </references>
      </pivotArea>
    </format>
    <format dxfId="74">
      <pivotArea dataOnly="0" labelOnly="1" outline="0" fieldPosition="0">
        <references count="3">
          <reference field="3" count="1" selected="0">
            <x v="3"/>
          </reference>
          <reference field="4" count="1" selected="0">
            <x v="0"/>
          </reference>
          <reference field="6" count="1">
            <x v="1"/>
          </reference>
        </references>
      </pivotArea>
    </format>
    <format dxfId="73">
      <pivotArea dataOnly="0" labelOnly="1" outline="0" fieldPosition="0">
        <references count="3">
          <reference field="3" count="1" selected="0">
            <x v="3"/>
          </reference>
          <reference field="4" count="1" selected="0">
            <x v="3"/>
          </reference>
          <reference field="6" count="1">
            <x v="1"/>
          </reference>
        </references>
      </pivotArea>
    </format>
    <format dxfId="72">
      <pivotArea dataOnly="0" labelOnly="1" outline="0" fieldPosition="0">
        <references count="3">
          <reference field="3" count="1" selected="0">
            <x v="3"/>
          </reference>
          <reference field="4" count="1" selected="0">
            <x v="5"/>
          </reference>
          <reference field="6" count="1">
            <x v="1"/>
          </reference>
        </references>
      </pivotArea>
    </format>
    <format dxfId="71">
      <pivotArea dataOnly="0" labelOnly="1" outline="0" fieldPosition="0">
        <references count="3">
          <reference field="3" count="1" selected="0">
            <x v="3"/>
          </reference>
          <reference field="4" count="1" selected="0">
            <x v="6"/>
          </reference>
          <reference field="6" count="1">
            <x v="1"/>
          </reference>
        </references>
      </pivotArea>
    </format>
    <format dxfId="70">
      <pivotArea dataOnly="0" labelOnly="1" outline="0" fieldPosition="0">
        <references count="3">
          <reference field="3" count="1" selected="0">
            <x v="3"/>
          </reference>
          <reference field="4" count="1" selected="0">
            <x v="7"/>
          </reference>
          <reference field="6" count="0"/>
        </references>
      </pivotArea>
    </format>
    <format dxfId="69">
      <pivotArea dataOnly="0" labelOnly="1" outline="0" fieldPosition="0">
        <references count="3">
          <reference field="3" count="1" selected="0">
            <x v="3"/>
          </reference>
          <reference field="4" count="1" selected="0">
            <x v="9"/>
          </reference>
          <reference field="6" count="1">
            <x v="1"/>
          </reference>
        </references>
      </pivotArea>
    </format>
    <format dxfId="68">
      <pivotArea dataOnly="0" labelOnly="1" outline="0" fieldPosition="0">
        <references count="3">
          <reference field="3" count="1" selected="0">
            <x v="3"/>
          </reference>
          <reference field="4" count="1" selected="0">
            <x v="10"/>
          </reference>
          <reference field="6" count="1">
            <x v="1"/>
          </reference>
        </references>
      </pivotArea>
    </format>
    <format dxfId="67">
      <pivotArea dataOnly="0" labelOnly="1" outline="0" fieldPosition="0">
        <references count="3">
          <reference field="3" count="1" selected="0">
            <x v="3"/>
          </reference>
          <reference field="4" count="1" selected="0">
            <x v="11"/>
          </reference>
          <reference field="6" count="1">
            <x v="1"/>
          </reference>
        </references>
      </pivotArea>
    </format>
    <format dxfId="66">
      <pivotArea dataOnly="0" labelOnly="1" outline="0" fieldPosition="0">
        <references count="3">
          <reference field="3" count="1" selected="0">
            <x v="4"/>
          </reference>
          <reference field="4" count="1" selected="0">
            <x v="8"/>
          </reference>
          <reference field="6" count="1">
            <x v="1"/>
          </reference>
        </references>
      </pivotArea>
    </format>
    <format dxfId="65">
      <pivotArea grandRow="1" outline="0" collapsedLevelsAreSubtotals="1" fieldPosition="0"/>
    </format>
    <format dxfId="64">
      <pivotArea dataOnly="0" labelOnly="1" grandRow="1" outline="0" fieldPosition="0"/>
    </format>
    <format dxfId="63">
      <pivotArea fieldPosition="0">
        <references count="4">
          <reference field="4294967294" count="1" selected="0">
            <x v="3"/>
          </reference>
          <reference field="3" count="1" selected="0">
            <x v="0"/>
          </reference>
          <reference field="4" count="1" selected="0">
            <x v="2"/>
          </reference>
          <reference field="6" count="1">
            <x v="1"/>
          </reference>
        </references>
      </pivotArea>
    </format>
    <format dxfId="62">
      <pivotArea fieldPosition="0">
        <references count="3">
          <reference field="4294967294" count="1" selected="0">
            <x v="3"/>
          </reference>
          <reference field="3" count="1" selected="0">
            <x v="0"/>
          </reference>
          <reference field="4" count="1">
            <x v="2"/>
          </reference>
        </references>
      </pivotArea>
    </format>
    <format dxfId="61">
      <pivotArea fieldPosition="0">
        <references count="4">
          <reference field="4294967294" count="1" selected="0">
            <x v="3"/>
          </reference>
          <reference field="3" count="1" selected="0">
            <x v="0"/>
          </reference>
          <reference field="4" count="1" selected="0">
            <x v="4"/>
          </reference>
          <reference field="6" count="1">
            <x v="1"/>
          </reference>
        </references>
      </pivotArea>
    </format>
    <format dxfId="60">
      <pivotArea fieldPosition="0">
        <references count="3">
          <reference field="4294967294" count="1" selected="0">
            <x v="3"/>
          </reference>
          <reference field="3" count="1" selected="0">
            <x v="0"/>
          </reference>
          <reference field="4" count="1">
            <x v="4"/>
          </reference>
        </references>
      </pivotArea>
    </format>
    <format dxfId="59">
      <pivotArea fieldPosition="0">
        <references count="4">
          <reference field="4294967294" count="1" selected="0">
            <x v="3"/>
          </reference>
          <reference field="3" count="1" selected="0">
            <x v="0"/>
          </reference>
          <reference field="4" count="1" selected="0">
            <x v="5"/>
          </reference>
          <reference field="6" count="0"/>
        </references>
      </pivotArea>
    </format>
    <format dxfId="58">
      <pivotArea fieldPosition="0">
        <references count="3">
          <reference field="4294967294" count="1" selected="0">
            <x v="3"/>
          </reference>
          <reference field="3" count="1" selected="0">
            <x v="0"/>
          </reference>
          <reference field="4" count="1">
            <x v="5"/>
          </reference>
        </references>
      </pivotArea>
    </format>
    <format dxfId="57">
      <pivotArea fieldPosition="0">
        <references count="4">
          <reference field="4294967294" count="1" selected="0">
            <x v="3"/>
          </reference>
          <reference field="3" count="1" selected="0">
            <x v="1"/>
          </reference>
          <reference field="4" count="1" selected="0">
            <x v="0"/>
          </reference>
          <reference field="6" count="1">
            <x v="1"/>
          </reference>
        </references>
      </pivotArea>
    </format>
    <format dxfId="56">
      <pivotArea fieldPosition="0">
        <references count="3">
          <reference field="4294967294" count="1" selected="0">
            <x v="3"/>
          </reference>
          <reference field="3" count="1" selected="0">
            <x v="1"/>
          </reference>
          <reference field="4" count="1">
            <x v="0"/>
          </reference>
        </references>
      </pivotArea>
    </format>
    <format dxfId="55">
      <pivotArea fieldPosition="0">
        <references count="4">
          <reference field="4294967294" count="1" selected="0">
            <x v="3"/>
          </reference>
          <reference field="3" count="1" selected="0">
            <x v="1"/>
          </reference>
          <reference field="4" count="1" selected="0">
            <x v="1"/>
          </reference>
          <reference field="6" count="1">
            <x v="1"/>
          </reference>
        </references>
      </pivotArea>
    </format>
    <format dxfId="54">
      <pivotArea fieldPosition="0">
        <references count="3">
          <reference field="4294967294" count="1" selected="0">
            <x v="3"/>
          </reference>
          <reference field="3" count="1" selected="0">
            <x v="1"/>
          </reference>
          <reference field="4" count="1">
            <x v="1"/>
          </reference>
        </references>
      </pivotArea>
    </format>
    <format dxfId="53">
      <pivotArea fieldPosition="0">
        <references count="4">
          <reference field="4294967294" count="1" selected="0">
            <x v="3"/>
          </reference>
          <reference field="3" count="1" selected="0">
            <x v="2"/>
          </reference>
          <reference field="4" count="1" selected="0">
            <x v="5"/>
          </reference>
          <reference field="6" count="1">
            <x v="1"/>
          </reference>
        </references>
      </pivotArea>
    </format>
    <format dxfId="52">
      <pivotArea fieldPosition="0">
        <references count="3">
          <reference field="4294967294" count="1" selected="0">
            <x v="3"/>
          </reference>
          <reference field="3" count="1" selected="0">
            <x v="2"/>
          </reference>
          <reference field="4" count="1">
            <x v="5"/>
          </reference>
        </references>
      </pivotArea>
    </format>
    <format dxfId="51">
      <pivotArea fieldPosition="0">
        <references count="4">
          <reference field="4294967294" count="1" selected="0">
            <x v="3"/>
          </reference>
          <reference field="3" count="1" selected="0">
            <x v="3"/>
          </reference>
          <reference field="4" count="1" selected="0">
            <x v="0"/>
          </reference>
          <reference field="6" count="1">
            <x v="1"/>
          </reference>
        </references>
      </pivotArea>
    </format>
    <format dxfId="50">
      <pivotArea fieldPosition="0">
        <references count="3">
          <reference field="4294967294" count="1" selected="0">
            <x v="3"/>
          </reference>
          <reference field="3" count="1" selected="0">
            <x v="3"/>
          </reference>
          <reference field="4" count="1">
            <x v="0"/>
          </reference>
        </references>
      </pivotArea>
    </format>
    <format dxfId="49">
      <pivotArea fieldPosition="0">
        <references count="4">
          <reference field="4294967294" count="1" selected="0">
            <x v="3"/>
          </reference>
          <reference field="3" count="1" selected="0">
            <x v="3"/>
          </reference>
          <reference field="4" count="1" selected="0">
            <x v="3"/>
          </reference>
          <reference field="6" count="1">
            <x v="1"/>
          </reference>
        </references>
      </pivotArea>
    </format>
    <format dxfId="48">
      <pivotArea fieldPosition="0">
        <references count="3">
          <reference field="4294967294" count="1" selected="0">
            <x v="3"/>
          </reference>
          <reference field="3" count="1" selected="0">
            <x v="3"/>
          </reference>
          <reference field="4" count="1">
            <x v="3"/>
          </reference>
        </references>
      </pivotArea>
    </format>
    <format dxfId="47">
      <pivotArea fieldPosition="0">
        <references count="4">
          <reference field="4294967294" count="1" selected="0">
            <x v="3"/>
          </reference>
          <reference field="3" count="1" selected="0">
            <x v="3"/>
          </reference>
          <reference field="4" count="1" selected="0">
            <x v="5"/>
          </reference>
          <reference field="6" count="1">
            <x v="1"/>
          </reference>
        </references>
      </pivotArea>
    </format>
    <format dxfId="46">
      <pivotArea fieldPosition="0">
        <references count="3">
          <reference field="4294967294" count="1" selected="0">
            <x v="3"/>
          </reference>
          <reference field="3" count="1" selected="0">
            <x v="3"/>
          </reference>
          <reference field="4" count="1">
            <x v="5"/>
          </reference>
        </references>
      </pivotArea>
    </format>
    <format dxfId="45">
      <pivotArea fieldPosition="0">
        <references count="4">
          <reference field="4294967294" count="1" selected="0">
            <x v="3"/>
          </reference>
          <reference field="3" count="1" selected="0">
            <x v="3"/>
          </reference>
          <reference field="4" count="1" selected="0">
            <x v="6"/>
          </reference>
          <reference field="6" count="1">
            <x v="1"/>
          </reference>
        </references>
      </pivotArea>
    </format>
    <format dxfId="44">
      <pivotArea fieldPosition="0">
        <references count="3">
          <reference field="4294967294" count="1" selected="0">
            <x v="3"/>
          </reference>
          <reference field="3" count="1" selected="0">
            <x v="3"/>
          </reference>
          <reference field="4" count="1">
            <x v="6"/>
          </reference>
        </references>
      </pivotArea>
    </format>
    <format dxfId="43">
      <pivotArea fieldPosition="0">
        <references count="4">
          <reference field="4294967294" count="1" selected="0">
            <x v="3"/>
          </reference>
          <reference field="3" count="1" selected="0">
            <x v="3"/>
          </reference>
          <reference field="4" count="1" selected="0">
            <x v="7"/>
          </reference>
          <reference field="6" count="0"/>
        </references>
      </pivotArea>
    </format>
    <format dxfId="42">
      <pivotArea fieldPosition="0">
        <references count="3">
          <reference field="4294967294" count="1" selected="0">
            <x v="3"/>
          </reference>
          <reference field="3" count="1" selected="0">
            <x v="3"/>
          </reference>
          <reference field="4" count="1">
            <x v="7"/>
          </reference>
        </references>
      </pivotArea>
    </format>
    <format dxfId="41">
      <pivotArea fieldPosition="0">
        <references count="4">
          <reference field="4294967294" count="1" selected="0">
            <x v="3"/>
          </reference>
          <reference field="3" count="1" selected="0">
            <x v="3"/>
          </reference>
          <reference field="4" count="1" selected="0">
            <x v="9"/>
          </reference>
          <reference field="6" count="1">
            <x v="1"/>
          </reference>
        </references>
      </pivotArea>
    </format>
    <format dxfId="40">
      <pivotArea fieldPosition="0">
        <references count="3">
          <reference field="4294967294" count="1" selected="0">
            <x v="3"/>
          </reference>
          <reference field="3" count="1" selected="0">
            <x v="3"/>
          </reference>
          <reference field="4" count="1">
            <x v="9"/>
          </reference>
        </references>
      </pivotArea>
    </format>
    <format dxfId="39">
      <pivotArea fieldPosition="0">
        <references count="4">
          <reference field="4294967294" count="1" selected="0">
            <x v="3"/>
          </reference>
          <reference field="3" count="1" selected="0">
            <x v="3"/>
          </reference>
          <reference field="4" count="1" selected="0">
            <x v="10"/>
          </reference>
          <reference field="6" count="1">
            <x v="1"/>
          </reference>
        </references>
      </pivotArea>
    </format>
    <format dxfId="38">
      <pivotArea fieldPosition="0">
        <references count="3">
          <reference field="4294967294" count="1" selected="0">
            <x v="3"/>
          </reference>
          <reference field="3" count="1" selected="0">
            <x v="3"/>
          </reference>
          <reference field="4" count="1">
            <x v="10"/>
          </reference>
        </references>
      </pivotArea>
    </format>
    <format dxfId="37">
      <pivotArea fieldPosition="0">
        <references count="4">
          <reference field="4294967294" count="1" selected="0">
            <x v="3"/>
          </reference>
          <reference field="3" count="1" selected="0">
            <x v="3"/>
          </reference>
          <reference field="4" count="1" selected="0">
            <x v="11"/>
          </reference>
          <reference field="6" count="1">
            <x v="1"/>
          </reference>
        </references>
      </pivotArea>
    </format>
    <format dxfId="36">
      <pivotArea fieldPosition="0">
        <references count="3">
          <reference field="4294967294" count="1" selected="0">
            <x v="3"/>
          </reference>
          <reference field="3" count="1" selected="0">
            <x v="3"/>
          </reference>
          <reference field="4" count="1">
            <x v="11"/>
          </reference>
        </references>
      </pivotArea>
    </format>
    <format dxfId="35">
      <pivotArea fieldPosition="0">
        <references count="4">
          <reference field="4294967294" count="1" selected="0">
            <x v="3"/>
          </reference>
          <reference field="3" count="1" selected="0">
            <x v="4"/>
          </reference>
          <reference field="4" count="1" selected="0">
            <x v="8"/>
          </reference>
          <reference field="6" count="1">
            <x v="1"/>
          </reference>
        </references>
      </pivotArea>
    </format>
    <format dxfId="34">
      <pivotArea fieldPosition="0">
        <references count="3">
          <reference field="4294967294" count="1" selected="0">
            <x v="3"/>
          </reference>
          <reference field="3" count="1" selected="0">
            <x v="4"/>
          </reference>
          <reference field="4" count="1">
            <x v="8"/>
          </reference>
        </references>
      </pivotArea>
    </format>
    <format dxfId="33">
      <pivotArea dataOnly="0" labelOnly="1" outline="0" fieldPosition="0">
        <references count="1">
          <reference field="3" count="4">
            <x v="0"/>
            <x v="1"/>
            <x v="2"/>
            <x v="3"/>
          </reference>
        </references>
      </pivotArea>
    </format>
    <format dxfId="32">
      <pivotArea dataOnly="0" labelOnly="1" outline="0" offset="IV1" fieldPosition="0">
        <references count="1">
          <reference field="3" count="1">
            <x v="4"/>
          </reference>
        </references>
      </pivotArea>
    </format>
    <format dxfId="31">
      <pivotArea dataOnly="0" labelOnly="1" outline="0" fieldPosition="0">
        <references count="2">
          <reference field="3" count="1" selected="0">
            <x v="0"/>
          </reference>
          <reference field="4" count="3">
            <x v="2"/>
            <x v="4"/>
            <x v="5"/>
          </reference>
        </references>
      </pivotArea>
    </format>
    <format dxfId="30">
      <pivotArea dataOnly="0" labelOnly="1" outline="0" fieldPosition="0">
        <references count="2">
          <reference field="3" count="1" selected="0">
            <x v="1"/>
          </reference>
          <reference field="4" count="2">
            <x v="0"/>
            <x v="1"/>
          </reference>
        </references>
      </pivotArea>
    </format>
    <format dxfId="29">
      <pivotArea dataOnly="0" labelOnly="1" outline="0" fieldPosition="0">
        <references count="2">
          <reference field="3" count="1" selected="0">
            <x v="2"/>
          </reference>
          <reference field="4" count="1">
            <x v="5"/>
          </reference>
        </references>
      </pivotArea>
    </format>
    <format dxfId="28">
      <pivotArea dataOnly="0" labelOnly="1" outline="0" fieldPosition="0">
        <references count="2">
          <reference field="3" count="1" selected="0">
            <x v="3"/>
          </reference>
          <reference field="4" count="8">
            <x v="0"/>
            <x v="3"/>
            <x v="5"/>
            <x v="6"/>
            <x v="7"/>
            <x v="9"/>
            <x v="10"/>
            <x v="11"/>
          </reference>
        </references>
      </pivotArea>
    </format>
    <format dxfId="27">
      <pivotArea dataOnly="0" labelOnly="1" outline="0" fieldPosition="0">
        <references count="2">
          <reference field="3" count="1" selected="0">
            <x v="4"/>
          </reference>
          <reference field="4" count="1">
            <x v="8"/>
          </reference>
        </references>
      </pivotArea>
    </format>
    <format dxfId="26">
      <pivotArea dataOnly="0" labelOnly="1" outline="0" fieldPosition="0">
        <references count="3">
          <reference field="3" count="1" selected="0">
            <x v="0"/>
          </reference>
          <reference field="4" count="1" selected="0">
            <x v="2"/>
          </reference>
          <reference field="6" count="1">
            <x v="1"/>
          </reference>
        </references>
      </pivotArea>
    </format>
    <format dxfId="25">
      <pivotArea dataOnly="0" labelOnly="1" outline="0" fieldPosition="0">
        <references count="3">
          <reference field="3" count="1" selected="0">
            <x v="0"/>
          </reference>
          <reference field="4" count="1" selected="0">
            <x v="4"/>
          </reference>
          <reference field="6" count="1">
            <x v="1"/>
          </reference>
        </references>
      </pivotArea>
    </format>
    <format dxfId="24">
      <pivotArea dataOnly="0" labelOnly="1" outline="0" fieldPosition="0">
        <references count="3">
          <reference field="3" count="1" selected="0">
            <x v="0"/>
          </reference>
          <reference field="4" count="1" selected="0">
            <x v="5"/>
          </reference>
          <reference field="6" count="0"/>
        </references>
      </pivotArea>
    </format>
    <format dxfId="23">
      <pivotArea dataOnly="0" labelOnly="1" outline="0" fieldPosition="0">
        <references count="3">
          <reference field="3" count="1" selected="0">
            <x v="1"/>
          </reference>
          <reference field="4" count="1" selected="0">
            <x v="0"/>
          </reference>
          <reference field="6" count="1">
            <x v="1"/>
          </reference>
        </references>
      </pivotArea>
    </format>
    <format dxfId="22">
      <pivotArea dataOnly="0" labelOnly="1" outline="0" fieldPosition="0">
        <references count="3">
          <reference field="3" count="1" selected="0">
            <x v="1"/>
          </reference>
          <reference field="4" count="1" selected="0">
            <x v="1"/>
          </reference>
          <reference field="6" count="1">
            <x v="1"/>
          </reference>
        </references>
      </pivotArea>
    </format>
    <format dxfId="21">
      <pivotArea dataOnly="0" labelOnly="1" outline="0" fieldPosition="0">
        <references count="3">
          <reference field="3" count="1" selected="0">
            <x v="2"/>
          </reference>
          <reference field="4" count="1" selected="0">
            <x v="5"/>
          </reference>
          <reference field="6" count="1">
            <x v="1"/>
          </reference>
        </references>
      </pivotArea>
    </format>
    <format dxfId="20">
      <pivotArea dataOnly="0" labelOnly="1" outline="0" fieldPosition="0">
        <references count="3">
          <reference field="3" count="1" selected="0">
            <x v="3"/>
          </reference>
          <reference field="4" count="1" selected="0">
            <x v="0"/>
          </reference>
          <reference field="6" count="1">
            <x v="1"/>
          </reference>
        </references>
      </pivotArea>
    </format>
    <format dxfId="19">
      <pivotArea dataOnly="0" labelOnly="1" outline="0" fieldPosition="0">
        <references count="3">
          <reference field="3" count="1" selected="0">
            <x v="3"/>
          </reference>
          <reference field="4" count="1" selected="0">
            <x v="3"/>
          </reference>
          <reference field="6" count="1">
            <x v="1"/>
          </reference>
        </references>
      </pivotArea>
    </format>
    <format dxfId="18">
      <pivotArea dataOnly="0" labelOnly="1" outline="0" fieldPosition="0">
        <references count="3">
          <reference field="3" count="1" selected="0">
            <x v="3"/>
          </reference>
          <reference field="4" count="1" selected="0">
            <x v="5"/>
          </reference>
          <reference field="6" count="1">
            <x v="1"/>
          </reference>
        </references>
      </pivotArea>
    </format>
    <format dxfId="17">
      <pivotArea dataOnly="0" labelOnly="1" outline="0" fieldPosition="0">
        <references count="3">
          <reference field="3" count="1" selected="0">
            <x v="3"/>
          </reference>
          <reference field="4" count="1" selected="0">
            <x v="6"/>
          </reference>
          <reference field="6" count="1">
            <x v="1"/>
          </reference>
        </references>
      </pivotArea>
    </format>
    <format dxfId="16">
      <pivotArea dataOnly="0" labelOnly="1" outline="0" fieldPosition="0">
        <references count="3">
          <reference field="3" count="1" selected="0">
            <x v="3"/>
          </reference>
          <reference field="4" count="1" selected="0">
            <x v="7"/>
          </reference>
          <reference field="6" count="0"/>
        </references>
      </pivotArea>
    </format>
    <format dxfId="15">
      <pivotArea dataOnly="0" labelOnly="1" outline="0" fieldPosition="0">
        <references count="3">
          <reference field="3" count="1" selected="0">
            <x v="3"/>
          </reference>
          <reference field="4" count="1" selected="0">
            <x v="9"/>
          </reference>
          <reference field="6" count="1">
            <x v="1"/>
          </reference>
        </references>
      </pivotArea>
    </format>
    <format dxfId="14">
      <pivotArea dataOnly="0" labelOnly="1" outline="0" fieldPosition="0">
        <references count="3">
          <reference field="3" count="1" selected="0">
            <x v="3"/>
          </reference>
          <reference field="4" count="1" selected="0">
            <x v="10"/>
          </reference>
          <reference field="6" count="1">
            <x v="1"/>
          </reference>
        </references>
      </pivotArea>
    </format>
    <format dxfId="13">
      <pivotArea dataOnly="0" labelOnly="1" outline="0" fieldPosition="0">
        <references count="3">
          <reference field="3" count="1" selected="0">
            <x v="3"/>
          </reference>
          <reference field="4" count="1" selected="0">
            <x v="11"/>
          </reference>
          <reference field="6" count="1">
            <x v="1"/>
          </reference>
        </references>
      </pivotArea>
    </format>
    <format dxfId="12">
      <pivotArea dataOnly="0" labelOnly="1" outline="0" fieldPosition="0">
        <references count="3">
          <reference field="3" count="1" selected="0">
            <x v="4"/>
          </reference>
          <reference field="4" count="1" selected="0">
            <x v="8"/>
          </reference>
          <reference field="6" count="1">
            <x v="1"/>
          </reference>
        </references>
      </pivotArea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 InsertBlankRowDefault="1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4A3B0C-8C36-47E7-B181-07575A819734}" name="PivotTable3" cacheId="80" applyNumberFormats="0" applyBorderFormats="0" applyFontFormats="0" applyPatternFormats="0" applyAlignmentFormats="0" applyWidthHeightFormats="1" dataCaption="Values" updatedVersion="8" minRefreshableVersion="3" showDrill="0" useAutoFormatting="1" colGrandTotals="0" itemPrintTitles="1" createdVersion="8" indent="0" compact="0" compactData="0" multipleFieldFilters="0">
  <location ref="A3:E33" firstHeaderRow="0" firstDataRow="1" firstDataCol="3" rowPageCount="1" colPageCount="1"/>
  <pivotFields count="18">
    <pivotField compact="0" outline="0" showAll="0" defaultSubtotal="0"/>
    <pivotField compact="0" numFmtId="14" outline="0" showAll="0" defaultSubtotal="0"/>
    <pivotField compact="0" outline="0" showAll="0" defaultSubtotal="0"/>
    <pivotField axis="axisRow" compact="0" outline="0" showAll="0" defaultSubtotal="0">
      <items count="18">
        <item x="0"/>
        <item x="6"/>
        <item m="1" x="15"/>
        <item x="1"/>
        <item m="1" x="17"/>
        <item m="1" x="13"/>
        <item m="1" x="16"/>
        <item x="2"/>
        <item m="1" x="14"/>
        <item m="1" x="12"/>
        <item m="1" x="11"/>
        <item x="4"/>
        <item m="1" x="10"/>
        <item m="1" x="9"/>
        <item x="3"/>
        <item x="8"/>
        <item x="5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4">
        <item x="5"/>
        <item m="1" x="22"/>
        <item m="1" x="18"/>
        <item x="7"/>
        <item m="1" x="21"/>
        <item x="1"/>
        <item m="1" x="23"/>
        <item m="1" x="12"/>
        <item m="1" x="17"/>
        <item m="1" x="19"/>
        <item m="1" x="20"/>
        <item x="3"/>
        <item x="10"/>
        <item m="1" x="13"/>
        <item x="8"/>
        <item x="2"/>
        <item m="1" x="16"/>
        <item m="1" x="15"/>
        <item x="4"/>
        <item x="0"/>
        <item x="9"/>
        <item x="6"/>
        <item m="1" x="14"/>
        <item x="11"/>
      </items>
    </pivotField>
    <pivotField axis="axisRow" compact="0" outline="0" showAll="0" defaultSubtotal="0">
      <items count="8">
        <item n="Alinma Bank" x="1"/>
        <item n="Bank Al-Bilad" m="1" x="6"/>
        <item n="Riyad Bank" x="4"/>
        <item n="Saudi Awwal Bank" x="0"/>
        <item n="Saudi National Bank" x="2"/>
        <item n="Bank Al Jazira" x="3"/>
        <item m="1" x="7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2">
        <item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numFmtId="14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</pivotFields>
  <rowFields count="3">
    <field x="5"/>
    <field x="3"/>
    <field x="4"/>
  </rowFields>
  <rowItems count="30">
    <i>
      <x/>
      <x/>
      <x v="5"/>
    </i>
    <i r="2">
      <x v="12"/>
    </i>
    <i r="2">
      <x v="14"/>
    </i>
    <i r="1">
      <x v="1"/>
      <x v="5"/>
    </i>
    <i r="2">
      <x v="14"/>
    </i>
    <i r="1">
      <x v="3"/>
      <x v="3"/>
    </i>
    <i r="2">
      <x v="5"/>
    </i>
    <i r="2">
      <x v="14"/>
    </i>
    <i r="2">
      <x v="15"/>
    </i>
    <i>
      <x v="2"/>
      <x/>
      <x v="21"/>
    </i>
    <i r="1">
      <x v="3"/>
      <x v="21"/>
    </i>
    <i r="1">
      <x v="15"/>
      <x v="21"/>
    </i>
    <i>
      <x v="3"/>
      <x/>
      <x v="3"/>
    </i>
    <i r="2">
      <x v="19"/>
    </i>
    <i r="1">
      <x v="3"/>
      <x/>
    </i>
    <i r="2">
      <x v="3"/>
    </i>
    <i r="1">
      <x v="7"/>
      <x/>
    </i>
    <i r="1">
      <x v="14"/>
      <x v="3"/>
    </i>
    <i>
      <x v="4"/>
      <x/>
      <x v="12"/>
    </i>
    <i r="1">
      <x v="3"/>
      <x v="11"/>
    </i>
    <i r="2">
      <x v="15"/>
    </i>
    <i r="1">
      <x v="7"/>
      <x v="11"/>
    </i>
    <i r="1">
      <x v="11"/>
      <x v="11"/>
    </i>
    <i r="1">
      <x v="16"/>
      <x v="11"/>
    </i>
    <i r="1">
      <x v="17"/>
      <x v="11"/>
    </i>
    <i>
      <x v="5"/>
      <x/>
      <x v="3"/>
    </i>
    <i r="2">
      <x v="18"/>
    </i>
    <i r="1">
      <x v="3"/>
      <x v="18"/>
    </i>
    <i>
      <x v="7"/>
      <x v="3"/>
      <x v="23"/>
    </i>
    <i t="grand">
      <x/>
    </i>
  </rowItems>
  <colFields count="1">
    <field x="-2"/>
  </colFields>
  <colItems count="2">
    <i>
      <x/>
    </i>
    <i i="1">
      <x v="1"/>
    </i>
  </colItems>
  <pageFields count="1">
    <pageField fld="6" item="1" hier="-1"/>
  </pageFields>
  <dataFields count="2">
    <dataField name="Sum of LC Balance" fld="13" baseField="4" baseItem="5"/>
    <dataField name="Sum of Pending Settlement" fld="12" baseField="0" baseItem="0"/>
  </dataFields>
  <formats count="1">
    <format dxfId="1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A1EAACF2-D31F-41F1-962E-E26045C037AB}" autoFormatId="16" applyNumberFormats="0" applyBorderFormats="0" applyFontFormats="0" applyPatternFormats="0" applyAlignmentFormats="0" applyWidthHeightFormats="0">
  <queryTableRefresh nextId="13">
    <queryTableFields count="12">
      <queryTableField id="1" name="LC Number" tableColumnId="1"/>
      <queryTableField id="2" name="Beneficiary" tableColumnId="2"/>
      <queryTableField id="3" name="Group Company" tableColumnId="3"/>
      <queryTableField id="4" name="Project" tableColumnId="4"/>
      <queryTableField id="5" name="LC Amt(SAR)" tableColumnId="5"/>
      <queryTableField id="6" name="LC Settled" tableColumnId="6"/>
      <queryTableField id="7" name="Pending Settlement" tableColumnId="7"/>
      <queryTableField id="8" name="LC Balance" tableColumnId="8"/>
      <queryTableField id="9" name="Bank Name" tableColumnId="9"/>
      <queryTableField id="10" name="Lines" tableColumnId="10"/>
      <queryTableField id="11" name="Start of Week" tableColumnId="11"/>
      <queryTableField id="12" name="End of Week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FFFBA7D3-6101-40B2-A37C-0B06E4DCED3D}" autoFormatId="16" applyNumberFormats="0" applyBorderFormats="0" applyFontFormats="0" applyPatternFormats="0" applyAlignmentFormats="0" applyWidthHeightFormats="0">
  <queryTableRefresh nextId="24">
    <queryTableFields count="15">
      <queryTableField id="1" name="LC Number" tableColumnId="1"/>
      <queryTableField id="2" name="Presentation No" tableColumnId="2"/>
      <queryTableField id="3" name="Beneficiary" tableColumnId="3"/>
      <queryTableField id="20" name="Company" tableColumnId="16"/>
      <queryTableField id="5" name="Project" tableColumnId="5"/>
      <queryTableField id="6" name="Bank" tableColumnId="6"/>
      <queryTableField id="7" name="Lines" tableColumnId="7"/>
      <queryTableField id="8" name="Status" tableColumnId="8"/>
      <queryTableField id="9" name="Curr" tableColumnId="9"/>
      <queryTableField id="10" name="Invoice Amt (FCY)" tableColumnId="10"/>
      <queryTableField id="11" name="Rate" tableColumnId="11"/>
      <queryTableField id="12" name=" Invoice Amt (SAR)" tableColumnId="12"/>
      <queryTableField id="13" name="Due Date" tableColumnId="13"/>
      <queryTableField id="22" name="Tenor" tableColumnId="17"/>
      <queryTableField id="15" name="Funds Utilize" tableColumnId="1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67314B48-6F29-4CFE-ACC8-48EF8E8EE039}" autoFormatId="16" applyNumberFormats="0" applyBorderFormats="0" applyFontFormats="0" applyPatternFormats="0" applyAlignmentFormats="0" applyWidthHeightFormats="0">
  <queryTableRefresh nextId="48">
    <queryTableFields count="24">
      <queryTableField id="1" name="LC Number" tableColumnId="1"/>
      <queryTableField id="2" name="Issue Date." tableColumnId="2"/>
      <queryTableField id="30" name="Project Director" tableColumnId="11"/>
      <queryTableField id="21" name="Status" tableColumnId="12"/>
      <queryTableField id="46" name="Bank Name" tableColumnId="25"/>
      <queryTableField id="4" name="Facility Space" tableColumnId="4"/>
      <queryTableField id="3" name="Beneficiary" tableColumnId="3"/>
      <queryTableField id="5" name="Group Company" tableColumnId="5"/>
      <queryTableField id="6" name="Project" tableColumnId="6"/>
      <queryTableField id="32" name="Project Code" tableColumnId="14"/>
      <queryTableField id="7" name="Curr" tableColumnId="7"/>
      <queryTableField id="8" name="LC Amt(FCY)" tableColumnId="8"/>
      <queryTableField id="9" name="Rate" tableColumnId="9"/>
      <queryTableField id="10" name="LC Amt(SAR)" tableColumnId="10"/>
      <queryTableField id="15" name="Expiry Date" tableColumnId="15"/>
      <queryTableField id="16" name="Last Ship Date" tableColumnId="16"/>
      <queryTableField id="18" name="Lines" tableColumnId="18"/>
      <queryTableField id="19" name="Payment Terms" tableColumnId="19"/>
      <queryTableField id="33" name="Cash Margin" tableColumnId="17"/>
      <queryTableField id="34" name="Cash-Fund Utilized" tableColumnId="21"/>
      <queryTableField id="35" name="Cash-Recovered" tableColumnId="22"/>
      <queryTableField id="36" name="Increase Amount in SAR" tableColumnId="23"/>
      <queryTableField id="37" name="Remarks" tableColumnId="24"/>
      <queryTableField id="20" name="Active/Cancelled" tableColumnId="2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7" xr16:uid="{4DFA4ED3-6A57-4AA3-A15D-3852DE4DC89C}" autoFormatId="16" applyNumberFormats="0" applyBorderFormats="0" applyFontFormats="0" applyPatternFormats="0" applyAlignmentFormats="0" applyWidthHeightFormats="0">
  <queryTableRefresh nextId="3">
    <queryTableFields count="2">
      <queryTableField id="1" name="Project" tableColumnId="1"/>
      <queryTableField id="2" name="LC Amt(SAR)" tableColumnId="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D6B9065F-AB32-4E35-B9E0-3E6229DEE5D3}" autoFormatId="16" applyNumberFormats="0" applyBorderFormats="0" applyFontFormats="0" applyPatternFormats="0" applyAlignmentFormats="0" applyWidthHeightFormats="0">
  <queryTableRefresh nextId="39">
    <queryTableFields count="20">
      <queryTableField id="1" name="LC Number" tableColumnId="1"/>
      <queryTableField id="2" name="Issue Date." tableColumnId="2"/>
      <queryTableField id="3" name="Beneficiary" tableColumnId="3"/>
      <queryTableField id="4" name="Facility Space" tableColumnId="4"/>
      <queryTableField id="5" name="Group Company" tableColumnId="5"/>
      <queryTableField id="6" name="Project" tableColumnId="6"/>
      <queryTableField id="7" name="Curr" tableColumnId="7"/>
      <queryTableField id="8" name="LC Amt(FCY)" tableColumnId="8"/>
      <queryTableField id="9" name="Rate" tableColumnId="9"/>
      <queryTableField id="10" name="LC Amt(SAR)" tableColumnId="10"/>
      <queryTableField id="11" name="LC Settled" tableColumnId="11"/>
      <queryTableField id="12" name="Subtraction" tableColumnId="12"/>
      <queryTableField id="13" name="Pending Settlement" tableColumnId="13"/>
      <queryTableField id="14" name="LC Balance" tableColumnId="14"/>
      <queryTableField id="15" name="Expiry Date" tableColumnId="15"/>
      <queryTableField id="16" name="Last Ship Date" tableColumnId="16"/>
      <queryTableField id="17" name="Bank Name" tableColumnId="17"/>
      <queryTableField id="18" name="Lines" tableColumnId="18"/>
      <queryTableField id="19" name="Payment Terms" tableColumnId="19"/>
      <queryTableField id="20" name="Active/Cancelled" tableColumnId="2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0EC21166-1112-4DBA-BE81-02BC573B6C0F}" autoFormatId="16" applyNumberFormats="0" applyBorderFormats="0" applyFontFormats="0" applyPatternFormats="0" applyAlignmentFormats="0" applyWidthHeightFormats="0">
  <queryTableRefresh nextId="44">
    <queryTableFields count="18">
      <queryTableField id="1" name="LC Number" tableColumnId="1"/>
      <queryTableField id="2" name="Issue Date." tableColumnId="2"/>
      <queryTableField id="3" name="Beneficiary" tableColumnId="3"/>
      <queryTableField id="4" name="Group Company" tableColumnId="4"/>
      <queryTableField id="5" name="Project" tableColumnId="5"/>
      <queryTableField id="15" name="Bank Name" tableColumnId="15"/>
      <queryTableField id="16" name="Lines" tableColumnId="16"/>
      <queryTableField id="6" name="Curr" tableColumnId="6"/>
      <queryTableField id="7" name="LC Amt(FCY)" tableColumnId="7"/>
      <queryTableField id="8" name="Rate" tableColumnId="8"/>
      <queryTableField id="9" name="LC Amt(SAR)" tableColumnId="9"/>
      <queryTableField id="10" name="LC Settled" tableColumnId="10"/>
      <queryTableField id="11" name="Pending Settlement" tableColumnId="11"/>
      <queryTableField id="12" name="LC Balance" tableColumnId="12"/>
      <queryTableField id="13" name="Expiry Date" tableColumnId="13"/>
      <queryTableField id="14" name="Last Ship Date" tableColumnId="14"/>
      <queryTableField id="17" name="Payment Terms" tableColumnId="17"/>
      <queryTableField id="19" name="Due Dates" tableColumnId="1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9ACEE15-DD2D-433A-B887-34D1325736EC}" name="Detailed_report" displayName="Detailed_report" ref="A1:L162" tableType="queryTable" totalsRowShown="0">
  <autoFilter ref="A1:L162" xr:uid="{C9ACEE15-DD2D-433A-B887-34D1325736EC}"/>
  <tableColumns count="12">
    <tableColumn id="1" xr3:uid="{298537E9-5698-49A3-A921-E9F514165278}" uniqueName="1" name="LC Number" queryTableFieldId="1"/>
    <tableColumn id="2" xr3:uid="{38E6E8F3-C8AF-42CB-8940-726855014674}" uniqueName="2" name="Beneficiary" queryTableFieldId="2"/>
    <tableColumn id="3" xr3:uid="{102509F8-B380-41C8-B82E-4FFD5CA31F99}" uniqueName="3" name="Group Company" queryTableFieldId="3"/>
    <tableColumn id="4" xr3:uid="{DD375FD2-DB28-4B36-A5F9-697A976CCDBD}" uniqueName="4" name="Project" queryTableFieldId="4"/>
    <tableColumn id="5" xr3:uid="{897B95DC-ED10-4D16-AE2D-F8B04DE945F3}" uniqueName="5" name="LC Amt(SAR)" queryTableFieldId="5" dataDxfId="891" dataCellStyle="Comma"/>
    <tableColumn id="6" xr3:uid="{2AF8D527-175B-4A2A-B33E-B60EED9D1C45}" uniqueName="6" name="LC Settled" queryTableFieldId="6" dataDxfId="890" dataCellStyle="Comma"/>
    <tableColumn id="7" xr3:uid="{B76ACB3C-9B45-4CEA-95B5-A4D97D391140}" uniqueName="7" name="Pending Settlement" queryTableFieldId="7" dataDxfId="889" dataCellStyle="Comma"/>
    <tableColumn id="8" xr3:uid="{5F8F8A30-8424-41C4-855F-3819CD6D0032}" uniqueName="8" name="LC Balance" queryTableFieldId="8" dataDxfId="888" dataCellStyle="Comma"/>
    <tableColumn id="9" xr3:uid="{B88BACCF-A256-41D7-B0E0-20140169D1B2}" uniqueName="9" name="Bank Name" queryTableFieldId="9"/>
    <tableColumn id="10" xr3:uid="{6221CCCA-C423-4AA5-BA47-5CAACBF8EC59}" uniqueName="10" name="Lines" queryTableFieldId="10"/>
    <tableColumn id="11" xr3:uid="{234C5FD9-CAA6-4010-BD05-20911654759A}" uniqueName="11" name="Start of Week" queryTableFieldId="11" dataDxfId="887"/>
    <tableColumn id="12" xr3:uid="{F1DAB8F2-B224-4E55-AF12-13A87BC2AFB1}" uniqueName="12" name="End of Week" queryTableFieldId="12" dataDxfId="88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004B59B-5046-4B2B-BFD5-5BD354C43676}" name="Due_Dates" displayName="Due_Dates" ref="A1:O61" tableType="queryTable" totalsRowShown="0">
  <autoFilter ref="A1:O61" xr:uid="{8004B59B-5046-4B2B-BFD5-5BD354C43676}"/>
  <tableColumns count="15">
    <tableColumn id="1" xr3:uid="{F829F51D-2A7F-4F61-AA4C-3DB1FAE3885D}" uniqueName="1" name="LC Number" queryTableFieldId="1"/>
    <tableColumn id="2" xr3:uid="{58271CCA-D95C-494A-9EE8-798554DCA900}" uniqueName="2" name="Presentation No" queryTableFieldId="2"/>
    <tableColumn id="3" xr3:uid="{E7EB1CD4-F697-497D-A6F4-927B1E45BEDC}" uniqueName="3" name="Beneficiary" queryTableFieldId="3"/>
    <tableColumn id="16" xr3:uid="{6D69D45A-2764-430D-A62C-802E1A314A21}" uniqueName="16" name="Company" queryTableFieldId="20"/>
    <tableColumn id="5" xr3:uid="{D643AEAA-506B-4841-A01D-5CC5C243C3BF}" uniqueName="5" name="Project" queryTableFieldId="5"/>
    <tableColumn id="6" xr3:uid="{B84ACC1E-CC66-47D5-BBA5-5BAFD99F7D1C}" uniqueName="6" name="Bank" queryTableFieldId="6"/>
    <tableColumn id="7" xr3:uid="{FDCE7B08-07C9-4C30-BE0E-28A877348ADD}" uniqueName="7" name="Lines" queryTableFieldId="7"/>
    <tableColumn id="8" xr3:uid="{69BAE9BF-BCB9-46AA-AD9A-9C4A57A37871}" uniqueName="8" name="Status" queryTableFieldId="8"/>
    <tableColumn id="9" xr3:uid="{DA492F93-7427-43A1-A2D5-4D548A9042B6}" uniqueName="9" name="Curr" queryTableFieldId="9"/>
    <tableColumn id="10" xr3:uid="{E57BD0BF-146D-40B6-968B-D912463B9EE7}" uniqueName="10" name="Invoice Amt (FCY)" queryTableFieldId="10" dataDxfId="885"/>
    <tableColumn id="11" xr3:uid="{531706F6-03A5-4738-9CC5-12B115A895A5}" uniqueName="11" name="Rate" queryTableFieldId="11" dataDxfId="884"/>
    <tableColumn id="12" xr3:uid="{DA9B3A75-9A16-40F9-A146-5A77B96A75D9}" uniqueName="12" name=" Invoice Amt (SAR)" queryTableFieldId="12" dataDxfId="883"/>
    <tableColumn id="13" xr3:uid="{ECFC8D49-16E0-4619-8782-13FFAE5585BD}" uniqueName="13" name="Due Date" queryTableFieldId="13" dataDxfId="882"/>
    <tableColumn id="17" xr3:uid="{7FA74DD4-75F3-40AC-AC4C-835402498E4D}" uniqueName="17" name="Tenor" queryTableFieldId="22"/>
    <tableColumn id="15" xr3:uid="{C2187BF8-6D22-42E7-8727-6A1783C954C9}" uniqueName="15" name="Funds Utilize" queryTableFieldId="15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39C460A-3734-4970-9653-970A1E2D5648}" name="FacilitySpace_Under_Process" displayName="FacilitySpace_Under_Process" ref="A1:X6" tableType="queryTable" totalsRowShown="0" headerRowDxfId="881">
  <autoFilter ref="A1:X6" xr:uid="{B39C460A-3734-4970-9653-970A1E2D5648}"/>
  <tableColumns count="24">
    <tableColumn id="1" xr3:uid="{611C2491-8113-4E66-9F66-3EAECD6E700E}" uniqueName="1" name="LC Number" queryTableFieldId="1"/>
    <tableColumn id="2" xr3:uid="{FD550F60-7AAE-4B5B-BE46-05C56286CED7}" uniqueName="2" name="Issue Date." queryTableFieldId="2" dataDxfId="880"/>
    <tableColumn id="11" xr3:uid="{39AC9309-10F5-4988-9486-CD89B61B6D33}" uniqueName="11" name="Project Director" queryTableFieldId="30"/>
    <tableColumn id="12" xr3:uid="{873F21CC-6877-4634-9744-043317ABB7F9}" uniqueName="12" name="Status" queryTableFieldId="21"/>
    <tableColumn id="25" xr3:uid="{D931E5AD-5868-41B1-9186-3804574F6100}" uniqueName="25" name="Bank Name" queryTableFieldId="46"/>
    <tableColumn id="4" xr3:uid="{EC22AE9A-9126-4FE3-8435-D95BDB4F9D37}" uniqueName="4" name="Facility Space" queryTableFieldId="4"/>
    <tableColumn id="3" xr3:uid="{D93FCE30-F4DE-445B-AC60-DB7B3BDA0853}" uniqueName="3" name="Beneficiary" queryTableFieldId="3"/>
    <tableColumn id="5" xr3:uid="{C3368683-AE98-477E-B187-4BAC3EF67D97}" uniqueName="5" name="Group Company" queryTableFieldId="5"/>
    <tableColumn id="6" xr3:uid="{83E8733B-6A1B-42B8-9679-AE0A1FE8C6A2}" uniqueName="6" name="Project" queryTableFieldId="6"/>
    <tableColumn id="14" xr3:uid="{6572A7E8-0F17-4CD8-BF6E-F165ABB6494A}" uniqueName="14" name="Project Code" queryTableFieldId="32"/>
    <tableColumn id="7" xr3:uid="{2144A69D-E8CC-475B-A4A2-C922CC0DAF4C}" uniqueName="7" name="Curr" queryTableFieldId="7"/>
    <tableColumn id="8" xr3:uid="{A4ADB59B-930E-432C-9B77-29D6D9F82598}" uniqueName="8" name="LC Amt(FCY)" queryTableFieldId="8"/>
    <tableColumn id="9" xr3:uid="{63A817D4-3693-4A50-8753-D0C5DB3C12C7}" uniqueName="9" name="Rate" queryTableFieldId="9"/>
    <tableColumn id="10" xr3:uid="{7763246B-4B8B-40B3-8266-519B6104BB1D}" uniqueName="10" name="LC Amt(SAR)" queryTableFieldId="10"/>
    <tableColumn id="15" xr3:uid="{F94B513E-E0FA-48A6-A0F4-90B81BDE55B9}" uniqueName="15" name="Expiry Date" queryTableFieldId="15" dataDxfId="879"/>
    <tableColumn id="16" xr3:uid="{B4C2D4D6-D883-4F07-8765-D72BDA98FA40}" uniqueName="16" name="Last Ship Date" queryTableFieldId="16" dataDxfId="878"/>
    <tableColumn id="18" xr3:uid="{3F3A068D-A7AE-420A-82C9-EDAE2DF0458F}" uniqueName="18" name="Lines" queryTableFieldId="18"/>
    <tableColumn id="19" xr3:uid="{216F00A5-7DA1-4A4E-B78E-E16634AB88BD}" uniqueName="19" name="Payment Terms" queryTableFieldId="19"/>
    <tableColumn id="17" xr3:uid="{22864584-AEE1-4907-A3C1-22B574061EBA}" uniqueName="17" name="Cash Margin" queryTableFieldId="33"/>
    <tableColumn id="21" xr3:uid="{6BF5DB56-4C6E-4F51-9629-FFC9C3A20E8A}" uniqueName="21" name="Cash-Fund Utilized" queryTableFieldId="34"/>
    <tableColumn id="22" xr3:uid="{0D06C790-D6F2-4508-8C5D-510647D022AE}" uniqueName="22" name="Cash-Recovered" queryTableFieldId="35"/>
    <tableColumn id="23" xr3:uid="{9C69BF6E-7A57-4213-BB67-42961DEB4C99}" uniqueName="23" name="Increase Amount in SAR" queryTableFieldId="36"/>
    <tableColumn id="24" xr3:uid="{CEDBEA14-9ED0-498C-87E1-3C942C9E9A70}" uniqueName="24" name="Remarks" queryTableFieldId="37"/>
    <tableColumn id="20" xr3:uid="{6B6F9160-78B8-4D84-AC88-8B7F624404CD}" uniqueName="20" name="Active/Cancelled" queryTableFieldId="20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2058BCC-C728-44E2-8BAB-8FE8D33FD275}" name="Required_Space" displayName="Required_Space" ref="A1:B21" tableType="queryTable" totalsRowShown="0" headerRowDxfId="872">
  <autoFilter ref="A1:B21" xr:uid="{42058BCC-C728-44E2-8BAB-8FE8D33FD275}"/>
  <tableColumns count="2">
    <tableColumn id="1" xr3:uid="{7E4E6ED1-04F4-4682-B764-8CDBD9D60500}" uniqueName="1" name="Project" queryTableFieldId="1"/>
    <tableColumn id="2" xr3:uid="{D65C7DE7-0BFE-4247-A9CF-B44013A6359D}" uniqueName="2" name="LC Amt(SAR)" queryTableFieldId="2" dataDxfId="871" dataCellStyle="Comma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15E995D-5419-48F4-AA3F-C2715D986DE7}" name="FacilitySpace_Issued" displayName="FacilitySpace_Issued" ref="A1:T154" tableType="queryTable" totalsRowShown="0" headerRowDxfId="870">
  <autoFilter ref="A1:T154" xr:uid="{515E995D-5419-48F4-AA3F-C2715D986DE7}"/>
  <tableColumns count="20">
    <tableColumn id="1" xr3:uid="{3EE378D3-6D11-47D6-ABB5-3695B1316DF4}" uniqueName="1" name="LC Number" queryTableFieldId="1"/>
    <tableColumn id="2" xr3:uid="{1F3AC8CD-E905-48CD-AD88-20456846C48C}" uniqueName="2" name="Issue Date." queryTableFieldId="2" dataDxfId="869"/>
    <tableColumn id="3" xr3:uid="{4E696949-C403-413E-86A6-A79D7271A7FF}" uniqueName="3" name="Beneficiary" queryTableFieldId="3"/>
    <tableColumn id="4" xr3:uid="{563B0E91-FDA3-4439-8985-BAD681E9C2A5}" uniqueName="4" name="Facility Space" queryTableFieldId="4"/>
    <tableColumn id="5" xr3:uid="{33E17E70-316C-4E3A-8DF2-185C9BD90609}" uniqueName="5" name="Group Company" queryTableFieldId="5"/>
    <tableColumn id="6" xr3:uid="{15C7DA06-B507-4C02-A4F7-F17C94133768}" uniqueName="6" name="Project" queryTableFieldId="6"/>
    <tableColumn id="7" xr3:uid="{79C617B8-5197-465D-8DBD-DB3D474818EA}" uniqueName="7" name="Curr" queryTableFieldId="7"/>
    <tableColumn id="8" xr3:uid="{83C6857F-3394-4445-BA7A-201EA48EBDC5}" uniqueName="8" name="LC Amt(FCY)" queryTableFieldId="8"/>
    <tableColumn id="9" xr3:uid="{22F2EF91-6BE9-468C-A4D3-2745421D6607}" uniqueName="9" name="Rate" queryTableFieldId="9"/>
    <tableColumn id="10" xr3:uid="{1449F30C-AAF0-46C6-B513-F2D13183D37D}" uniqueName="10" name="LC Amt(SAR)" queryTableFieldId="10"/>
    <tableColumn id="11" xr3:uid="{96FCE408-232D-4282-9895-23F6D0411B47}" uniqueName="11" name="LC Settled" queryTableFieldId="11"/>
    <tableColumn id="12" xr3:uid="{2460DEEB-4F54-446F-B223-DA69BCE25B09}" uniqueName="12" name="Subtraction" queryTableFieldId="12" dataDxfId="868"/>
    <tableColumn id="13" xr3:uid="{FFA0612A-727E-4540-8DD9-4DAA1E99B525}" uniqueName="13" name="Pending Settlement" queryTableFieldId="13"/>
    <tableColumn id="14" xr3:uid="{07AC455A-16F9-4F24-AF5B-D042C484E965}" uniqueName="14" name="LC Balance" queryTableFieldId="14"/>
    <tableColumn id="15" xr3:uid="{FA6DA64E-E8B9-4219-BD4E-55A9219E3AE6}" uniqueName="15" name="Expiry Date" queryTableFieldId="15" dataDxfId="867"/>
    <tableColumn id="16" xr3:uid="{C4761768-B467-4400-950A-38E1F555FFE8}" uniqueName="16" name="Last Ship Date" queryTableFieldId="16" dataDxfId="866"/>
    <tableColumn id="17" xr3:uid="{1C0E6F76-0DA8-45AF-88DD-61A3A9257152}" uniqueName="17" name="Bank Name" queryTableFieldId="17"/>
    <tableColumn id="18" xr3:uid="{A63BF71E-ECFB-4555-B2BD-88EE6FAA85E3}" uniqueName="18" name="Lines" queryTableFieldId="18"/>
    <tableColumn id="19" xr3:uid="{9A78F83D-0252-4B53-9956-83CB9D8AC991}" uniqueName="19" name="Payment Terms" queryTableFieldId="19"/>
    <tableColumn id="20" xr3:uid="{7623C81C-2461-4C4B-AD7D-097ECA03D965}" uniqueName="20" name="Active/Cancelled" queryTableFieldId="20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5B6C0DC-E8D0-40ED-8029-4518FBA9F766}" name="Final_summary" displayName="Final_summary" ref="A3:R156" tableType="queryTable" totalsRowShown="0" headerRowDxfId="9">
  <autoFilter ref="A3:R156" xr:uid="{E5B6C0DC-E8D0-40ED-8029-4518FBA9F766}"/>
  <tableColumns count="18">
    <tableColumn id="1" xr3:uid="{E22E6CE8-E5E5-443B-838F-F9D716669C37}" uniqueName="1" name="LC Number" queryTableFieldId="1"/>
    <tableColumn id="2" xr3:uid="{2824B10D-5AA8-4921-8041-314CA33DB7A5}" uniqueName="2" name="Issue Date." queryTableFieldId="2" dataDxfId="8"/>
    <tableColumn id="3" xr3:uid="{73D5D1DD-1BE5-4E55-B0A7-CCD4547D8447}" uniqueName="3" name="Beneficiary" queryTableFieldId="3"/>
    <tableColumn id="4" xr3:uid="{19CC7695-7634-4F8E-9699-FB8C84B81338}" uniqueName="4" name="Group Company" queryTableFieldId="4"/>
    <tableColumn id="5" xr3:uid="{1DD83F63-750D-433E-96F8-3AD92A4521CB}" uniqueName="5" name="Project" queryTableFieldId="5"/>
    <tableColumn id="15" xr3:uid="{9B580EBD-A0E4-4BA0-8EA3-8DCB07A3407E}" uniqueName="15" name="Bank Name" queryTableFieldId="15"/>
    <tableColumn id="16" xr3:uid="{94C95A34-9E02-48D1-A958-AE26D1EABEF4}" uniqueName="16" name="Lines" queryTableFieldId="16"/>
    <tableColumn id="6" xr3:uid="{9C8F2380-86EF-4F42-A58E-4EC1C2E3DF38}" uniqueName="6" name="Curr" queryTableFieldId="6"/>
    <tableColumn id="7" xr3:uid="{95E42B56-1C54-43D4-AD1A-3D35A739F41B}" uniqueName="7" name="LC Amt(FCY)" queryTableFieldId="7" dataDxfId="7"/>
    <tableColumn id="8" xr3:uid="{2C80098D-0022-4570-A5A2-07834B96E55B}" uniqueName="8" name="Rate" queryTableFieldId="8" dataDxfId="6"/>
    <tableColumn id="9" xr3:uid="{5D636700-E059-4AB4-B9A6-1BD9BC221376}" uniqueName="9" name="LC Amt(SAR)" queryTableFieldId="9" dataDxfId="5"/>
    <tableColumn id="10" xr3:uid="{26F4455A-27E0-4B97-8332-E194A790651D}" uniqueName="10" name="LC Settled" queryTableFieldId="10" dataDxfId="4"/>
    <tableColumn id="11" xr3:uid="{6D39896D-0C87-4556-A4B2-7A78CC59B37C}" uniqueName="11" name="Pending Settlement" queryTableFieldId="11" dataDxfId="3"/>
    <tableColumn id="12" xr3:uid="{16A037B1-D358-4DAB-8D6B-BD87B3FF00D5}" uniqueName="12" name="LC Balance" queryTableFieldId="12"/>
    <tableColumn id="13" xr3:uid="{51D82F9C-E4D3-4984-AB1B-362764F5D7F4}" uniqueName="13" name="Expiry Date" queryTableFieldId="13" dataDxfId="2"/>
    <tableColumn id="14" xr3:uid="{6D3C421A-5D29-4DAF-9727-A47B9A478E19}" uniqueName="14" name="Last Ship Date" queryTableFieldId="14" dataDxfId="1"/>
    <tableColumn id="17" xr3:uid="{740F0207-C665-493F-9DC0-A44676CAA9CB}" uniqueName="17" name="Payment Terms" queryTableFieldId="17"/>
    <tableColumn id="19" xr3:uid="{12406100-BB2C-4E93-BB32-EC6E56CEFD84}" uniqueName="19" name="Due Dates" queryTableFieldId="19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698AE-6EF0-46E9-A57E-A793A8511AA4}">
  <sheetPr codeName="Main"/>
  <dimension ref="B2:M21"/>
  <sheetViews>
    <sheetView showGridLines="0" topLeftCell="B1" zoomScaleNormal="100" workbookViewId="0">
      <selection activeCell="F28" sqref="F28"/>
    </sheetView>
  </sheetViews>
  <sheetFormatPr defaultRowHeight="15" x14ac:dyDescent="0.25"/>
  <cols>
    <col min="2" max="2" width="18.42578125" bestFit="1" customWidth="1"/>
    <col min="3" max="3" width="15.28515625" bestFit="1" customWidth="1"/>
    <col min="4" max="4" width="20.5703125" bestFit="1" customWidth="1"/>
    <col min="5" max="5" width="14.85546875" bestFit="1" customWidth="1"/>
    <col min="6" max="6" width="19" bestFit="1" customWidth="1"/>
    <col min="7" max="7" width="24.28515625" bestFit="1" customWidth="1"/>
    <col min="8" max="8" width="10.7109375" bestFit="1" customWidth="1"/>
  </cols>
  <sheetData>
    <row r="2" spans="2:13" ht="20.25" x14ac:dyDescent="0.3">
      <c r="D2" s="140"/>
      <c r="E2" s="140"/>
      <c r="F2" s="140"/>
      <c r="G2" s="140"/>
      <c r="H2" s="140"/>
      <c r="I2" s="140"/>
    </row>
    <row r="3" spans="2:13" ht="20.25" x14ac:dyDescent="0.3">
      <c r="B3" s="132"/>
      <c r="J3" s="132"/>
      <c r="K3" s="132"/>
      <c r="L3" s="132"/>
      <c r="M3" s="132"/>
    </row>
    <row r="4" spans="2:13" ht="21" thickBot="1" x14ac:dyDescent="0.35">
      <c r="B4" s="132"/>
      <c r="C4" s="132"/>
      <c r="D4" s="132"/>
      <c r="E4" s="132"/>
      <c r="F4" s="138"/>
      <c r="G4" s="138"/>
      <c r="H4" s="138"/>
      <c r="I4" s="138"/>
      <c r="J4" s="132"/>
      <c r="K4" s="132"/>
      <c r="L4" s="132"/>
      <c r="M4" s="132"/>
    </row>
    <row r="5" spans="2:13" ht="15.75" thickBot="1" x14ac:dyDescent="0.3">
      <c r="C5" s="135" t="s">
        <v>140</v>
      </c>
      <c r="D5" s="135" t="s">
        <v>135</v>
      </c>
      <c r="E5" s="135" t="s">
        <v>136</v>
      </c>
      <c r="F5" s="141" t="s">
        <v>139</v>
      </c>
      <c r="G5" s="139" t="s">
        <v>137</v>
      </c>
      <c r="H5" s="139" t="s">
        <v>58</v>
      </c>
      <c r="I5" s="15"/>
    </row>
    <row r="6" spans="2:13" ht="15.75" thickBot="1" x14ac:dyDescent="0.3">
      <c r="B6" s="134" t="s">
        <v>88</v>
      </c>
      <c r="C6" s="151">
        <f>V_Summary!E58</f>
        <v>146745602.59999999</v>
      </c>
      <c r="D6" s="55">
        <v>146745602.60008001</v>
      </c>
      <c r="E6" s="55">
        <v>0</v>
      </c>
      <c r="F6" s="152">
        <v>146745602.60007998</v>
      </c>
      <c r="G6" s="55">
        <v>146745602.60000002</v>
      </c>
      <c r="H6" s="55" t="str">
        <f>IF(AND(G6=F6,D6=C6),"OK","Mismatch")</f>
        <v>Mismatch</v>
      </c>
      <c r="I6" s="15"/>
    </row>
    <row r="7" spans="2:13" ht="15.75" thickBot="1" x14ac:dyDescent="0.3">
      <c r="B7" s="133" t="s">
        <v>87</v>
      </c>
      <c r="C7" s="151">
        <f>V_Summary!D58</f>
        <v>385180493.44149005</v>
      </c>
      <c r="D7" s="30">
        <v>0</v>
      </c>
      <c r="E7" s="30">
        <v>0</v>
      </c>
      <c r="F7" s="30">
        <v>385180493.44148993</v>
      </c>
      <c r="G7" s="30">
        <v>0</v>
      </c>
      <c r="H7" s="55" t="str">
        <f>IF(F7=C7,"OK","Mismatch")</f>
        <v>OK</v>
      </c>
      <c r="I7" s="15"/>
    </row>
    <row r="8" spans="2:13" ht="15.75" thickBot="1" x14ac:dyDescent="0.3">
      <c r="B8" s="137" t="s">
        <v>89</v>
      </c>
      <c r="C8" s="151">
        <f>V_Summary!F58</f>
        <v>434210080.67000002</v>
      </c>
      <c r="D8" s="30">
        <v>0</v>
      </c>
      <c r="E8" s="30">
        <f ca="1">M_Loans!H67</f>
        <v>434210080.67000002</v>
      </c>
      <c r="F8" s="30">
        <v>0</v>
      </c>
      <c r="G8" s="30">
        <v>0</v>
      </c>
      <c r="H8" s="55" t="str">
        <f ca="1">IF(E8=C8,"OK","Mismatch")</f>
        <v>OK</v>
      </c>
      <c r="I8" s="15"/>
    </row>
    <row r="9" spans="2:13" ht="15.75" thickBot="1" x14ac:dyDescent="0.3">
      <c r="B9" s="136" t="s">
        <v>138</v>
      </c>
      <c r="C9" s="151">
        <v>0</v>
      </c>
      <c r="D9" s="30">
        <v>0</v>
      </c>
      <c r="E9" s="30">
        <v>0</v>
      </c>
      <c r="F9" s="30">
        <v>784902782.78999007</v>
      </c>
      <c r="G9" s="30">
        <v>784902782.78998995</v>
      </c>
      <c r="H9" s="55" t="str">
        <f>IF(G9=F9,"OK","Mismatch")</f>
        <v>OK</v>
      </c>
      <c r="I9" s="15"/>
    </row>
    <row r="10" spans="2:13" ht="15.75" thickBot="1" x14ac:dyDescent="0.3">
      <c r="B10" s="142" t="s">
        <v>9</v>
      </c>
      <c r="C10" s="151">
        <v>0</v>
      </c>
      <c r="D10" s="30">
        <v>0</v>
      </c>
      <c r="E10" s="30">
        <v>0</v>
      </c>
      <c r="F10" s="30">
        <v>399722289.34850001</v>
      </c>
      <c r="G10" s="30">
        <v>399722289.34850001</v>
      </c>
      <c r="H10" s="55" t="str">
        <f>IF(G10=F10,"OK","Mismatch")</f>
        <v>OK</v>
      </c>
      <c r="I10" s="15"/>
    </row>
    <row r="11" spans="2:13" ht="15.75" thickBot="1" x14ac:dyDescent="0.3">
      <c r="B11" s="143" t="s">
        <v>11</v>
      </c>
      <c r="C11" s="151">
        <v>0</v>
      </c>
      <c r="D11" s="30">
        <v>0</v>
      </c>
      <c r="E11" s="30">
        <v>0</v>
      </c>
      <c r="F11" s="30">
        <v>238434890.84140995</v>
      </c>
      <c r="G11" s="30">
        <v>238434890.84148997</v>
      </c>
      <c r="H11" s="55" t="str">
        <f>IF(G11=F11,"OK","Mismatch")</f>
        <v>Mismatch</v>
      </c>
      <c r="I11" s="15"/>
    </row>
    <row r="18" spans="6:9" x14ac:dyDescent="0.25">
      <c r="F18" s="4"/>
    </row>
    <row r="21" spans="6:9" x14ac:dyDescent="0.25">
      <c r="I21" s="217"/>
    </row>
  </sheetData>
  <conditionalFormatting sqref="H6:H11">
    <cfRule type="cellIs" dxfId="892" priority="1" operator="equal">
      <formula>"Mismatch"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redit_Summary">
                <anchor moveWithCells="1" sizeWithCells="1">
                  <from>
                    <xdr:col>2</xdr:col>
                    <xdr:colOff>9525</xdr:colOff>
                    <xdr:row>1</xdr:row>
                    <xdr:rowOff>104775</xdr:rowOff>
                  </from>
                  <to>
                    <xdr:col>3</xdr:col>
                    <xdr:colOff>123825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aily_Report.Detailed_Report">
                <anchor moveWithCells="1" sizeWithCells="1">
                  <from>
                    <xdr:col>3</xdr:col>
                    <xdr:colOff>466725</xdr:colOff>
                    <xdr:row>1</xdr:row>
                    <xdr:rowOff>104775</xdr:rowOff>
                  </from>
                  <to>
                    <xdr:col>4</xdr:col>
                    <xdr:colOff>180975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Due_Date_Bankwise">
                <anchor moveWithCells="1" sizeWithCells="1">
                  <from>
                    <xdr:col>4</xdr:col>
                    <xdr:colOff>523875</xdr:colOff>
                    <xdr:row>1</xdr:row>
                    <xdr:rowOff>95250</xdr:rowOff>
                  </from>
                  <to>
                    <xdr:col>5</xdr:col>
                    <xdr:colOff>819150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rojectwise_Summary">
                <anchor moveWithCells="1" sizeWithCells="1">
                  <from>
                    <xdr:col>5</xdr:col>
                    <xdr:colOff>1162050</xdr:colOff>
                    <xdr:row>1</xdr:row>
                    <xdr:rowOff>95250</xdr:rowOff>
                  </from>
                  <to>
                    <xdr:col>6</xdr:col>
                    <xdr:colOff>1238250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Facility_Space">
                <anchor moveWithCells="1" sizeWithCells="1">
                  <from>
                    <xdr:col>7</xdr:col>
                    <xdr:colOff>19050</xdr:colOff>
                    <xdr:row>1</xdr:row>
                    <xdr:rowOff>114300</xdr:rowOff>
                  </from>
                  <to>
                    <xdr:col>8</xdr:col>
                    <xdr:colOff>142875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Final_Sheets">
                <anchor moveWithCells="1" sizeWithCells="1">
                  <from>
                    <xdr:col>8</xdr:col>
                    <xdr:colOff>438150</xdr:colOff>
                    <xdr:row>1</xdr:row>
                    <xdr:rowOff>114300</xdr:rowOff>
                  </from>
                  <to>
                    <xdr:col>10</xdr:col>
                    <xdr:colOff>285750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Run_All">
                <anchor moveWithCells="1" sizeWithCells="1">
                  <from>
                    <xdr:col>1</xdr:col>
                    <xdr:colOff>381000</xdr:colOff>
                    <xdr:row>1</xdr:row>
                    <xdr:rowOff>95250</xdr:rowOff>
                  </from>
                  <to>
                    <xdr:col>1</xdr:col>
                    <xdr:colOff>1047750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F7079-FB0D-4215-88AD-5B7C4C2A8F1F}">
  <sheetPr codeName="PQ_Detailed_Report"/>
  <dimension ref="A1:L162"/>
  <sheetViews>
    <sheetView workbookViewId="0">
      <selection activeCell="B24" sqref="B24"/>
    </sheetView>
  </sheetViews>
  <sheetFormatPr defaultRowHeight="15" x14ac:dyDescent="0.25"/>
  <cols>
    <col min="1" max="1" width="16" bestFit="1" customWidth="1"/>
    <col min="2" max="2" width="65.7109375" bestFit="1" customWidth="1"/>
    <col min="3" max="3" width="29.140625" bestFit="1" customWidth="1"/>
    <col min="4" max="4" width="18.42578125" bestFit="1" customWidth="1"/>
    <col min="5" max="6" width="15.28515625" bestFit="1" customWidth="1"/>
    <col min="7" max="7" width="21.28515625" bestFit="1" customWidth="1"/>
    <col min="8" max="8" width="14.28515625" bestFit="1" customWidth="1"/>
    <col min="9" max="9" width="13.28515625" bestFit="1" customWidth="1"/>
    <col min="10" max="10" width="7.85546875" bestFit="1" customWidth="1"/>
    <col min="11" max="11" width="15.42578125" bestFit="1" customWidth="1"/>
    <col min="12" max="12" width="14.42578125" bestFit="1" customWidth="1"/>
  </cols>
  <sheetData>
    <row r="1" spans="1:12" x14ac:dyDescent="0.25">
      <c r="A1" t="s">
        <v>0</v>
      </c>
      <c r="B1" t="s">
        <v>2</v>
      </c>
      <c r="C1" t="s">
        <v>3</v>
      </c>
      <c r="D1" t="s">
        <v>4</v>
      </c>
      <c r="E1" t="s">
        <v>8</v>
      </c>
      <c r="F1" t="s">
        <v>9</v>
      </c>
      <c r="G1" t="s">
        <v>10</v>
      </c>
      <c r="H1" t="s">
        <v>11</v>
      </c>
      <c r="I1" t="s">
        <v>14</v>
      </c>
      <c r="J1" t="s">
        <v>15</v>
      </c>
      <c r="K1" t="s">
        <v>49</v>
      </c>
      <c r="L1" t="s">
        <v>50</v>
      </c>
    </row>
    <row r="2" spans="1:12" x14ac:dyDescent="0.25">
      <c r="A2" t="s">
        <v>508</v>
      </c>
      <c r="B2" t="s">
        <v>502</v>
      </c>
      <c r="C2" t="s">
        <v>20</v>
      </c>
      <c r="D2" t="s">
        <v>152</v>
      </c>
      <c r="E2" s="15">
        <v>200000</v>
      </c>
      <c r="F2" s="15">
        <v>0</v>
      </c>
      <c r="G2" s="15"/>
      <c r="H2" s="15">
        <v>200000</v>
      </c>
      <c r="I2" t="s">
        <v>28</v>
      </c>
      <c r="J2" t="s">
        <v>19</v>
      </c>
      <c r="K2" s="219"/>
      <c r="L2" s="219"/>
    </row>
    <row r="3" spans="1:12" x14ac:dyDescent="0.25">
      <c r="A3" t="s">
        <v>315</v>
      </c>
      <c r="B3" t="s">
        <v>192</v>
      </c>
      <c r="C3" t="s">
        <v>20</v>
      </c>
      <c r="D3" t="s">
        <v>152</v>
      </c>
      <c r="E3" s="15">
        <v>500000</v>
      </c>
      <c r="F3" s="15">
        <v>0</v>
      </c>
      <c r="G3" s="15">
        <v>365011.38</v>
      </c>
      <c r="H3" s="15">
        <v>134988.62</v>
      </c>
      <c r="I3" t="s">
        <v>28</v>
      </c>
      <c r="J3" t="s">
        <v>19</v>
      </c>
      <c r="K3" s="219">
        <v>46208</v>
      </c>
      <c r="L3" s="219">
        <v>46214</v>
      </c>
    </row>
    <row r="4" spans="1:12" x14ac:dyDescent="0.25">
      <c r="A4" t="s">
        <v>258</v>
      </c>
      <c r="B4" t="s">
        <v>255</v>
      </c>
      <c r="C4" t="s">
        <v>20</v>
      </c>
      <c r="D4" t="s">
        <v>17</v>
      </c>
      <c r="E4" s="15">
        <v>3487033.23</v>
      </c>
      <c r="F4" s="15">
        <v>1989866.83</v>
      </c>
      <c r="G4" s="15"/>
      <c r="H4" s="15">
        <v>1497166.4</v>
      </c>
      <c r="I4" t="s">
        <v>18</v>
      </c>
      <c r="J4" t="s">
        <v>19</v>
      </c>
      <c r="K4" s="219"/>
      <c r="L4" s="219"/>
    </row>
    <row r="5" spans="1:12" x14ac:dyDescent="0.25">
      <c r="A5" t="s">
        <v>317</v>
      </c>
      <c r="B5" t="s">
        <v>302</v>
      </c>
      <c r="C5" t="s">
        <v>20</v>
      </c>
      <c r="D5" t="s">
        <v>152</v>
      </c>
      <c r="E5" s="15">
        <v>1500000</v>
      </c>
      <c r="F5" s="15">
        <v>0</v>
      </c>
      <c r="G5" s="15">
        <v>1377731.72</v>
      </c>
      <c r="H5" s="15">
        <v>122268.28</v>
      </c>
      <c r="I5" t="s">
        <v>28</v>
      </c>
      <c r="J5" t="s">
        <v>19</v>
      </c>
      <c r="K5" s="219">
        <v>46236</v>
      </c>
      <c r="L5" s="219">
        <v>46242</v>
      </c>
    </row>
    <row r="6" spans="1:12" x14ac:dyDescent="0.25">
      <c r="A6" t="s">
        <v>362</v>
      </c>
      <c r="B6" t="s">
        <v>176</v>
      </c>
      <c r="C6" t="s">
        <v>20</v>
      </c>
      <c r="D6" t="s">
        <v>152</v>
      </c>
      <c r="E6" s="15">
        <v>600000</v>
      </c>
      <c r="F6" s="15">
        <v>0</v>
      </c>
      <c r="G6" s="15">
        <v>194647.12</v>
      </c>
      <c r="H6" s="15">
        <v>88310.67</v>
      </c>
      <c r="I6" t="s">
        <v>28</v>
      </c>
      <c r="J6" t="s">
        <v>19</v>
      </c>
      <c r="K6" s="219">
        <v>46208</v>
      </c>
      <c r="L6" s="219">
        <v>46214</v>
      </c>
    </row>
    <row r="7" spans="1:12" x14ac:dyDescent="0.25">
      <c r="A7" t="s">
        <v>362</v>
      </c>
      <c r="B7" t="s">
        <v>176</v>
      </c>
      <c r="C7" t="s">
        <v>20</v>
      </c>
      <c r="D7" t="s">
        <v>152</v>
      </c>
      <c r="E7" s="15">
        <v>600000</v>
      </c>
      <c r="F7" s="15">
        <v>0</v>
      </c>
      <c r="G7" s="15">
        <v>317042.21000000002</v>
      </c>
      <c r="H7" s="15">
        <v>88310.67</v>
      </c>
      <c r="I7" t="s">
        <v>28</v>
      </c>
      <c r="J7" t="s">
        <v>19</v>
      </c>
      <c r="K7" s="219">
        <v>46215</v>
      </c>
      <c r="L7" s="219">
        <v>46221</v>
      </c>
    </row>
    <row r="8" spans="1:12" x14ac:dyDescent="0.25">
      <c r="A8" t="s">
        <v>398</v>
      </c>
      <c r="B8" t="s">
        <v>380</v>
      </c>
      <c r="C8" t="s">
        <v>20</v>
      </c>
      <c r="D8" t="s">
        <v>152</v>
      </c>
      <c r="E8" s="15">
        <v>175000</v>
      </c>
      <c r="F8" s="15">
        <v>0</v>
      </c>
      <c r="G8" s="15"/>
      <c r="H8" s="15">
        <v>175000</v>
      </c>
      <c r="I8" t="s">
        <v>28</v>
      </c>
      <c r="J8" t="s">
        <v>19</v>
      </c>
      <c r="K8" s="219"/>
      <c r="L8" s="219"/>
    </row>
    <row r="9" spans="1:12" x14ac:dyDescent="0.25">
      <c r="A9" t="s">
        <v>314</v>
      </c>
      <c r="B9" t="s">
        <v>177</v>
      </c>
      <c r="C9" t="s">
        <v>20</v>
      </c>
      <c r="D9" t="s">
        <v>152</v>
      </c>
      <c r="E9" s="15">
        <v>900000</v>
      </c>
      <c r="F9" s="15">
        <v>0</v>
      </c>
      <c r="G9" s="15">
        <v>900000</v>
      </c>
      <c r="H9" s="15">
        <v>0</v>
      </c>
      <c r="I9" t="s">
        <v>28</v>
      </c>
      <c r="J9" t="s">
        <v>19</v>
      </c>
      <c r="K9" s="219">
        <v>46264</v>
      </c>
      <c r="L9" s="219">
        <v>46270</v>
      </c>
    </row>
    <row r="10" spans="1:12" x14ac:dyDescent="0.25">
      <c r="A10" t="s">
        <v>399</v>
      </c>
      <c r="B10" t="s">
        <v>382</v>
      </c>
      <c r="C10" t="s">
        <v>20</v>
      </c>
      <c r="D10" t="s">
        <v>152</v>
      </c>
      <c r="E10" s="15">
        <v>125000</v>
      </c>
      <c r="F10" s="15">
        <v>0</v>
      </c>
      <c r="G10" s="15">
        <v>125000</v>
      </c>
      <c r="H10" s="15">
        <v>0</v>
      </c>
      <c r="I10" t="s">
        <v>28</v>
      </c>
      <c r="J10" t="s">
        <v>19</v>
      </c>
      <c r="K10" s="219">
        <v>46222</v>
      </c>
      <c r="L10" s="219">
        <v>46228</v>
      </c>
    </row>
    <row r="11" spans="1:12" x14ac:dyDescent="0.25">
      <c r="A11" t="s">
        <v>216</v>
      </c>
      <c r="B11" t="s">
        <v>181</v>
      </c>
      <c r="C11" t="s">
        <v>24</v>
      </c>
      <c r="D11" t="s">
        <v>106</v>
      </c>
      <c r="E11" s="15">
        <v>3009600</v>
      </c>
      <c r="F11" s="15">
        <v>1850554.97</v>
      </c>
      <c r="G11" s="15"/>
      <c r="H11" s="15">
        <v>1159045.03</v>
      </c>
      <c r="I11" t="s">
        <v>18</v>
      </c>
      <c r="J11" t="s">
        <v>19</v>
      </c>
      <c r="K11" s="219"/>
      <c r="L11" s="219"/>
    </row>
    <row r="12" spans="1:12" x14ac:dyDescent="0.25">
      <c r="A12" t="s">
        <v>445</v>
      </c>
      <c r="B12" t="s">
        <v>438</v>
      </c>
      <c r="C12" t="s">
        <v>219</v>
      </c>
      <c r="D12" t="s">
        <v>151</v>
      </c>
      <c r="E12" s="15">
        <v>6000000</v>
      </c>
      <c r="F12" s="15">
        <v>0</v>
      </c>
      <c r="G12" s="15"/>
      <c r="H12" s="15">
        <v>6000000</v>
      </c>
      <c r="I12" t="s">
        <v>22</v>
      </c>
      <c r="J12" t="s">
        <v>19</v>
      </c>
      <c r="K12" s="219"/>
      <c r="L12" s="219"/>
    </row>
    <row r="13" spans="1:12" x14ac:dyDescent="0.25">
      <c r="A13" t="s">
        <v>363</v>
      </c>
      <c r="B13" t="s">
        <v>357</v>
      </c>
      <c r="C13" t="s">
        <v>20</v>
      </c>
      <c r="D13" t="s">
        <v>152</v>
      </c>
      <c r="E13" s="15">
        <v>1870380.07</v>
      </c>
      <c r="F13" s="15">
        <v>0</v>
      </c>
      <c r="G13" s="15">
        <v>1309266</v>
      </c>
      <c r="H13" s="15">
        <v>561114.06999999995</v>
      </c>
      <c r="I13" t="s">
        <v>28</v>
      </c>
      <c r="J13" t="s">
        <v>19</v>
      </c>
      <c r="K13" s="219">
        <v>46208</v>
      </c>
      <c r="L13" s="219">
        <v>46214</v>
      </c>
    </row>
    <row r="14" spans="1:12" x14ac:dyDescent="0.25">
      <c r="A14" t="s">
        <v>220</v>
      </c>
      <c r="B14" t="s">
        <v>212</v>
      </c>
      <c r="C14" t="s">
        <v>24</v>
      </c>
      <c r="D14" t="s">
        <v>75</v>
      </c>
      <c r="E14" s="15">
        <v>10000000</v>
      </c>
      <c r="F14" s="15">
        <v>2924152.4000000004</v>
      </c>
      <c r="G14" s="15"/>
      <c r="H14" s="15">
        <v>7075847.5999999996</v>
      </c>
      <c r="I14" t="s">
        <v>69</v>
      </c>
      <c r="J14" t="s">
        <v>19</v>
      </c>
      <c r="K14" s="219"/>
      <c r="L14" s="219"/>
    </row>
    <row r="15" spans="1:12" x14ac:dyDescent="0.25">
      <c r="A15" t="s">
        <v>400</v>
      </c>
      <c r="B15" t="s">
        <v>383</v>
      </c>
      <c r="C15" t="s">
        <v>20</v>
      </c>
      <c r="D15" t="s">
        <v>152</v>
      </c>
      <c r="E15" s="15">
        <v>500000</v>
      </c>
      <c r="F15" s="15">
        <v>0</v>
      </c>
      <c r="G15" s="15">
        <v>500000</v>
      </c>
      <c r="H15" s="15">
        <v>0</v>
      </c>
      <c r="I15" t="s">
        <v>28</v>
      </c>
      <c r="J15" t="s">
        <v>19</v>
      </c>
      <c r="K15" s="219">
        <v>46215</v>
      </c>
      <c r="L15" s="219">
        <v>46221</v>
      </c>
    </row>
    <row r="16" spans="1:12" x14ac:dyDescent="0.25">
      <c r="A16" t="s">
        <v>563</v>
      </c>
      <c r="B16" t="s">
        <v>550</v>
      </c>
      <c r="C16" t="s">
        <v>24</v>
      </c>
      <c r="D16" t="s">
        <v>31</v>
      </c>
      <c r="E16" s="15">
        <v>2000000</v>
      </c>
      <c r="F16" s="15">
        <v>0</v>
      </c>
      <c r="G16" s="15"/>
      <c r="H16" s="15">
        <v>2000000</v>
      </c>
      <c r="I16" t="s">
        <v>28</v>
      </c>
      <c r="J16" t="s">
        <v>19</v>
      </c>
      <c r="K16" s="219"/>
      <c r="L16" s="219"/>
    </row>
    <row r="17" spans="1:12" x14ac:dyDescent="0.25">
      <c r="A17" t="s">
        <v>325</v>
      </c>
      <c r="B17" t="s">
        <v>322</v>
      </c>
      <c r="C17" t="s">
        <v>219</v>
      </c>
      <c r="D17" t="s">
        <v>151</v>
      </c>
      <c r="E17" s="15">
        <v>400000</v>
      </c>
      <c r="F17" s="15">
        <v>0</v>
      </c>
      <c r="G17" s="15"/>
      <c r="H17" s="15">
        <v>400000</v>
      </c>
      <c r="I17" t="s">
        <v>22</v>
      </c>
      <c r="J17" t="s">
        <v>19</v>
      </c>
      <c r="K17" s="219"/>
      <c r="L17" s="219"/>
    </row>
    <row r="18" spans="1:12" x14ac:dyDescent="0.25">
      <c r="A18" t="s">
        <v>292</v>
      </c>
      <c r="B18" t="s">
        <v>29</v>
      </c>
      <c r="C18" t="s">
        <v>20</v>
      </c>
      <c r="D18" t="s">
        <v>117</v>
      </c>
      <c r="E18" s="15">
        <v>1044853.45</v>
      </c>
      <c r="F18" s="15">
        <v>0</v>
      </c>
      <c r="G18" s="15">
        <v>567743.27</v>
      </c>
      <c r="H18" s="15">
        <v>477110.18</v>
      </c>
      <c r="I18" t="s">
        <v>25</v>
      </c>
      <c r="J18" t="s">
        <v>19</v>
      </c>
      <c r="K18" s="219">
        <v>46236</v>
      </c>
      <c r="L18" s="219">
        <v>46242</v>
      </c>
    </row>
    <row r="19" spans="1:12" x14ac:dyDescent="0.25">
      <c r="A19" t="s">
        <v>307</v>
      </c>
      <c r="B19" t="s">
        <v>305</v>
      </c>
      <c r="C19" t="s">
        <v>20</v>
      </c>
      <c r="D19" t="s">
        <v>75</v>
      </c>
      <c r="E19" s="15">
        <v>1500000</v>
      </c>
      <c r="F19" s="15">
        <v>1478254.88</v>
      </c>
      <c r="G19" s="15"/>
      <c r="H19" s="15">
        <v>21745.119999999999</v>
      </c>
      <c r="I19" t="s">
        <v>69</v>
      </c>
      <c r="J19" t="s">
        <v>19</v>
      </c>
      <c r="K19" s="219"/>
      <c r="L19" s="219"/>
    </row>
    <row r="20" spans="1:12" x14ac:dyDescent="0.25">
      <c r="A20" t="s">
        <v>402</v>
      </c>
      <c r="B20" t="s">
        <v>393</v>
      </c>
      <c r="C20" t="s">
        <v>20</v>
      </c>
      <c r="D20" t="s">
        <v>152</v>
      </c>
      <c r="E20" s="15">
        <v>150000</v>
      </c>
      <c r="F20" s="15">
        <v>0</v>
      </c>
      <c r="G20" s="15">
        <v>93855.09</v>
      </c>
      <c r="H20" s="15">
        <v>56144.91</v>
      </c>
      <c r="I20" t="s">
        <v>28</v>
      </c>
      <c r="J20" t="s">
        <v>19</v>
      </c>
      <c r="K20" s="219">
        <v>46229</v>
      </c>
      <c r="L20" s="219">
        <v>46235</v>
      </c>
    </row>
    <row r="21" spans="1:12" x14ac:dyDescent="0.25">
      <c r="A21" t="s">
        <v>509</v>
      </c>
      <c r="B21" t="s">
        <v>505</v>
      </c>
      <c r="C21" t="s">
        <v>20</v>
      </c>
      <c r="D21" t="s">
        <v>152</v>
      </c>
      <c r="E21" s="15">
        <v>350000</v>
      </c>
      <c r="F21" s="15">
        <v>0</v>
      </c>
      <c r="G21" s="15"/>
      <c r="H21" s="15">
        <v>350000</v>
      </c>
      <c r="I21" t="s">
        <v>28</v>
      </c>
      <c r="J21" t="s">
        <v>19</v>
      </c>
      <c r="K21" s="219"/>
      <c r="L21" s="219"/>
    </row>
    <row r="22" spans="1:12" x14ac:dyDescent="0.25">
      <c r="A22" t="s">
        <v>401</v>
      </c>
      <c r="B22" t="s">
        <v>384</v>
      </c>
      <c r="C22" t="s">
        <v>20</v>
      </c>
      <c r="D22" t="s">
        <v>152</v>
      </c>
      <c r="E22" s="15">
        <v>450000</v>
      </c>
      <c r="F22" s="15">
        <v>0</v>
      </c>
      <c r="G22" s="15"/>
      <c r="H22" s="15">
        <v>450000</v>
      </c>
      <c r="I22" t="s">
        <v>28</v>
      </c>
      <c r="J22" t="s">
        <v>19</v>
      </c>
      <c r="K22" s="219"/>
      <c r="L22" s="219"/>
    </row>
    <row r="23" spans="1:12" x14ac:dyDescent="0.25">
      <c r="A23" t="s">
        <v>510</v>
      </c>
      <c r="B23" t="s">
        <v>485</v>
      </c>
      <c r="C23" t="s">
        <v>20</v>
      </c>
      <c r="D23" t="s">
        <v>152</v>
      </c>
      <c r="E23" s="15">
        <v>200000</v>
      </c>
      <c r="F23" s="15">
        <v>0</v>
      </c>
      <c r="G23" s="15"/>
      <c r="H23" s="15">
        <v>200000</v>
      </c>
      <c r="I23" t="s">
        <v>28</v>
      </c>
      <c r="J23" t="s">
        <v>19</v>
      </c>
      <c r="K23" s="219"/>
      <c r="L23" s="219"/>
    </row>
    <row r="24" spans="1:12" x14ac:dyDescent="0.25">
      <c r="A24" t="s">
        <v>320</v>
      </c>
      <c r="B24" t="s">
        <v>289</v>
      </c>
      <c r="C24" t="s">
        <v>326</v>
      </c>
      <c r="D24" t="s">
        <v>27</v>
      </c>
      <c r="E24" s="15">
        <v>1269458.03</v>
      </c>
      <c r="F24" s="15">
        <v>0</v>
      </c>
      <c r="G24" s="15"/>
      <c r="H24" s="15">
        <v>1269458.03</v>
      </c>
      <c r="I24" t="s">
        <v>28</v>
      </c>
      <c r="J24" t="s">
        <v>19</v>
      </c>
      <c r="K24" s="219"/>
      <c r="L24" s="219"/>
    </row>
    <row r="25" spans="1:12" x14ac:dyDescent="0.25">
      <c r="A25" t="s">
        <v>254</v>
      </c>
      <c r="B25" t="s">
        <v>253</v>
      </c>
      <c r="C25" t="s">
        <v>275</v>
      </c>
      <c r="D25" t="s">
        <v>151</v>
      </c>
      <c r="E25" s="15">
        <v>18703391.850000001</v>
      </c>
      <c r="F25" s="15">
        <v>17787660.100000001</v>
      </c>
      <c r="G25" s="15"/>
      <c r="H25" s="15">
        <v>915731.75</v>
      </c>
      <c r="I25" t="s">
        <v>22</v>
      </c>
      <c r="J25" t="s">
        <v>19</v>
      </c>
      <c r="K25" s="219"/>
      <c r="L25" s="219"/>
    </row>
    <row r="26" spans="1:12" x14ac:dyDescent="0.25">
      <c r="A26" t="s">
        <v>422</v>
      </c>
      <c r="B26" t="s">
        <v>253</v>
      </c>
      <c r="C26" t="s">
        <v>453</v>
      </c>
      <c r="D26" t="s">
        <v>151</v>
      </c>
      <c r="E26" s="15">
        <v>7446132.75</v>
      </c>
      <c r="F26" s="15">
        <v>2500000</v>
      </c>
      <c r="G26" s="15"/>
      <c r="H26" s="15">
        <v>4946132.75</v>
      </c>
      <c r="I26" t="s">
        <v>22</v>
      </c>
      <c r="J26" t="s">
        <v>19</v>
      </c>
      <c r="K26" s="219"/>
      <c r="L26" s="219"/>
    </row>
    <row r="27" spans="1:12" x14ac:dyDescent="0.25">
      <c r="A27" t="s">
        <v>406</v>
      </c>
      <c r="B27" t="s">
        <v>389</v>
      </c>
      <c r="C27" t="s">
        <v>20</v>
      </c>
      <c r="D27" t="s">
        <v>152</v>
      </c>
      <c r="E27" s="15">
        <v>1000000</v>
      </c>
      <c r="F27" s="15">
        <v>0</v>
      </c>
      <c r="G27" s="15">
        <v>995984.82</v>
      </c>
      <c r="H27" s="15">
        <v>4015.18</v>
      </c>
      <c r="I27" t="s">
        <v>28</v>
      </c>
      <c r="J27" t="s">
        <v>19</v>
      </c>
      <c r="K27" s="219">
        <v>46264</v>
      </c>
      <c r="L27" s="219">
        <v>46270</v>
      </c>
    </row>
    <row r="28" spans="1:12" x14ac:dyDescent="0.25">
      <c r="A28" t="s">
        <v>250</v>
      </c>
      <c r="B28" t="s">
        <v>246</v>
      </c>
      <c r="C28" t="s">
        <v>24</v>
      </c>
      <c r="D28" t="s">
        <v>75</v>
      </c>
      <c r="E28" s="15">
        <v>16731764</v>
      </c>
      <c r="F28" s="15">
        <v>5732513.5999999996</v>
      </c>
      <c r="G28" s="15"/>
      <c r="H28" s="15">
        <v>10999250.4</v>
      </c>
      <c r="I28" t="s">
        <v>69</v>
      </c>
      <c r="J28" t="s">
        <v>19</v>
      </c>
      <c r="K28" s="219"/>
      <c r="L28" s="219"/>
    </row>
    <row r="29" spans="1:12" x14ac:dyDescent="0.25">
      <c r="A29" t="s">
        <v>511</v>
      </c>
      <c r="B29" t="s">
        <v>484</v>
      </c>
      <c r="C29" t="s">
        <v>20</v>
      </c>
      <c r="D29" t="s">
        <v>152</v>
      </c>
      <c r="E29" s="15">
        <v>200000</v>
      </c>
      <c r="F29" s="15">
        <v>0</v>
      </c>
      <c r="G29" s="15"/>
      <c r="H29" s="15">
        <v>200000</v>
      </c>
      <c r="I29" t="s">
        <v>28</v>
      </c>
      <c r="J29" t="s">
        <v>19</v>
      </c>
      <c r="K29" s="219"/>
      <c r="L29" s="219"/>
    </row>
    <row r="30" spans="1:12" x14ac:dyDescent="0.25">
      <c r="A30" t="s">
        <v>207</v>
      </c>
      <c r="B30" t="s">
        <v>201</v>
      </c>
      <c r="C30" t="s">
        <v>20</v>
      </c>
      <c r="D30" t="s">
        <v>27</v>
      </c>
      <c r="E30" s="15">
        <v>500000</v>
      </c>
      <c r="F30" s="15">
        <v>98871.6</v>
      </c>
      <c r="G30" s="15"/>
      <c r="H30" s="15">
        <v>401128.4</v>
      </c>
      <c r="I30" t="s">
        <v>28</v>
      </c>
      <c r="J30" t="s">
        <v>19</v>
      </c>
      <c r="K30" s="219"/>
      <c r="L30" s="219"/>
    </row>
    <row r="31" spans="1:12" x14ac:dyDescent="0.25">
      <c r="A31" t="s">
        <v>466</v>
      </c>
      <c r="B31" t="s">
        <v>451</v>
      </c>
      <c r="C31" t="s">
        <v>24</v>
      </c>
      <c r="D31" t="s">
        <v>75</v>
      </c>
      <c r="E31" s="15">
        <v>600000</v>
      </c>
      <c r="F31" s="15">
        <v>0</v>
      </c>
      <c r="G31" s="15"/>
      <c r="H31" s="15">
        <v>600000</v>
      </c>
      <c r="I31" t="s">
        <v>69</v>
      </c>
      <c r="J31" t="s">
        <v>19</v>
      </c>
      <c r="K31" s="219"/>
      <c r="L31" s="219"/>
    </row>
    <row r="32" spans="1:12" x14ac:dyDescent="0.25">
      <c r="A32" t="s">
        <v>228</v>
      </c>
      <c r="B32" t="s">
        <v>225</v>
      </c>
      <c r="C32" t="s">
        <v>20</v>
      </c>
      <c r="D32" t="s">
        <v>152</v>
      </c>
      <c r="E32" s="15">
        <v>1500000</v>
      </c>
      <c r="F32" s="15">
        <v>1071489.43</v>
      </c>
      <c r="G32" s="15">
        <v>427806.8</v>
      </c>
      <c r="H32" s="15">
        <v>703.77</v>
      </c>
      <c r="I32" t="s">
        <v>28</v>
      </c>
      <c r="J32" t="s">
        <v>19</v>
      </c>
      <c r="K32" s="219">
        <v>46215</v>
      </c>
      <c r="L32" s="219">
        <v>46221</v>
      </c>
    </row>
    <row r="33" spans="1:12" x14ac:dyDescent="0.25">
      <c r="A33" t="s">
        <v>432</v>
      </c>
      <c r="B33" t="s">
        <v>429</v>
      </c>
      <c r="C33" t="s">
        <v>183</v>
      </c>
      <c r="D33" t="s">
        <v>105</v>
      </c>
      <c r="E33" s="15">
        <v>5693645.4199999999</v>
      </c>
      <c r="F33" s="15">
        <v>0</v>
      </c>
      <c r="G33" s="15"/>
      <c r="H33" s="15">
        <v>5693645.4199999999</v>
      </c>
      <c r="I33" t="s">
        <v>18</v>
      </c>
      <c r="J33" t="s">
        <v>19</v>
      </c>
      <c r="K33" s="219"/>
      <c r="L33" s="219"/>
    </row>
    <row r="34" spans="1:12" x14ac:dyDescent="0.25">
      <c r="A34" t="s">
        <v>241</v>
      </c>
      <c r="B34" t="s">
        <v>192</v>
      </c>
      <c r="C34" t="s">
        <v>20</v>
      </c>
      <c r="D34" t="s">
        <v>152</v>
      </c>
      <c r="E34" s="15">
        <v>400000</v>
      </c>
      <c r="F34" s="15">
        <v>347240.48</v>
      </c>
      <c r="G34" s="15">
        <v>52759.519999999997</v>
      </c>
      <c r="H34" s="15">
        <v>0</v>
      </c>
      <c r="I34" t="s">
        <v>28</v>
      </c>
      <c r="J34" t="s">
        <v>19</v>
      </c>
      <c r="K34" s="219">
        <v>46236</v>
      </c>
      <c r="L34" s="219">
        <v>46242</v>
      </c>
    </row>
    <row r="35" spans="1:12" x14ac:dyDescent="0.25">
      <c r="A35" t="s">
        <v>543</v>
      </c>
      <c r="B35" t="s">
        <v>449</v>
      </c>
      <c r="C35" t="s">
        <v>450</v>
      </c>
      <c r="D35" t="s">
        <v>151</v>
      </c>
      <c r="E35" s="15">
        <v>26518417.458099999</v>
      </c>
      <c r="F35" s="15">
        <v>0</v>
      </c>
      <c r="G35" s="15"/>
      <c r="H35" s="15">
        <v>26518417.460000001</v>
      </c>
      <c r="I35" t="s">
        <v>22</v>
      </c>
      <c r="J35" t="s">
        <v>19</v>
      </c>
      <c r="K35" s="219"/>
      <c r="L35" s="219"/>
    </row>
    <row r="36" spans="1:12" x14ac:dyDescent="0.25">
      <c r="A36" t="s">
        <v>272</v>
      </c>
      <c r="B36" t="s">
        <v>271</v>
      </c>
      <c r="C36" t="s">
        <v>275</v>
      </c>
      <c r="D36" t="s">
        <v>151</v>
      </c>
      <c r="E36" s="15">
        <v>2072033.2</v>
      </c>
      <c r="F36" s="15">
        <v>463730.6</v>
      </c>
      <c r="G36" s="15">
        <v>652505.4</v>
      </c>
      <c r="H36" s="15">
        <v>955797.2</v>
      </c>
      <c r="I36" t="s">
        <v>22</v>
      </c>
      <c r="J36" t="s">
        <v>19</v>
      </c>
      <c r="K36" s="219">
        <v>46201</v>
      </c>
      <c r="L36" s="219">
        <v>46207</v>
      </c>
    </row>
    <row r="37" spans="1:12" x14ac:dyDescent="0.25">
      <c r="A37" t="s">
        <v>247</v>
      </c>
      <c r="B37" t="s">
        <v>242</v>
      </c>
      <c r="C37" t="s">
        <v>20</v>
      </c>
      <c r="D37" t="s">
        <v>152</v>
      </c>
      <c r="E37" s="15">
        <v>558949</v>
      </c>
      <c r="F37" s="15">
        <v>300966.99</v>
      </c>
      <c r="G37" s="15">
        <v>106205.87</v>
      </c>
      <c r="H37" s="15">
        <v>151776.14000000001</v>
      </c>
      <c r="I37" t="s">
        <v>28</v>
      </c>
      <c r="J37" t="s">
        <v>19</v>
      </c>
      <c r="K37" s="219">
        <v>46201</v>
      </c>
      <c r="L37" s="219">
        <v>46207</v>
      </c>
    </row>
    <row r="38" spans="1:12" x14ac:dyDescent="0.25">
      <c r="A38" t="s">
        <v>433</v>
      </c>
      <c r="B38" t="s">
        <v>427</v>
      </c>
      <c r="C38" t="s">
        <v>183</v>
      </c>
      <c r="D38" t="s">
        <v>105</v>
      </c>
      <c r="E38" s="15">
        <v>5120131</v>
      </c>
      <c r="F38" s="15">
        <v>0</v>
      </c>
      <c r="G38" s="15"/>
      <c r="H38" s="15">
        <v>5120131</v>
      </c>
      <c r="I38" t="s">
        <v>18</v>
      </c>
      <c r="J38" t="s">
        <v>19</v>
      </c>
      <c r="K38" s="219"/>
      <c r="L38" s="219"/>
    </row>
    <row r="39" spans="1:12" x14ac:dyDescent="0.25">
      <c r="A39" t="s">
        <v>264</v>
      </c>
      <c r="B39" t="s">
        <v>178</v>
      </c>
      <c r="C39" t="s">
        <v>20</v>
      </c>
      <c r="D39" t="s">
        <v>152</v>
      </c>
      <c r="E39" s="15">
        <v>628258.81000000006</v>
      </c>
      <c r="F39" s="15">
        <v>0</v>
      </c>
      <c r="G39" s="15">
        <v>278905.67</v>
      </c>
      <c r="H39" s="15">
        <v>140540.12</v>
      </c>
      <c r="I39" t="s">
        <v>28</v>
      </c>
      <c r="J39" t="s">
        <v>19</v>
      </c>
      <c r="K39" s="219">
        <v>46257</v>
      </c>
      <c r="L39" s="219">
        <v>46263</v>
      </c>
    </row>
    <row r="40" spans="1:12" x14ac:dyDescent="0.25">
      <c r="A40" t="s">
        <v>264</v>
      </c>
      <c r="B40" t="s">
        <v>178</v>
      </c>
      <c r="C40" t="s">
        <v>20</v>
      </c>
      <c r="D40" t="s">
        <v>152</v>
      </c>
      <c r="E40" s="15">
        <v>628258.81000000006</v>
      </c>
      <c r="F40" s="15">
        <v>0</v>
      </c>
      <c r="G40" s="15">
        <v>208813.02</v>
      </c>
      <c r="H40" s="15">
        <v>140540.12</v>
      </c>
      <c r="I40" t="s">
        <v>28</v>
      </c>
      <c r="J40" t="s">
        <v>19</v>
      </c>
      <c r="K40" s="219">
        <v>46208</v>
      </c>
      <c r="L40" s="219">
        <v>46214</v>
      </c>
    </row>
    <row r="41" spans="1:12" x14ac:dyDescent="0.25">
      <c r="A41" t="s">
        <v>512</v>
      </c>
      <c r="B41" t="s">
        <v>177</v>
      </c>
      <c r="C41" t="s">
        <v>20</v>
      </c>
      <c r="D41" t="s">
        <v>152</v>
      </c>
      <c r="E41" s="15">
        <v>500000</v>
      </c>
      <c r="F41" s="15">
        <v>0</v>
      </c>
      <c r="G41" s="15"/>
      <c r="H41" s="15">
        <v>500000</v>
      </c>
      <c r="I41" t="s">
        <v>28</v>
      </c>
      <c r="J41" t="s">
        <v>19</v>
      </c>
      <c r="K41" s="219"/>
      <c r="L41" s="219"/>
    </row>
    <row r="42" spans="1:12" x14ac:dyDescent="0.25">
      <c r="A42" t="s">
        <v>35</v>
      </c>
      <c r="B42" t="s">
        <v>36</v>
      </c>
      <c r="C42" t="s">
        <v>24</v>
      </c>
      <c r="D42" t="s">
        <v>168</v>
      </c>
      <c r="E42" s="15">
        <v>211576205.22720003</v>
      </c>
      <c r="F42" s="15">
        <v>210445911.24020118</v>
      </c>
      <c r="G42" s="15"/>
      <c r="H42" s="15">
        <v>1130293.99</v>
      </c>
      <c r="I42" t="s">
        <v>25</v>
      </c>
      <c r="J42" t="s">
        <v>32</v>
      </c>
      <c r="K42" s="219"/>
      <c r="L42" s="219"/>
    </row>
    <row r="43" spans="1:12" x14ac:dyDescent="0.25">
      <c r="A43" t="s">
        <v>360</v>
      </c>
      <c r="B43" t="s">
        <v>355</v>
      </c>
      <c r="C43" t="s">
        <v>24</v>
      </c>
      <c r="D43" t="s">
        <v>106</v>
      </c>
      <c r="E43" s="15">
        <v>2495972.17</v>
      </c>
      <c r="F43" s="15">
        <v>1548792.03</v>
      </c>
      <c r="G43" s="15"/>
      <c r="H43" s="15">
        <v>947180.14</v>
      </c>
      <c r="I43" t="s">
        <v>18</v>
      </c>
      <c r="J43" t="s">
        <v>19</v>
      </c>
      <c r="K43" s="219"/>
      <c r="L43" s="219"/>
    </row>
    <row r="44" spans="1:12" x14ac:dyDescent="0.25">
      <c r="A44" t="s">
        <v>373</v>
      </c>
      <c r="B44" t="s">
        <v>179</v>
      </c>
      <c r="C44" t="s">
        <v>20</v>
      </c>
      <c r="D44" t="s">
        <v>75</v>
      </c>
      <c r="E44" s="15">
        <v>312828.75</v>
      </c>
      <c r="F44" s="15">
        <v>262776.15000000002</v>
      </c>
      <c r="G44" s="15"/>
      <c r="H44" s="15">
        <v>50052.6</v>
      </c>
      <c r="I44" t="s">
        <v>69</v>
      </c>
      <c r="J44" t="s">
        <v>19</v>
      </c>
      <c r="K44" s="219"/>
      <c r="L44" s="219"/>
    </row>
    <row r="45" spans="1:12" x14ac:dyDescent="0.25">
      <c r="A45" t="s">
        <v>159</v>
      </c>
      <c r="B45" t="s">
        <v>310</v>
      </c>
      <c r="C45" t="s">
        <v>219</v>
      </c>
      <c r="D45" t="s">
        <v>151</v>
      </c>
      <c r="E45" s="15">
        <v>42588000</v>
      </c>
      <c r="F45" s="15">
        <v>12335918.542009998</v>
      </c>
      <c r="G45" s="15">
        <v>4960446.9619200006</v>
      </c>
      <c r="H45" s="15">
        <v>20724744.149999999</v>
      </c>
      <c r="I45" t="s">
        <v>22</v>
      </c>
      <c r="J45" t="s">
        <v>19</v>
      </c>
      <c r="K45" s="219">
        <v>46194</v>
      </c>
      <c r="L45" s="219">
        <v>46200</v>
      </c>
    </row>
    <row r="46" spans="1:12" x14ac:dyDescent="0.25">
      <c r="A46" t="s">
        <v>159</v>
      </c>
      <c r="B46" t="s">
        <v>310</v>
      </c>
      <c r="C46" t="s">
        <v>219</v>
      </c>
      <c r="D46" t="s">
        <v>151</v>
      </c>
      <c r="E46" s="15">
        <v>42588000</v>
      </c>
      <c r="F46" s="15">
        <v>12335918.542009998</v>
      </c>
      <c r="G46" s="15">
        <v>4566890.3481600005</v>
      </c>
      <c r="H46" s="15">
        <v>20724744.149999999</v>
      </c>
      <c r="I46" t="s">
        <v>22</v>
      </c>
      <c r="J46" t="s">
        <v>19</v>
      </c>
      <c r="K46" s="219">
        <v>46201</v>
      </c>
      <c r="L46" s="219">
        <v>46207</v>
      </c>
    </row>
    <row r="47" spans="1:12" x14ac:dyDescent="0.25">
      <c r="A47" t="s">
        <v>403</v>
      </c>
      <c r="B47" t="s">
        <v>391</v>
      </c>
      <c r="C47" t="s">
        <v>20</v>
      </c>
      <c r="D47" t="s">
        <v>152</v>
      </c>
      <c r="E47" s="15">
        <v>1000000</v>
      </c>
      <c r="F47" s="15">
        <v>0</v>
      </c>
      <c r="G47" s="15"/>
      <c r="H47" s="15">
        <v>1000000</v>
      </c>
      <c r="I47" t="s">
        <v>28</v>
      </c>
      <c r="J47" t="s">
        <v>19</v>
      </c>
      <c r="K47" s="219"/>
      <c r="L47" s="219"/>
    </row>
    <row r="48" spans="1:12" x14ac:dyDescent="0.25">
      <c r="A48" t="s">
        <v>145</v>
      </c>
      <c r="B48" t="s">
        <v>144</v>
      </c>
      <c r="C48" t="s">
        <v>20</v>
      </c>
      <c r="D48" t="s">
        <v>103</v>
      </c>
      <c r="E48" s="15">
        <v>900000</v>
      </c>
      <c r="F48" s="15">
        <v>781791.28</v>
      </c>
      <c r="G48" s="15"/>
      <c r="H48" s="15">
        <v>118208.72</v>
      </c>
      <c r="I48" t="s">
        <v>22</v>
      </c>
      <c r="J48" t="s">
        <v>19</v>
      </c>
      <c r="K48" s="219"/>
      <c r="L48" s="219"/>
    </row>
    <row r="49" spans="1:12" x14ac:dyDescent="0.25">
      <c r="A49" t="s">
        <v>423</v>
      </c>
      <c r="B49" t="s">
        <v>107</v>
      </c>
      <c r="C49" t="s">
        <v>219</v>
      </c>
      <c r="D49" t="s">
        <v>151</v>
      </c>
      <c r="E49" s="15">
        <v>2193076</v>
      </c>
      <c r="F49" s="15">
        <v>0</v>
      </c>
      <c r="G49" s="15">
        <v>2193076</v>
      </c>
      <c r="H49" s="15">
        <v>0</v>
      </c>
      <c r="I49" t="s">
        <v>22</v>
      </c>
      <c r="J49" t="s">
        <v>19</v>
      </c>
      <c r="K49" s="219">
        <v>46222</v>
      </c>
      <c r="L49" s="219">
        <v>46228</v>
      </c>
    </row>
    <row r="50" spans="1:12" x14ac:dyDescent="0.25">
      <c r="A50" t="s">
        <v>276</v>
      </c>
      <c r="B50" t="s">
        <v>310</v>
      </c>
      <c r="C50" t="s">
        <v>183</v>
      </c>
      <c r="D50" t="s">
        <v>17</v>
      </c>
      <c r="E50" s="15">
        <v>7592941.7549999999</v>
      </c>
      <c r="F50" s="15">
        <v>703586.90607999999</v>
      </c>
      <c r="G50" s="15"/>
      <c r="H50" s="15">
        <v>6889354.8499999996</v>
      </c>
      <c r="I50" t="s">
        <v>18</v>
      </c>
      <c r="J50" t="s">
        <v>19</v>
      </c>
      <c r="K50" s="219"/>
      <c r="L50" s="219"/>
    </row>
    <row r="51" spans="1:12" x14ac:dyDescent="0.25">
      <c r="A51" t="s">
        <v>239</v>
      </c>
      <c r="B51" t="s">
        <v>174</v>
      </c>
      <c r="C51" t="s">
        <v>24</v>
      </c>
      <c r="D51" t="s">
        <v>106</v>
      </c>
      <c r="E51" s="15">
        <v>2074312.5</v>
      </c>
      <c r="F51" s="15">
        <v>1365320.5099999998</v>
      </c>
      <c r="G51" s="15"/>
      <c r="H51" s="15">
        <v>708991.99</v>
      </c>
      <c r="I51" t="s">
        <v>18</v>
      </c>
      <c r="J51" t="s">
        <v>19</v>
      </c>
      <c r="K51" s="219"/>
      <c r="L51" s="219"/>
    </row>
    <row r="52" spans="1:12" x14ac:dyDescent="0.25">
      <c r="A52" t="s">
        <v>194</v>
      </c>
      <c r="B52" t="s">
        <v>192</v>
      </c>
      <c r="C52" t="s">
        <v>20</v>
      </c>
      <c r="D52" t="s">
        <v>152</v>
      </c>
      <c r="E52" s="15">
        <v>300000.01</v>
      </c>
      <c r="F52" s="15">
        <v>137792.10999999999</v>
      </c>
      <c r="G52" s="15"/>
      <c r="H52" s="15">
        <v>162207.9</v>
      </c>
      <c r="I52" t="s">
        <v>28</v>
      </c>
      <c r="J52" t="s">
        <v>19</v>
      </c>
      <c r="K52" s="219"/>
      <c r="L52" s="219"/>
    </row>
    <row r="53" spans="1:12" x14ac:dyDescent="0.25">
      <c r="A53" t="s">
        <v>352</v>
      </c>
      <c r="B53" t="s">
        <v>349</v>
      </c>
      <c r="C53" t="s">
        <v>219</v>
      </c>
      <c r="D53" t="s">
        <v>151</v>
      </c>
      <c r="E53" s="15">
        <v>274384</v>
      </c>
      <c r="F53" s="15">
        <v>0</v>
      </c>
      <c r="G53" s="15"/>
      <c r="H53" s="15">
        <v>274384</v>
      </c>
      <c r="I53" t="s">
        <v>22</v>
      </c>
      <c r="J53" t="s">
        <v>19</v>
      </c>
      <c r="K53" s="219"/>
      <c r="L53" s="219"/>
    </row>
    <row r="54" spans="1:12" x14ac:dyDescent="0.25">
      <c r="A54" t="s">
        <v>468</v>
      </c>
      <c r="B54" t="s">
        <v>461</v>
      </c>
      <c r="C54" t="s">
        <v>219</v>
      </c>
      <c r="D54" t="s">
        <v>31</v>
      </c>
      <c r="E54" s="15">
        <v>735855</v>
      </c>
      <c r="F54" s="15">
        <v>0</v>
      </c>
      <c r="G54" s="15"/>
      <c r="H54" s="15">
        <v>735855</v>
      </c>
      <c r="I54" t="s">
        <v>28</v>
      </c>
      <c r="J54" t="s">
        <v>19</v>
      </c>
      <c r="K54" s="219"/>
      <c r="L54" s="219"/>
    </row>
    <row r="55" spans="1:12" x14ac:dyDescent="0.25">
      <c r="A55" t="s">
        <v>513</v>
      </c>
      <c r="B55" t="s">
        <v>461</v>
      </c>
      <c r="C55" t="s">
        <v>20</v>
      </c>
      <c r="D55" t="s">
        <v>152</v>
      </c>
      <c r="E55" s="15">
        <v>1000000</v>
      </c>
      <c r="F55" s="15">
        <v>0</v>
      </c>
      <c r="G55" s="15"/>
      <c r="H55" s="15">
        <v>1000000</v>
      </c>
      <c r="I55" t="s">
        <v>28</v>
      </c>
      <c r="J55" t="s">
        <v>19</v>
      </c>
      <c r="K55" s="219"/>
      <c r="L55" s="219"/>
    </row>
    <row r="56" spans="1:12" x14ac:dyDescent="0.25">
      <c r="A56" t="s">
        <v>421</v>
      </c>
      <c r="B56" t="s">
        <v>418</v>
      </c>
      <c r="C56" t="s">
        <v>24</v>
      </c>
      <c r="D56" t="s">
        <v>17</v>
      </c>
      <c r="E56" s="15">
        <v>20000000</v>
      </c>
      <c r="F56" s="15">
        <v>0</v>
      </c>
      <c r="G56" s="15">
        <v>5643717.4500000002</v>
      </c>
      <c r="H56" s="15">
        <v>11762891.02</v>
      </c>
      <c r="I56" t="s">
        <v>18</v>
      </c>
      <c r="J56" t="s">
        <v>19</v>
      </c>
      <c r="K56" s="219">
        <v>46222</v>
      </c>
      <c r="L56" s="219">
        <v>46228</v>
      </c>
    </row>
    <row r="57" spans="1:12" x14ac:dyDescent="0.25">
      <c r="A57" t="s">
        <v>421</v>
      </c>
      <c r="B57" t="s">
        <v>418</v>
      </c>
      <c r="C57" t="s">
        <v>24</v>
      </c>
      <c r="D57" t="s">
        <v>17</v>
      </c>
      <c r="E57" s="15">
        <v>20000000</v>
      </c>
      <c r="F57" s="15">
        <v>0</v>
      </c>
      <c r="G57" s="15">
        <v>2593391.5299999998</v>
      </c>
      <c r="H57" s="15">
        <v>11762891.02</v>
      </c>
      <c r="I57" t="s">
        <v>18</v>
      </c>
      <c r="J57" t="s">
        <v>19</v>
      </c>
      <c r="K57" s="219">
        <v>46243</v>
      </c>
      <c r="L57" s="219">
        <v>46249</v>
      </c>
    </row>
    <row r="58" spans="1:12" x14ac:dyDescent="0.25">
      <c r="A58" t="s">
        <v>190</v>
      </c>
      <c r="B58" t="s">
        <v>188</v>
      </c>
      <c r="C58" t="s">
        <v>20</v>
      </c>
      <c r="D58" t="s">
        <v>75</v>
      </c>
      <c r="E58" s="15">
        <v>101623.2</v>
      </c>
      <c r="F58" s="15">
        <v>0</v>
      </c>
      <c r="G58" s="15"/>
      <c r="H58" s="15">
        <v>101623.2</v>
      </c>
      <c r="I58" t="s">
        <v>69</v>
      </c>
      <c r="J58" t="s">
        <v>19</v>
      </c>
      <c r="K58" s="219"/>
      <c r="L58" s="219"/>
    </row>
    <row r="59" spans="1:12" x14ac:dyDescent="0.25">
      <c r="A59" t="s">
        <v>404</v>
      </c>
      <c r="B59" t="s">
        <v>107</v>
      </c>
      <c r="C59" t="s">
        <v>20</v>
      </c>
      <c r="D59" t="s">
        <v>152</v>
      </c>
      <c r="E59" s="15">
        <v>1000000</v>
      </c>
      <c r="F59" s="15">
        <v>0</v>
      </c>
      <c r="G59" s="15"/>
      <c r="H59" s="15">
        <v>1000000</v>
      </c>
      <c r="I59" t="s">
        <v>28</v>
      </c>
      <c r="J59" t="s">
        <v>19</v>
      </c>
      <c r="K59" s="219"/>
      <c r="L59" s="219"/>
    </row>
    <row r="60" spans="1:12" x14ac:dyDescent="0.25">
      <c r="A60" t="s">
        <v>514</v>
      </c>
      <c r="B60" t="s">
        <v>499</v>
      </c>
      <c r="C60" t="s">
        <v>20</v>
      </c>
      <c r="D60" t="s">
        <v>152</v>
      </c>
      <c r="E60" s="15">
        <v>1000000</v>
      </c>
      <c r="F60" s="15">
        <v>0</v>
      </c>
      <c r="G60" s="15"/>
      <c r="H60" s="15">
        <v>1000000</v>
      </c>
      <c r="I60" t="s">
        <v>28</v>
      </c>
      <c r="J60" t="s">
        <v>19</v>
      </c>
      <c r="K60" s="219"/>
      <c r="L60" s="219"/>
    </row>
    <row r="61" spans="1:12" x14ac:dyDescent="0.25">
      <c r="A61" t="s">
        <v>405</v>
      </c>
      <c r="B61" t="s">
        <v>395</v>
      </c>
      <c r="C61" t="s">
        <v>20</v>
      </c>
      <c r="D61" t="s">
        <v>152</v>
      </c>
      <c r="E61" s="15">
        <v>150000</v>
      </c>
      <c r="F61" s="15">
        <v>0</v>
      </c>
      <c r="G61" s="15"/>
      <c r="H61" s="15">
        <v>150000</v>
      </c>
      <c r="I61" t="s">
        <v>28</v>
      </c>
      <c r="J61" t="s">
        <v>19</v>
      </c>
      <c r="K61" s="219"/>
      <c r="L61" s="219"/>
    </row>
    <row r="62" spans="1:12" x14ac:dyDescent="0.25">
      <c r="A62" t="s">
        <v>515</v>
      </c>
      <c r="B62" t="s">
        <v>261</v>
      </c>
      <c r="C62" t="s">
        <v>20</v>
      </c>
      <c r="D62" t="s">
        <v>152</v>
      </c>
      <c r="E62" s="15">
        <v>1000000</v>
      </c>
      <c r="F62" s="15">
        <v>0</v>
      </c>
      <c r="G62" s="15"/>
      <c r="H62" s="15">
        <v>1000000</v>
      </c>
      <c r="I62" t="s">
        <v>28</v>
      </c>
      <c r="J62" t="s">
        <v>19</v>
      </c>
      <c r="K62" s="219"/>
      <c r="L62" s="219"/>
    </row>
    <row r="63" spans="1:12" x14ac:dyDescent="0.25">
      <c r="A63" t="s">
        <v>516</v>
      </c>
      <c r="B63" t="s">
        <v>489</v>
      </c>
      <c r="C63" t="s">
        <v>20</v>
      </c>
      <c r="D63" t="s">
        <v>152</v>
      </c>
      <c r="E63" s="15">
        <v>200000</v>
      </c>
      <c r="F63" s="15">
        <v>0</v>
      </c>
      <c r="G63" s="15"/>
      <c r="H63" s="15">
        <v>200000</v>
      </c>
      <c r="I63" t="s">
        <v>28</v>
      </c>
      <c r="J63" t="s">
        <v>19</v>
      </c>
      <c r="K63" s="219"/>
      <c r="L63" s="219"/>
    </row>
    <row r="64" spans="1:12" x14ac:dyDescent="0.25">
      <c r="A64" t="s">
        <v>208</v>
      </c>
      <c r="B64" t="s">
        <v>204</v>
      </c>
      <c r="C64" t="s">
        <v>20</v>
      </c>
      <c r="D64" t="s">
        <v>27</v>
      </c>
      <c r="E64" s="15">
        <v>550000.15</v>
      </c>
      <c r="F64" s="15">
        <v>482497.13</v>
      </c>
      <c r="G64" s="15"/>
      <c r="H64" s="15">
        <v>67503.02</v>
      </c>
      <c r="I64" t="s">
        <v>28</v>
      </c>
      <c r="J64" t="s">
        <v>19</v>
      </c>
      <c r="K64" s="219"/>
      <c r="L64" s="219"/>
    </row>
    <row r="65" spans="1:12" x14ac:dyDescent="0.25">
      <c r="A65" t="s">
        <v>237</v>
      </c>
      <c r="B65" t="s">
        <v>227</v>
      </c>
      <c r="C65" t="s">
        <v>24</v>
      </c>
      <c r="D65" t="s">
        <v>106</v>
      </c>
      <c r="E65" s="15">
        <v>5308039.3600000003</v>
      </c>
      <c r="F65" s="15">
        <v>5072714.3</v>
      </c>
      <c r="G65" s="15"/>
      <c r="H65" s="15">
        <v>235325.06</v>
      </c>
      <c r="I65" t="s">
        <v>18</v>
      </c>
      <c r="J65" t="s">
        <v>19</v>
      </c>
      <c r="K65" s="219"/>
      <c r="L65" s="219"/>
    </row>
    <row r="66" spans="1:12" x14ac:dyDescent="0.25">
      <c r="A66" t="s">
        <v>517</v>
      </c>
      <c r="B66" t="s">
        <v>486</v>
      </c>
      <c r="C66" t="s">
        <v>20</v>
      </c>
      <c r="D66" t="s">
        <v>152</v>
      </c>
      <c r="E66" s="15">
        <v>300000.01</v>
      </c>
      <c r="F66" s="15">
        <v>0</v>
      </c>
      <c r="G66" s="15"/>
      <c r="H66" s="15">
        <v>300000.01</v>
      </c>
      <c r="I66" t="s">
        <v>28</v>
      </c>
      <c r="J66" t="s">
        <v>19</v>
      </c>
      <c r="K66" s="219"/>
      <c r="L66" s="219"/>
    </row>
    <row r="67" spans="1:12" x14ac:dyDescent="0.25">
      <c r="A67" t="s">
        <v>180</v>
      </c>
      <c r="B67" t="s">
        <v>175</v>
      </c>
      <c r="C67" t="s">
        <v>20</v>
      </c>
      <c r="D67" t="s">
        <v>17</v>
      </c>
      <c r="E67" s="15">
        <v>381276.62</v>
      </c>
      <c r="F67" s="15">
        <v>140641.01</v>
      </c>
      <c r="G67" s="15"/>
      <c r="H67" s="15">
        <v>240635.61</v>
      </c>
      <c r="I67" t="s">
        <v>18</v>
      </c>
      <c r="J67" t="s">
        <v>19</v>
      </c>
      <c r="K67" s="219"/>
      <c r="L67" s="219"/>
    </row>
    <row r="68" spans="1:12" x14ac:dyDescent="0.25">
      <c r="A68" t="s">
        <v>293</v>
      </c>
      <c r="B68" t="s">
        <v>279</v>
      </c>
      <c r="C68" t="s">
        <v>24</v>
      </c>
      <c r="D68" t="s">
        <v>75</v>
      </c>
      <c r="E68" s="15">
        <v>5802900</v>
      </c>
      <c r="F68" s="15">
        <v>495832.85</v>
      </c>
      <c r="G68" s="15">
        <v>112200.9</v>
      </c>
      <c r="H68" s="15">
        <v>5194866.25</v>
      </c>
      <c r="I68" t="s">
        <v>69</v>
      </c>
      <c r="J68" t="s">
        <v>19</v>
      </c>
      <c r="K68" s="219">
        <v>46215</v>
      </c>
      <c r="L68" s="219">
        <v>46221</v>
      </c>
    </row>
    <row r="69" spans="1:12" x14ac:dyDescent="0.25">
      <c r="A69" t="s">
        <v>480</v>
      </c>
      <c r="B69" t="s">
        <v>279</v>
      </c>
      <c r="C69" t="s">
        <v>24</v>
      </c>
      <c r="D69" t="s">
        <v>105</v>
      </c>
      <c r="E69" s="15">
        <v>2000000</v>
      </c>
      <c r="F69" s="15">
        <v>0</v>
      </c>
      <c r="G69" s="15"/>
      <c r="H69" s="15">
        <v>2000000</v>
      </c>
      <c r="I69" t="s">
        <v>18</v>
      </c>
      <c r="J69" t="s">
        <v>19</v>
      </c>
      <c r="K69" s="219"/>
      <c r="L69" s="219"/>
    </row>
    <row r="70" spans="1:12" x14ac:dyDescent="0.25">
      <c r="A70" t="s">
        <v>564</v>
      </c>
      <c r="B70" t="s">
        <v>557</v>
      </c>
      <c r="C70" t="s">
        <v>219</v>
      </c>
      <c r="D70" t="s">
        <v>151</v>
      </c>
      <c r="E70" s="15">
        <v>11188186.699999999</v>
      </c>
      <c r="F70" s="15">
        <v>0</v>
      </c>
      <c r="G70" s="15"/>
      <c r="H70" s="15">
        <v>11188186.699999999</v>
      </c>
      <c r="I70" t="s">
        <v>22</v>
      </c>
      <c r="J70" t="s">
        <v>19</v>
      </c>
      <c r="K70" s="219"/>
      <c r="L70" s="219"/>
    </row>
    <row r="71" spans="1:12" x14ac:dyDescent="0.25">
      <c r="A71" t="s">
        <v>407</v>
      </c>
      <c r="B71" t="s">
        <v>386</v>
      </c>
      <c r="C71" t="s">
        <v>20</v>
      </c>
      <c r="D71" t="s">
        <v>152</v>
      </c>
      <c r="E71" s="15">
        <v>500000</v>
      </c>
      <c r="F71" s="15">
        <v>0</v>
      </c>
      <c r="G71" s="15"/>
      <c r="H71" s="15">
        <v>500000</v>
      </c>
      <c r="I71" t="s">
        <v>28</v>
      </c>
      <c r="J71" t="s">
        <v>19</v>
      </c>
      <c r="K71" s="219"/>
      <c r="L71" s="219"/>
    </row>
    <row r="72" spans="1:12" x14ac:dyDescent="0.25">
      <c r="A72" t="s">
        <v>518</v>
      </c>
      <c r="B72" t="s">
        <v>386</v>
      </c>
      <c r="C72" t="s">
        <v>20</v>
      </c>
      <c r="D72" t="s">
        <v>152</v>
      </c>
      <c r="E72" s="15">
        <v>400000</v>
      </c>
      <c r="F72" s="15">
        <v>0</v>
      </c>
      <c r="G72" s="15"/>
      <c r="H72" s="15">
        <v>400000</v>
      </c>
      <c r="I72" t="s">
        <v>28</v>
      </c>
      <c r="J72" t="s">
        <v>19</v>
      </c>
      <c r="K72" s="219"/>
      <c r="L72" s="219"/>
    </row>
    <row r="73" spans="1:12" x14ac:dyDescent="0.25">
      <c r="A73" t="s">
        <v>353</v>
      </c>
      <c r="B73" t="s">
        <v>350</v>
      </c>
      <c r="C73" t="s">
        <v>24</v>
      </c>
      <c r="D73" t="s">
        <v>106</v>
      </c>
      <c r="E73" s="15">
        <v>2140124.1600000001</v>
      </c>
      <c r="F73" s="15">
        <v>1696396.49</v>
      </c>
      <c r="G73" s="15"/>
      <c r="H73" s="15">
        <v>443727.67</v>
      </c>
      <c r="I73" t="s">
        <v>22</v>
      </c>
      <c r="J73" t="s">
        <v>19</v>
      </c>
      <c r="K73" s="219"/>
      <c r="L73" s="219"/>
    </row>
    <row r="74" spans="1:12" x14ac:dyDescent="0.25">
      <c r="A74" t="s">
        <v>268</v>
      </c>
      <c r="B74" t="s">
        <v>263</v>
      </c>
      <c r="C74" t="s">
        <v>358</v>
      </c>
      <c r="D74" t="s">
        <v>117</v>
      </c>
      <c r="E74" s="15">
        <v>3003197.5670400006</v>
      </c>
      <c r="F74" s="15">
        <v>992843.09680000006</v>
      </c>
      <c r="G74" s="15"/>
      <c r="H74" s="15">
        <v>2010354.47</v>
      </c>
      <c r="I74" t="s">
        <v>25</v>
      </c>
      <c r="J74" t="s">
        <v>19</v>
      </c>
      <c r="K74" s="219"/>
      <c r="L74" s="219"/>
    </row>
    <row r="75" spans="1:12" x14ac:dyDescent="0.25">
      <c r="A75" t="s">
        <v>265</v>
      </c>
      <c r="B75" t="s">
        <v>263</v>
      </c>
      <c r="C75" t="s">
        <v>358</v>
      </c>
      <c r="D75" t="s">
        <v>117</v>
      </c>
      <c r="E75" s="15">
        <v>1615774.2562500001</v>
      </c>
      <c r="F75" s="15">
        <v>386882.11667999998</v>
      </c>
      <c r="G75" s="15"/>
      <c r="H75" s="15">
        <v>1228892.1399999999</v>
      </c>
      <c r="I75" t="s">
        <v>25</v>
      </c>
      <c r="J75" t="s">
        <v>19</v>
      </c>
      <c r="K75" s="219"/>
      <c r="L75" s="219"/>
    </row>
    <row r="76" spans="1:12" x14ac:dyDescent="0.25">
      <c r="A76" t="s">
        <v>408</v>
      </c>
      <c r="B76" t="s">
        <v>329</v>
      </c>
      <c r="C76" t="s">
        <v>20</v>
      </c>
      <c r="D76" t="s">
        <v>152</v>
      </c>
      <c r="E76" s="15">
        <v>150000</v>
      </c>
      <c r="F76" s="15">
        <v>0</v>
      </c>
      <c r="G76" s="15">
        <v>150000</v>
      </c>
      <c r="H76" s="15">
        <v>0</v>
      </c>
      <c r="I76" t="s">
        <v>28</v>
      </c>
      <c r="J76" t="s">
        <v>19</v>
      </c>
      <c r="K76" s="219">
        <v>46215</v>
      </c>
      <c r="L76" s="219">
        <v>46221</v>
      </c>
    </row>
    <row r="77" spans="1:12" x14ac:dyDescent="0.25">
      <c r="A77" t="s">
        <v>519</v>
      </c>
      <c r="B77" t="s">
        <v>487</v>
      </c>
      <c r="C77" t="s">
        <v>20</v>
      </c>
      <c r="D77" t="s">
        <v>152</v>
      </c>
      <c r="E77" s="15">
        <v>300000</v>
      </c>
      <c r="F77" s="15">
        <v>0</v>
      </c>
      <c r="G77" s="15"/>
      <c r="H77" s="15">
        <v>300000</v>
      </c>
      <c r="I77" t="s">
        <v>28</v>
      </c>
      <c r="J77" t="s">
        <v>19</v>
      </c>
      <c r="K77" s="219"/>
      <c r="L77" s="219"/>
    </row>
    <row r="78" spans="1:12" x14ac:dyDescent="0.25">
      <c r="A78" t="s">
        <v>376</v>
      </c>
      <c r="B78" t="s">
        <v>374</v>
      </c>
      <c r="C78" t="s">
        <v>24</v>
      </c>
      <c r="D78" t="s">
        <v>27</v>
      </c>
      <c r="E78" s="15">
        <v>10000000</v>
      </c>
      <c r="F78" s="15">
        <v>0</v>
      </c>
      <c r="G78" s="15">
        <v>10000000</v>
      </c>
      <c r="H78" s="15">
        <v>0</v>
      </c>
      <c r="I78" t="s">
        <v>28</v>
      </c>
      <c r="J78" t="s">
        <v>19</v>
      </c>
      <c r="K78" s="219">
        <v>46236</v>
      </c>
      <c r="L78" s="219">
        <v>46242</v>
      </c>
    </row>
    <row r="79" spans="1:12" x14ac:dyDescent="0.25">
      <c r="A79" t="s">
        <v>420</v>
      </c>
      <c r="B79" t="s">
        <v>374</v>
      </c>
      <c r="C79" t="s">
        <v>24</v>
      </c>
      <c r="D79" t="s">
        <v>27</v>
      </c>
      <c r="E79" s="15">
        <v>21481033</v>
      </c>
      <c r="F79" s="15">
        <v>0</v>
      </c>
      <c r="G79" s="15">
        <v>21481033</v>
      </c>
      <c r="H79" s="15">
        <v>0</v>
      </c>
      <c r="I79" t="s">
        <v>18</v>
      </c>
      <c r="J79" t="s">
        <v>19</v>
      </c>
      <c r="K79" s="219">
        <v>46236</v>
      </c>
      <c r="L79" s="219">
        <v>46242</v>
      </c>
    </row>
    <row r="80" spans="1:12" x14ac:dyDescent="0.25">
      <c r="A80" t="s">
        <v>434</v>
      </c>
      <c r="B80" t="s">
        <v>428</v>
      </c>
      <c r="C80" t="s">
        <v>183</v>
      </c>
      <c r="D80" t="s">
        <v>105</v>
      </c>
      <c r="E80" s="15">
        <v>15724333.939999999</v>
      </c>
      <c r="F80" s="15">
        <v>0</v>
      </c>
      <c r="G80" s="15">
        <v>4000000</v>
      </c>
      <c r="H80" s="15">
        <v>0</v>
      </c>
      <c r="I80" t="s">
        <v>18</v>
      </c>
      <c r="J80" t="s">
        <v>19</v>
      </c>
      <c r="K80" s="219">
        <v>46222</v>
      </c>
      <c r="L80" s="219">
        <v>46228</v>
      </c>
    </row>
    <row r="81" spans="1:12" x14ac:dyDescent="0.25">
      <c r="A81" t="s">
        <v>434</v>
      </c>
      <c r="B81" t="s">
        <v>428</v>
      </c>
      <c r="C81" t="s">
        <v>183</v>
      </c>
      <c r="D81" t="s">
        <v>105</v>
      </c>
      <c r="E81" s="15">
        <v>15724333.939999999</v>
      </c>
      <c r="F81" s="15">
        <v>0</v>
      </c>
      <c r="G81" s="15">
        <v>4724333.9400000004</v>
      </c>
      <c r="H81" s="15">
        <v>0</v>
      </c>
      <c r="I81" t="s">
        <v>18</v>
      </c>
      <c r="J81" t="s">
        <v>19</v>
      </c>
      <c r="K81" s="219">
        <v>46215</v>
      </c>
      <c r="L81" s="219">
        <v>46221</v>
      </c>
    </row>
    <row r="82" spans="1:12" x14ac:dyDescent="0.25">
      <c r="A82" t="s">
        <v>434</v>
      </c>
      <c r="B82" t="s">
        <v>428</v>
      </c>
      <c r="C82" t="s">
        <v>183</v>
      </c>
      <c r="D82" t="s">
        <v>105</v>
      </c>
      <c r="E82" s="15">
        <v>15724333.939999999</v>
      </c>
      <c r="F82" s="15">
        <v>0</v>
      </c>
      <c r="G82" s="15">
        <v>7000000</v>
      </c>
      <c r="H82" s="15">
        <v>0</v>
      </c>
      <c r="I82" t="s">
        <v>18</v>
      </c>
      <c r="J82" t="s">
        <v>19</v>
      </c>
      <c r="K82" s="219">
        <v>46215</v>
      </c>
      <c r="L82" s="219">
        <v>46221</v>
      </c>
    </row>
    <row r="83" spans="1:12" x14ac:dyDescent="0.25">
      <c r="A83" t="s">
        <v>327</v>
      </c>
      <c r="B83" t="s">
        <v>306</v>
      </c>
      <c r="C83" t="s">
        <v>20</v>
      </c>
      <c r="D83" t="s">
        <v>152</v>
      </c>
      <c r="E83" s="15">
        <v>397090</v>
      </c>
      <c r="F83" s="15">
        <v>0</v>
      </c>
      <c r="G83" s="15">
        <v>397090</v>
      </c>
      <c r="H83" s="15">
        <v>0</v>
      </c>
      <c r="I83" t="s">
        <v>28</v>
      </c>
      <c r="J83" t="s">
        <v>19</v>
      </c>
      <c r="K83" s="219">
        <v>46208</v>
      </c>
      <c r="L83" s="219">
        <v>46214</v>
      </c>
    </row>
    <row r="84" spans="1:12" x14ac:dyDescent="0.25">
      <c r="A84" t="s">
        <v>308</v>
      </c>
      <c r="B84" t="s">
        <v>304</v>
      </c>
      <c r="C84" t="s">
        <v>20</v>
      </c>
      <c r="D84" t="s">
        <v>75</v>
      </c>
      <c r="E84" s="15">
        <v>739450</v>
      </c>
      <c r="F84" s="15">
        <v>0</v>
      </c>
      <c r="G84" s="15"/>
      <c r="H84" s="15">
        <v>739450</v>
      </c>
      <c r="I84" t="s">
        <v>69</v>
      </c>
      <c r="J84" t="s">
        <v>19</v>
      </c>
      <c r="K84" s="219"/>
      <c r="L84" s="219"/>
    </row>
    <row r="85" spans="1:12" x14ac:dyDescent="0.25">
      <c r="A85" t="s">
        <v>469</v>
      </c>
      <c r="B85" t="s">
        <v>463</v>
      </c>
      <c r="C85" t="s">
        <v>24</v>
      </c>
      <c r="D85" t="s">
        <v>31</v>
      </c>
      <c r="E85" s="15">
        <v>1325316</v>
      </c>
      <c r="F85" s="15">
        <v>0</v>
      </c>
      <c r="G85" s="15"/>
      <c r="H85" s="15">
        <v>1325316</v>
      </c>
      <c r="I85" t="s">
        <v>28</v>
      </c>
      <c r="J85" t="s">
        <v>19</v>
      </c>
      <c r="K85" s="219"/>
      <c r="L85" s="219"/>
    </row>
    <row r="86" spans="1:12" x14ac:dyDescent="0.25">
      <c r="A86" t="s">
        <v>294</v>
      </c>
      <c r="B86" t="s">
        <v>283</v>
      </c>
      <c r="C86" t="s">
        <v>20</v>
      </c>
      <c r="D86" t="s">
        <v>117</v>
      </c>
      <c r="E86" s="15">
        <v>500000</v>
      </c>
      <c r="F86" s="15">
        <v>0</v>
      </c>
      <c r="G86" s="15">
        <v>500000</v>
      </c>
      <c r="H86" s="15">
        <v>0</v>
      </c>
      <c r="I86" t="s">
        <v>25</v>
      </c>
      <c r="J86" t="s">
        <v>19</v>
      </c>
      <c r="K86" s="219">
        <v>46215</v>
      </c>
      <c r="L86" s="219">
        <v>46221</v>
      </c>
    </row>
    <row r="87" spans="1:12" x14ac:dyDescent="0.25">
      <c r="A87" t="s">
        <v>202</v>
      </c>
      <c r="B87" t="s">
        <v>199</v>
      </c>
      <c r="C87" t="s">
        <v>20</v>
      </c>
      <c r="D87" t="s">
        <v>27</v>
      </c>
      <c r="E87" s="15">
        <v>1400000</v>
      </c>
      <c r="F87" s="15">
        <v>1385426.0200000003</v>
      </c>
      <c r="G87" s="15"/>
      <c r="H87" s="15">
        <v>14573.98</v>
      </c>
      <c r="I87" t="s">
        <v>28</v>
      </c>
      <c r="J87" t="s">
        <v>19</v>
      </c>
      <c r="K87" s="219"/>
      <c r="L87" s="219"/>
    </row>
    <row r="88" spans="1:12" x14ac:dyDescent="0.25">
      <c r="A88" t="s">
        <v>520</v>
      </c>
      <c r="B88" t="s">
        <v>500</v>
      </c>
      <c r="C88" t="s">
        <v>20</v>
      </c>
      <c r="D88" t="s">
        <v>152</v>
      </c>
      <c r="E88" s="15">
        <v>500000</v>
      </c>
      <c r="F88" s="15">
        <v>0</v>
      </c>
      <c r="G88" s="15"/>
      <c r="H88" s="15">
        <v>500000</v>
      </c>
      <c r="I88" t="s">
        <v>28</v>
      </c>
      <c r="J88" t="s">
        <v>19</v>
      </c>
      <c r="K88" s="219"/>
      <c r="L88" s="219"/>
    </row>
    <row r="89" spans="1:12" x14ac:dyDescent="0.25">
      <c r="A89" t="s">
        <v>409</v>
      </c>
      <c r="B89" t="s">
        <v>390</v>
      </c>
      <c r="C89" t="s">
        <v>20</v>
      </c>
      <c r="D89" t="s">
        <v>152</v>
      </c>
      <c r="E89" s="15">
        <v>1000000</v>
      </c>
      <c r="F89" s="15">
        <v>0</v>
      </c>
      <c r="G89" s="15"/>
      <c r="H89" s="15">
        <v>1000000</v>
      </c>
      <c r="I89" t="s">
        <v>28</v>
      </c>
      <c r="J89" t="s">
        <v>19</v>
      </c>
      <c r="K89" s="219"/>
      <c r="L89" s="219"/>
    </row>
    <row r="90" spans="1:12" x14ac:dyDescent="0.25">
      <c r="A90" t="s">
        <v>410</v>
      </c>
      <c r="B90" t="s">
        <v>387</v>
      </c>
      <c r="C90" t="s">
        <v>20</v>
      </c>
      <c r="D90" t="s">
        <v>152</v>
      </c>
      <c r="E90" s="15">
        <v>300000.73</v>
      </c>
      <c r="F90" s="15">
        <v>0</v>
      </c>
      <c r="G90" s="15">
        <v>299758.8</v>
      </c>
      <c r="H90" s="15">
        <v>241.93</v>
      </c>
      <c r="I90" t="s">
        <v>28</v>
      </c>
      <c r="J90" t="s">
        <v>19</v>
      </c>
      <c r="K90" s="219">
        <v>46264</v>
      </c>
      <c r="L90" s="219">
        <v>46270</v>
      </c>
    </row>
    <row r="91" spans="1:12" x14ac:dyDescent="0.25">
      <c r="A91" t="s">
        <v>521</v>
      </c>
      <c r="B91" t="s">
        <v>496</v>
      </c>
      <c r="C91" t="s">
        <v>20</v>
      </c>
      <c r="D91" t="s">
        <v>152</v>
      </c>
      <c r="E91" s="15">
        <v>250000</v>
      </c>
      <c r="F91" s="15">
        <v>0</v>
      </c>
      <c r="G91" s="15"/>
      <c r="H91" s="15">
        <v>250000</v>
      </c>
      <c r="I91" t="s">
        <v>28</v>
      </c>
      <c r="J91" t="s">
        <v>19</v>
      </c>
      <c r="K91" s="219"/>
      <c r="L91" s="219"/>
    </row>
    <row r="92" spans="1:12" x14ac:dyDescent="0.25">
      <c r="A92" t="s">
        <v>334</v>
      </c>
      <c r="B92" t="s">
        <v>330</v>
      </c>
      <c r="C92" t="s">
        <v>20</v>
      </c>
      <c r="D92" t="s">
        <v>117</v>
      </c>
      <c r="E92" s="15">
        <v>1000000</v>
      </c>
      <c r="F92" s="15">
        <v>0</v>
      </c>
      <c r="G92" s="15">
        <v>1000000</v>
      </c>
      <c r="H92" s="15">
        <v>0</v>
      </c>
      <c r="I92" t="s">
        <v>25</v>
      </c>
      <c r="J92" t="s">
        <v>19</v>
      </c>
      <c r="K92" s="219">
        <v>46215</v>
      </c>
      <c r="L92" s="219">
        <v>46221</v>
      </c>
    </row>
    <row r="93" spans="1:12" x14ac:dyDescent="0.25">
      <c r="A93" t="s">
        <v>354</v>
      </c>
      <c r="B93" t="s">
        <v>348</v>
      </c>
      <c r="C93" t="s">
        <v>219</v>
      </c>
      <c r="D93" t="s">
        <v>151</v>
      </c>
      <c r="E93" s="15">
        <v>400000</v>
      </c>
      <c r="F93" s="15">
        <v>0</v>
      </c>
      <c r="G93" s="15"/>
      <c r="H93" s="15">
        <v>400000</v>
      </c>
      <c r="I93" t="s">
        <v>22</v>
      </c>
      <c r="J93" t="s">
        <v>19</v>
      </c>
      <c r="K93" s="219"/>
      <c r="L93" s="219"/>
    </row>
    <row r="94" spans="1:12" x14ac:dyDescent="0.25">
      <c r="A94" t="s">
        <v>277</v>
      </c>
      <c r="B94" t="s">
        <v>108</v>
      </c>
      <c r="C94" t="s">
        <v>183</v>
      </c>
      <c r="D94" t="s">
        <v>17</v>
      </c>
      <c r="E94" s="15">
        <v>7118602.9487999994</v>
      </c>
      <c r="F94" s="15">
        <v>363328.54672888498</v>
      </c>
      <c r="G94" s="15"/>
      <c r="H94" s="15">
        <v>6755274.4000000004</v>
      </c>
      <c r="I94" t="s">
        <v>18</v>
      </c>
      <c r="J94" t="s">
        <v>19</v>
      </c>
      <c r="K94" s="219"/>
      <c r="L94" s="219"/>
    </row>
    <row r="95" spans="1:12" x14ac:dyDescent="0.25">
      <c r="A95" t="s">
        <v>269</v>
      </c>
      <c r="B95" t="s">
        <v>108</v>
      </c>
      <c r="C95" t="s">
        <v>183</v>
      </c>
      <c r="D95" t="s">
        <v>17</v>
      </c>
      <c r="E95" s="15">
        <v>337933.93759999995</v>
      </c>
      <c r="F95" s="15">
        <v>0</v>
      </c>
      <c r="G95" s="15"/>
      <c r="H95" s="15">
        <v>337933.94</v>
      </c>
      <c r="I95" t="s">
        <v>18</v>
      </c>
      <c r="J95" t="s">
        <v>19</v>
      </c>
      <c r="K95" s="219"/>
      <c r="L95" s="219"/>
    </row>
    <row r="96" spans="1:12" x14ac:dyDescent="0.25">
      <c r="A96" t="s">
        <v>522</v>
      </c>
      <c r="B96" t="s">
        <v>488</v>
      </c>
      <c r="C96" t="s">
        <v>20</v>
      </c>
      <c r="D96" t="s">
        <v>152</v>
      </c>
      <c r="E96" s="15">
        <v>300000</v>
      </c>
      <c r="F96" s="15">
        <v>0</v>
      </c>
      <c r="G96" s="15"/>
      <c r="H96" s="15">
        <v>300000</v>
      </c>
      <c r="I96" t="s">
        <v>28</v>
      </c>
      <c r="J96" t="s">
        <v>19</v>
      </c>
      <c r="K96" s="219"/>
      <c r="L96" s="219"/>
    </row>
    <row r="97" spans="1:12" x14ac:dyDescent="0.25">
      <c r="A97" t="s">
        <v>467</v>
      </c>
      <c r="B97" t="s">
        <v>460</v>
      </c>
      <c r="C97" t="s">
        <v>24</v>
      </c>
      <c r="D97" t="s">
        <v>151</v>
      </c>
      <c r="E97" s="15">
        <v>2896770</v>
      </c>
      <c r="F97" s="15">
        <v>0</v>
      </c>
      <c r="G97" s="15">
        <v>386858.95</v>
      </c>
      <c r="H97" s="15">
        <v>2509911.0499999998</v>
      </c>
      <c r="I97" t="s">
        <v>22</v>
      </c>
      <c r="J97" t="s">
        <v>19</v>
      </c>
      <c r="K97" s="219">
        <v>46250</v>
      </c>
      <c r="L97" s="219">
        <v>46256</v>
      </c>
    </row>
    <row r="98" spans="1:12" x14ac:dyDescent="0.25">
      <c r="A98" t="s">
        <v>523</v>
      </c>
      <c r="B98" t="s">
        <v>501</v>
      </c>
      <c r="C98" t="s">
        <v>20</v>
      </c>
      <c r="D98" t="s">
        <v>152</v>
      </c>
      <c r="E98" s="15">
        <v>200000</v>
      </c>
      <c r="F98" s="15">
        <v>0</v>
      </c>
      <c r="G98" s="15"/>
      <c r="H98" s="15">
        <v>200000</v>
      </c>
      <c r="I98" t="s">
        <v>28</v>
      </c>
      <c r="J98" t="s">
        <v>19</v>
      </c>
      <c r="K98" s="219"/>
      <c r="L98" s="219"/>
    </row>
    <row r="99" spans="1:12" x14ac:dyDescent="0.25">
      <c r="A99" t="s">
        <v>539</v>
      </c>
      <c r="B99" t="s">
        <v>483</v>
      </c>
      <c r="C99" t="s">
        <v>219</v>
      </c>
      <c r="D99" t="s">
        <v>151</v>
      </c>
      <c r="E99" s="15">
        <v>5000000</v>
      </c>
      <c r="F99" s="15">
        <v>0</v>
      </c>
      <c r="G99" s="15"/>
      <c r="H99" s="15">
        <v>5000000</v>
      </c>
      <c r="I99" t="s">
        <v>22</v>
      </c>
      <c r="J99" t="s">
        <v>19</v>
      </c>
      <c r="K99" s="219"/>
      <c r="L99" s="219"/>
    </row>
    <row r="100" spans="1:12" x14ac:dyDescent="0.25">
      <c r="A100" t="s">
        <v>316</v>
      </c>
      <c r="B100" t="s">
        <v>301</v>
      </c>
      <c r="C100" t="s">
        <v>20</v>
      </c>
      <c r="D100" t="s">
        <v>152</v>
      </c>
      <c r="E100" s="15">
        <v>500000</v>
      </c>
      <c r="F100" s="15">
        <v>0</v>
      </c>
      <c r="G100" s="15">
        <v>500000</v>
      </c>
      <c r="H100" s="15">
        <v>0</v>
      </c>
      <c r="I100" t="s">
        <v>28</v>
      </c>
      <c r="J100" t="s">
        <v>19</v>
      </c>
      <c r="K100" s="219">
        <v>46264</v>
      </c>
      <c r="L100" s="219">
        <v>46270</v>
      </c>
    </row>
    <row r="101" spans="1:12" x14ac:dyDescent="0.25">
      <c r="A101" t="s">
        <v>411</v>
      </c>
      <c r="B101" t="s">
        <v>301</v>
      </c>
      <c r="C101" t="s">
        <v>20</v>
      </c>
      <c r="D101" t="s">
        <v>152</v>
      </c>
      <c r="E101" s="15">
        <v>200000</v>
      </c>
      <c r="F101" s="15">
        <v>0</v>
      </c>
      <c r="G101" s="15">
        <v>200000</v>
      </c>
      <c r="H101" s="15">
        <v>0</v>
      </c>
      <c r="I101" t="s">
        <v>28</v>
      </c>
      <c r="J101" t="s">
        <v>19</v>
      </c>
      <c r="K101" s="219">
        <v>46243</v>
      </c>
      <c r="L101" s="219">
        <v>46249</v>
      </c>
    </row>
    <row r="102" spans="1:12" x14ac:dyDescent="0.25">
      <c r="A102" t="s">
        <v>524</v>
      </c>
      <c r="B102" t="s">
        <v>301</v>
      </c>
      <c r="C102" t="s">
        <v>20</v>
      </c>
      <c r="D102" t="s">
        <v>152</v>
      </c>
      <c r="E102" s="15">
        <v>300000</v>
      </c>
      <c r="F102" s="15">
        <v>0</v>
      </c>
      <c r="G102" s="15"/>
      <c r="H102" s="15">
        <v>300000</v>
      </c>
      <c r="I102" t="s">
        <v>28</v>
      </c>
      <c r="J102" t="s">
        <v>19</v>
      </c>
      <c r="K102" s="219"/>
      <c r="L102" s="219"/>
    </row>
    <row r="103" spans="1:12" x14ac:dyDescent="0.25">
      <c r="A103" t="s">
        <v>318</v>
      </c>
      <c r="B103" t="s">
        <v>300</v>
      </c>
      <c r="C103" t="s">
        <v>20</v>
      </c>
      <c r="D103" t="s">
        <v>152</v>
      </c>
      <c r="E103" s="15">
        <v>500000</v>
      </c>
      <c r="F103" s="15">
        <v>0</v>
      </c>
      <c r="G103" s="15"/>
      <c r="H103" s="15">
        <v>500000</v>
      </c>
      <c r="I103" t="s">
        <v>28</v>
      </c>
      <c r="J103" t="s">
        <v>19</v>
      </c>
      <c r="K103" s="219"/>
      <c r="L103" s="219"/>
    </row>
    <row r="104" spans="1:12" x14ac:dyDescent="0.25">
      <c r="A104" t="s">
        <v>278</v>
      </c>
      <c r="B104" t="s">
        <v>191</v>
      </c>
      <c r="C104" t="s">
        <v>20</v>
      </c>
      <c r="D104" t="s">
        <v>152</v>
      </c>
      <c r="E104" s="15">
        <v>8790001.0999999996</v>
      </c>
      <c r="F104" s="15">
        <v>650518.46</v>
      </c>
      <c r="G104" s="15"/>
      <c r="H104" s="15">
        <v>8139482.6399999997</v>
      </c>
      <c r="I104" t="s">
        <v>28</v>
      </c>
      <c r="J104" t="s">
        <v>19</v>
      </c>
      <c r="K104" s="219"/>
      <c r="L104" s="219"/>
    </row>
    <row r="105" spans="1:12" x14ac:dyDescent="0.25">
      <c r="A105" t="s">
        <v>245</v>
      </c>
      <c r="B105" t="s">
        <v>206</v>
      </c>
      <c r="C105" t="s">
        <v>24</v>
      </c>
      <c r="D105" t="s">
        <v>117</v>
      </c>
      <c r="E105" s="15">
        <v>25907203.759999998</v>
      </c>
      <c r="F105" s="15">
        <v>16605181.220000001</v>
      </c>
      <c r="G105" s="15">
        <v>467861.1</v>
      </c>
      <c r="H105" s="15">
        <v>8549405.8599999994</v>
      </c>
      <c r="I105" t="s">
        <v>25</v>
      </c>
      <c r="J105" t="s">
        <v>19</v>
      </c>
      <c r="K105" s="219">
        <v>46208</v>
      </c>
      <c r="L105" s="219">
        <v>46214</v>
      </c>
    </row>
    <row r="106" spans="1:12" x14ac:dyDescent="0.25">
      <c r="A106" t="s">
        <v>245</v>
      </c>
      <c r="B106" t="s">
        <v>206</v>
      </c>
      <c r="C106" t="s">
        <v>24</v>
      </c>
      <c r="D106" t="s">
        <v>117</v>
      </c>
      <c r="E106" s="15">
        <v>25907203.759999998</v>
      </c>
      <c r="F106" s="15">
        <v>16605181.220000001</v>
      </c>
      <c r="G106" s="15">
        <v>284755.58</v>
      </c>
      <c r="H106" s="15">
        <v>8549405.8599999994</v>
      </c>
      <c r="I106" t="s">
        <v>25</v>
      </c>
      <c r="J106" t="s">
        <v>19</v>
      </c>
      <c r="K106" s="219">
        <v>46201</v>
      </c>
      <c r="L106" s="219">
        <v>46207</v>
      </c>
    </row>
    <row r="107" spans="1:12" x14ac:dyDescent="0.25">
      <c r="A107" t="s">
        <v>257</v>
      </c>
      <c r="B107" t="s">
        <v>206</v>
      </c>
      <c r="C107" t="s">
        <v>24</v>
      </c>
      <c r="D107" t="s">
        <v>117</v>
      </c>
      <c r="E107" s="15">
        <v>4092796.2399999998</v>
      </c>
      <c r="F107" s="15">
        <v>4079312.29</v>
      </c>
      <c r="G107" s="15"/>
      <c r="H107" s="15">
        <v>13483.95</v>
      </c>
      <c r="I107" t="s">
        <v>25</v>
      </c>
      <c r="J107" t="s">
        <v>32</v>
      </c>
      <c r="K107" s="219"/>
      <c r="L107" s="219"/>
    </row>
    <row r="108" spans="1:12" x14ac:dyDescent="0.25">
      <c r="A108" t="s">
        <v>379</v>
      </c>
      <c r="B108" t="s">
        <v>206</v>
      </c>
      <c r="C108" t="s">
        <v>24</v>
      </c>
      <c r="D108" t="s">
        <v>117</v>
      </c>
      <c r="E108" s="15">
        <v>17932603.559999999</v>
      </c>
      <c r="F108" s="15">
        <v>4576500</v>
      </c>
      <c r="G108" s="15">
        <v>735540</v>
      </c>
      <c r="H108" s="15">
        <v>12620563.560000001</v>
      </c>
      <c r="I108" t="s">
        <v>25</v>
      </c>
      <c r="J108" t="s">
        <v>19</v>
      </c>
      <c r="K108" s="219">
        <v>46208</v>
      </c>
      <c r="L108" s="219">
        <v>46214</v>
      </c>
    </row>
    <row r="109" spans="1:12" x14ac:dyDescent="0.25">
      <c r="A109" t="s">
        <v>193</v>
      </c>
      <c r="B109" t="s">
        <v>189</v>
      </c>
      <c r="C109" t="s">
        <v>24</v>
      </c>
      <c r="D109" t="s">
        <v>75</v>
      </c>
      <c r="E109" s="15">
        <v>12956001.199999999</v>
      </c>
      <c r="F109" s="15">
        <v>1509410.02</v>
      </c>
      <c r="G109" s="15"/>
      <c r="H109" s="15">
        <v>11446591.18</v>
      </c>
      <c r="I109" t="s">
        <v>69</v>
      </c>
      <c r="J109" t="s">
        <v>19</v>
      </c>
      <c r="K109" s="219"/>
      <c r="L109" s="219"/>
    </row>
    <row r="110" spans="1:12" x14ac:dyDescent="0.25">
      <c r="A110" t="s">
        <v>319</v>
      </c>
      <c r="B110" t="s">
        <v>299</v>
      </c>
      <c r="C110" t="s">
        <v>20</v>
      </c>
      <c r="D110" t="s">
        <v>152</v>
      </c>
      <c r="E110" s="15">
        <v>900000</v>
      </c>
      <c r="F110" s="15">
        <v>0</v>
      </c>
      <c r="G110" s="15">
        <v>900000</v>
      </c>
      <c r="H110" s="15">
        <v>0</v>
      </c>
      <c r="I110" t="s">
        <v>28</v>
      </c>
      <c r="J110" t="s">
        <v>19</v>
      </c>
      <c r="K110" s="219">
        <v>46236</v>
      </c>
      <c r="L110" s="219">
        <v>46242</v>
      </c>
    </row>
    <row r="111" spans="1:12" x14ac:dyDescent="0.25">
      <c r="A111" t="s">
        <v>364</v>
      </c>
      <c r="B111" t="s">
        <v>356</v>
      </c>
      <c r="C111" t="s">
        <v>20</v>
      </c>
      <c r="D111" t="s">
        <v>152</v>
      </c>
      <c r="E111" s="15">
        <v>398652.54</v>
      </c>
      <c r="F111" s="15">
        <v>0</v>
      </c>
      <c r="G111" s="15"/>
      <c r="H111" s="15">
        <v>398652.54</v>
      </c>
      <c r="I111" t="s">
        <v>28</v>
      </c>
      <c r="J111" t="s">
        <v>19</v>
      </c>
      <c r="K111" s="219"/>
      <c r="L111" s="219"/>
    </row>
    <row r="112" spans="1:12" x14ac:dyDescent="0.25">
      <c r="A112" t="s">
        <v>412</v>
      </c>
      <c r="B112" t="s">
        <v>262</v>
      </c>
      <c r="C112" t="s">
        <v>20</v>
      </c>
      <c r="D112" t="s">
        <v>152</v>
      </c>
      <c r="E112" s="15">
        <v>450000</v>
      </c>
      <c r="F112" s="15">
        <v>0</v>
      </c>
      <c r="G112" s="15">
        <v>312768.11</v>
      </c>
      <c r="H112" s="15">
        <v>137231.89000000001</v>
      </c>
      <c r="I112" t="s">
        <v>28</v>
      </c>
      <c r="J112" t="s">
        <v>19</v>
      </c>
      <c r="K112" s="219">
        <v>46222</v>
      </c>
      <c r="L112" s="219">
        <v>46228</v>
      </c>
    </row>
    <row r="113" spans="1:12" x14ac:dyDescent="0.25">
      <c r="A113" t="s">
        <v>259</v>
      </c>
      <c r="B113" t="s">
        <v>256</v>
      </c>
      <c r="C113" t="s">
        <v>20</v>
      </c>
      <c r="D113" t="s">
        <v>17</v>
      </c>
      <c r="E113" s="15">
        <v>565057.47</v>
      </c>
      <c r="F113" s="15">
        <v>332244.19</v>
      </c>
      <c r="G113" s="15"/>
      <c r="H113" s="15">
        <v>232813.28</v>
      </c>
      <c r="I113" t="s">
        <v>18</v>
      </c>
      <c r="J113" t="s">
        <v>19</v>
      </c>
      <c r="K113" s="219"/>
      <c r="L113" s="219"/>
    </row>
    <row r="114" spans="1:12" x14ac:dyDescent="0.25">
      <c r="A114" t="s">
        <v>196</v>
      </c>
      <c r="B114" t="s">
        <v>195</v>
      </c>
      <c r="C114" t="s">
        <v>24</v>
      </c>
      <c r="D114" t="s">
        <v>106</v>
      </c>
      <c r="E114" s="15">
        <v>2826301.05</v>
      </c>
      <c r="F114" s="15">
        <v>1261168.18</v>
      </c>
      <c r="G114" s="15"/>
      <c r="H114" s="15">
        <v>1565132.87</v>
      </c>
      <c r="I114" t="s">
        <v>22</v>
      </c>
      <c r="J114" t="s">
        <v>19</v>
      </c>
      <c r="K114" s="219"/>
      <c r="L114" s="219"/>
    </row>
    <row r="115" spans="1:12" x14ac:dyDescent="0.25">
      <c r="A115" t="s">
        <v>309</v>
      </c>
      <c r="B115" t="s">
        <v>303</v>
      </c>
      <c r="C115" t="s">
        <v>20</v>
      </c>
      <c r="D115" t="s">
        <v>75</v>
      </c>
      <c r="E115" s="15">
        <v>424699.6</v>
      </c>
      <c r="F115" s="15">
        <v>212349.8</v>
      </c>
      <c r="G115" s="15"/>
      <c r="H115" s="15">
        <v>212349.8</v>
      </c>
      <c r="I115" t="s">
        <v>69</v>
      </c>
      <c r="J115" t="s">
        <v>19</v>
      </c>
      <c r="K115" s="219"/>
      <c r="L115" s="219"/>
    </row>
    <row r="116" spans="1:12" x14ac:dyDescent="0.25">
      <c r="A116" t="s">
        <v>221</v>
      </c>
      <c r="B116" t="s">
        <v>214</v>
      </c>
      <c r="C116" t="s">
        <v>20</v>
      </c>
      <c r="D116" t="s">
        <v>75</v>
      </c>
      <c r="E116" s="15">
        <v>501144.18</v>
      </c>
      <c r="F116" s="15">
        <v>42591.07</v>
      </c>
      <c r="G116" s="15">
        <v>199393.9</v>
      </c>
      <c r="H116" s="15">
        <v>259159.21</v>
      </c>
      <c r="I116" t="s">
        <v>69</v>
      </c>
      <c r="J116" t="s">
        <v>19</v>
      </c>
      <c r="K116" s="219">
        <v>46208</v>
      </c>
      <c r="L116" s="219">
        <v>46214</v>
      </c>
    </row>
    <row r="117" spans="1:12" x14ac:dyDescent="0.25">
      <c r="A117" t="s">
        <v>424</v>
      </c>
      <c r="B117" t="s">
        <v>394</v>
      </c>
      <c r="C117" t="s">
        <v>20</v>
      </c>
      <c r="D117" t="s">
        <v>152</v>
      </c>
      <c r="E117" s="15">
        <v>175000</v>
      </c>
      <c r="F117" s="15">
        <v>0</v>
      </c>
      <c r="G117" s="15"/>
      <c r="H117" s="15">
        <v>175000</v>
      </c>
      <c r="I117" t="s">
        <v>28</v>
      </c>
      <c r="J117" t="s">
        <v>19</v>
      </c>
      <c r="K117" s="219"/>
      <c r="L117" s="219"/>
    </row>
    <row r="118" spans="1:12" x14ac:dyDescent="0.25">
      <c r="A118" t="s">
        <v>413</v>
      </c>
      <c r="B118" t="s">
        <v>385</v>
      </c>
      <c r="C118" t="s">
        <v>20</v>
      </c>
      <c r="D118" t="s">
        <v>152</v>
      </c>
      <c r="E118" s="15">
        <v>500000</v>
      </c>
      <c r="F118" s="15">
        <v>0</v>
      </c>
      <c r="G118" s="15">
        <v>500000</v>
      </c>
      <c r="H118" s="15">
        <v>0</v>
      </c>
      <c r="I118" t="s">
        <v>28</v>
      </c>
      <c r="J118" t="s">
        <v>19</v>
      </c>
      <c r="K118" s="219">
        <v>46215</v>
      </c>
      <c r="L118" s="219">
        <v>46221</v>
      </c>
    </row>
    <row r="119" spans="1:12" x14ac:dyDescent="0.25">
      <c r="A119" t="s">
        <v>525</v>
      </c>
      <c r="B119" t="s">
        <v>503</v>
      </c>
      <c r="C119" t="s">
        <v>20</v>
      </c>
      <c r="D119" t="s">
        <v>152</v>
      </c>
      <c r="E119" s="15">
        <v>500000</v>
      </c>
      <c r="F119" s="15">
        <v>0</v>
      </c>
      <c r="G119" s="15"/>
      <c r="H119" s="15">
        <v>500000</v>
      </c>
      <c r="I119" t="s">
        <v>28</v>
      </c>
      <c r="J119" t="s">
        <v>19</v>
      </c>
      <c r="K119" s="219"/>
      <c r="L119" s="219"/>
    </row>
    <row r="120" spans="1:12" x14ac:dyDescent="0.25">
      <c r="A120" t="s">
        <v>414</v>
      </c>
      <c r="B120" t="s">
        <v>284</v>
      </c>
      <c r="C120" t="s">
        <v>20</v>
      </c>
      <c r="D120" t="s">
        <v>152</v>
      </c>
      <c r="E120" s="15">
        <v>275000</v>
      </c>
      <c r="F120" s="15">
        <v>0</v>
      </c>
      <c r="G120" s="15"/>
      <c r="H120" s="15">
        <v>275000</v>
      </c>
      <c r="I120" t="s">
        <v>28</v>
      </c>
      <c r="J120" t="s">
        <v>19</v>
      </c>
      <c r="K120" s="219"/>
      <c r="L120" s="219"/>
    </row>
    <row r="121" spans="1:12" x14ac:dyDescent="0.25">
      <c r="A121" t="s">
        <v>526</v>
      </c>
      <c r="B121" t="s">
        <v>495</v>
      </c>
      <c r="C121" t="s">
        <v>20</v>
      </c>
      <c r="D121" t="s">
        <v>152</v>
      </c>
      <c r="E121" s="15">
        <v>500000</v>
      </c>
      <c r="F121" s="15">
        <v>0</v>
      </c>
      <c r="G121" s="15"/>
      <c r="H121" s="15">
        <v>500000</v>
      </c>
      <c r="I121" t="s">
        <v>28</v>
      </c>
      <c r="J121" t="s">
        <v>19</v>
      </c>
      <c r="K121" s="219"/>
      <c r="L121" s="219"/>
    </row>
    <row r="122" spans="1:12" x14ac:dyDescent="0.25">
      <c r="A122" t="s">
        <v>274</v>
      </c>
      <c r="B122" t="s">
        <v>270</v>
      </c>
      <c r="C122" t="s">
        <v>24</v>
      </c>
      <c r="D122" t="s">
        <v>105</v>
      </c>
      <c r="E122" s="15">
        <v>22200000.000000004</v>
      </c>
      <c r="F122" s="15">
        <v>20908277</v>
      </c>
      <c r="G122" s="15">
        <v>1198665</v>
      </c>
      <c r="H122" s="15">
        <v>93058</v>
      </c>
      <c r="I122" t="s">
        <v>18</v>
      </c>
      <c r="J122" t="s">
        <v>19</v>
      </c>
      <c r="K122" s="219">
        <v>46194</v>
      </c>
      <c r="L122" s="219">
        <v>46200</v>
      </c>
    </row>
    <row r="123" spans="1:12" x14ac:dyDescent="0.25">
      <c r="A123" t="s">
        <v>266</v>
      </c>
      <c r="B123" t="s">
        <v>224</v>
      </c>
      <c r="C123" t="s">
        <v>20</v>
      </c>
      <c r="D123" t="s">
        <v>152</v>
      </c>
      <c r="E123" s="15">
        <v>4000000</v>
      </c>
      <c r="F123" s="15">
        <v>0</v>
      </c>
      <c r="G123" s="15">
        <v>4000000</v>
      </c>
      <c r="H123" s="15">
        <v>0</v>
      </c>
      <c r="I123" t="s">
        <v>28</v>
      </c>
      <c r="J123" t="s">
        <v>19</v>
      </c>
      <c r="K123" s="219">
        <v>46264</v>
      </c>
      <c r="L123" s="219">
        <v>46270</v>
      </c>
    </row>
    <row r="124" spans="1:12" x14ac:dyDescent="0.25">
      <c r="A124" t="s">
        <v>415</v>
      </c>
      <c r="B124" t="s">
        <v>392</v>
      </c>
      <c r="C124" t="s">
        <v>20</v>
      </c>
      <c r="D124" t="s">
        <v>152</v>
      </c>
      <c r="E124" s="15">
        <v>900000</v>
      </c>
      <c r="F124" s="15">
        <v>0</v>
      </c>
      <c r="G124" s="15"/>
      <c r="H124" s="15">
        <v>900000</v>
      </c>
      <c r="I124" t="s">
        <v>28</v>
      </c>
      <c r="J124" t="s">
        <v>19</v>
      </c>
      <c r="K124" s="219"/>
      <c r="L124" s="219"/>
    </row>
    <row r="125" spans="1:12" x14ac:dyDescent="0.25">
      <c r="A125" t="s">
        <v>527</v>
      </c>
      <c r="B125" t="s">
        <v>498</v>
      </c>
      <c r="C125" t="s">
        <v>20</v>
      </c>
      <c r="D125" t="s">
        <v>152</v>
      </c>
      <c r="E125" s="15">
        <v>500000</v>
      </c>
      <c r="F125" s="15">
        <v>0</v>
      </c>
      <c r="G125" s="15"/>
      <c r="H125" s="15">
        <v>500000</v>
      </c>
      <c r="I125" t="s">
        <v>28</v>
      </c>
      <c r="J125" t="s">
        <v>19</v>
      </c>
      <c r="K125" s="219"/>
      <c r="L125" s="219"/>
    </row>
    <row r="126" spans="1:12" x14ac:dyDescent="0.25">
      <c r="A126" t="s">
        <v>528</v>
      </c>
      <c r="B126" t="s">
        <v>491</v>
      </c>
      <c r="C126" t="s">
        <v>20</v>
      </c>
      <c r="D126" t="s">
        <v>152</v>
      </c>
      <c r="E126" s="15">
        <v>190080.6</v>
      </c>
      <c r="F126" s="15">
        <v>0</v>
      </c>
      <c r="G126" s="15"/>
      <c r="H126" s="15">
        <v>190080.6</v>
      </c>
      <c r="I126" t="s">
        <v>28</v>
      </c>
      <c r="J126" t="s">
        <v>19</v>
      </c>
      <c r="K126" s="219"/>
      <c r="L126" s="219"/>
    </row>
    <row r="127" spans="1:12" x14ac:dyDescent="0.25">
      <c r="A127" t="s">
        <v>172</v>
      </c>
      <c r="B127" t="s">
        <v>169</v>
      </c>
      <c r="C127" t="s">
        <v>20</v>
      </c>
      <c r="D127" t="s">
        <v>152</v>
      </c>
      <c r="E127" s="15">
        <v>1000000</v>
      </c>
      <c r="F127" s="15">
        <v>732234.90999999992</v>
      </c>
      <c r="G127" s="15"/>
      <c r="H127" s="15">
        <v>267765.09000000003</v>
      </c>
      <c r="I127" t="s">
        <v>28</v>
      </c>
      <c r="J127" t="s">
        <v>19</v>
      </c>
      <c r="K127" s="219"/>
      <c r="L127" s="219"/>
    </row>
    <row r="128" spans="1:12" x14ac:dyDescent="0.25">
      <c r="A128" t="s">
        <v>529</v>
      </c>
      <c r="B128" t="s">
        <v>490</v>
      </c>
      <c r="C128" t="s">
        <v>20</v>
      </c>
      <c r="D128" t="s">
        <v>152</v>
      </c>
      <c r="E128" s="15">
        <v>200000</v>
      </c>
      <c r="F128" s="15">
        <v>0</v>
      </c>
      <c r="G128" s="15"/>
      <c r="H128" s="15">
        <v>200000</v>
      </c>
      <c r="I128" t="s">
        <v>28</v>
      </c>
      <c r="J128" t="s">
        <v>19</v>
      </c>
      <c r="K128" s="219"/>
      <c r="L128" s="219"/>
    </row>
    <row r="129" spans="1:12" x14ac:dyDescent="0.25">
      <c r="A129" t="s">
        <v>397</v>
      </c>
      <c r="B129" t="s">
        <v>361</v>
      </c>
      <c r="C129" t="s">
        <v>24</v>
      </c>
      <c r="D129" t="s">
        <v>267</v>
      </c>
      <c r="E129" s="15">
        <v>5000000</v>
      </c>
      <c r="F129" s="15">
        <v>2707269.5</v>
      </c>
      <c r="G129" s="15">
        <v>949900</v>
      </c>
      <c r="H129" s="15">
        <v>1342830.5</v>
      </c>
      <c r="I129" t="s">
        <v>68</v>
      </c>
      <c r="J129" t="s">
        <v>19</v>
      </c>
      <c r="K129" s="219">
        <v>46215</v>
      </c>
      <c r="L129" s="219">
        <v>46221</v>
      </c>
    </row>
    <row r="130" spans="1:12" x14ac:dyDescent="0.25">
      <c r="A130" t="s">
        <v>295</v>
      </c>
      <c r="B130" t="s">
        <v>200</v>
      </c>
      <c r="C130" t="s">
        <v>20</v>
      </c>
      <c r="D130" t="s">
        <v>117</v>
      </c>
      <c r="E130" s="15">
        <v>500000</v>
      </c>
      <c r="F130" s="15">
        <v>326709.94</v>
      </c>
      <c r="G130" s="15"/>
      <c r="H130" s="15">
        <v>173290.06</v>
      </c>
      <c r="I130" t="s">
        <v>25</v>
      </c>
      <c r="J130" t="s">
        <v>19</v>
      </c>
      <c r="K130" s="219"/>
      <c r="L130" s="219"/>
    </row>
    <row r="131" spans="1:12" x14ac:dyDescent="0.25">
      <c r="A131" t="s">
        <v>367</v>
      </c>
      <c r="B131" t="s">
        <v>351</v>
      </c>
      <c r="C131" t="s">
        <v>219</v>
      </c>
      <c r="D131" t="s">
        <v>151</v>
      </c>
      <c r="E131" s="15">
        <v>500000</v>
      </c>
      <c r="F131" s="15">
        <v>0</v>
      </c>
      <c r="G131" s="15">
        <v>500000</v>
      </c>
      <c r="H131" s="15">
        <v>0</v>
      </c>
      <c r="I131" t="s">
        <v>22</v>
      </c>
      <c r="J131" t="s">
        <v>19</v>
      </c>
      <c r="K131" s="219">
        <v>46215</v>
      </c>
      <c r="L131" s="219">
        <v>46221</v>
      </c>
    </row>
    <row r="132" spans="1:12" x14ac:dyDescent="0.25">
      <c r="A132" t="s">
        <v>548</v>
      </c>
      <c r="B132" t="s">
        <v>504</v>
      </c>
      <c r="C132" t="s">
        <v>24</v>
      </c>
      <c r="D132" t="s">
        <v>75</v>
      </c>
      <c r="E132" s="15">
        <v>5000000</v>
      </c>
      <c r="F132" s="15">
        <v>0</v>
      </c>
      <c r="G132" s="15"/>
      <c r="H132" s="15">
        <v>5000000</v>
      </c>
      <c r="I132" t="s">
        <v>69</v>
      </c>
      <c r="J132" t="s">
        <v>19</v>
      </c>
      <c r="K132" s="219"/>
      <c r="L132" s="219"/>
    </row>
    <row r="133" spans="1:12" x14ac:dyDescent="0.25">
      <c r="A133" t="s">
        <v>416</v>
      </c>
      <c r="B133" t="s">
        <v>388</v>
      </c>
      <c r="C133" t="s">
        <v>20</v>
      </c>
      <c r="D133" t="s">
        <v>152</v>
      </c>
      <c r="E133" s="15">
        <v>1000000</v>
      </c>
      <c r="F133" s="15">
        <v>0</v>
      </c>
      <c r="G133" s="15">
        <v>1000000</v>
      </c>
      <c r="H133" s="15">
        <v>0</v>
      </c>
      <c r="I133" t="s">
        <v>28</v>
      </c>
      <c r="J133" t="s">
        <v>19</v>
      </c>
      <c r="K133" s="219">
        <v>46222</v>
      </c>
      <c r="L133" s="219">
        <v>46228</v>
      </c>
    </row>
    <row r="134" spans="1:12" x14ac:dyDescent="0.25">
      <c r="A134" t="s">
        <v>417</v>
      </c>
      <c r="B134" t="s">
        <v>396</v>
      </c>
      <c r="C134" t="s">
        <v>219</v>
      </c>
      <c r="D134" t="s">
        <v>151</v>
      </c>
      <c r="E134" s="15">
        <v>650000</v>
      </c>
      <c r="F134" s="15">
        <v>0</v>
      </c>
      <c r="G134" s="15"/>
      <c r="H134" s="15">
        <v>650000</v>
      </c>
      <c r="I134" t="s">
        <v>22</v>
      </c>
      <c r="J134" t="s">
        <v>19</v>
      </c>
      <c r="K134" s="219"/>
      <c r="L134" s="219"/>
    </row>
    <row r="135" spans="1:12" x14ac:dyDescent="0.25">
      <c r="A135" t="s">
        <v>530</v>
      </c>
      <c r="B135" t="s">
        <v>492</v>
      </c>
      <c r="C135" t="s">
        <v>20</v>
      </c>
      <c r="D135" t="s">
        <v>152</v>
      </c>
      <c r="E135" s="15">
        <v>500000</v>
      </c>
      <c r="F135" s="15">
        <v>0</v>
      </c>
      <c r="G135" s="15"/>
      <c r="H135" s="15">
        <v>500000</v>
      </c>
      <c r="I135" t="s">
        <v>28</v>
      </c>
      <c r="J135" t="s">
        <v>19</v>
      </c>
      <c r="K135" s="219"/>
      <c r="L135" s="219"/>
    </row>
    <row r="136" spans="1:12" x14ac:dyDescent="0.25">
      <c r="A136" t="s">
        <v>222</v>
      </c>
      <c r="B136" t="s">
        <v>213</v>
      </c>
      <c r="C136" t="s">
        <v>20</v>
      </c>
      <c r="D136" t="s">
        <v>75</v>
      </c>
      <c r="E136" s="15">
        <v>250000</v>
      </c>
      <c r="F136" s="15">
        <v>0</v>
      </c>
      <c r="G136" s="15"/>
      <c r="H136" s="15">
        <v>250000</v>
      </c>
      <c r="I136" t="s">
        <v>69</v>
      </c>
      <c r="J136" t="s">
        <v>19</v>
      </c>
      <c r="K136" s="219"/>
      <c r="L136" s="219"/>
    </row>
    <row r="137" spans="1:12" x14ac:dyDescent="0.25">
      <c r="A137" t="s">
        <v>155</v>
      </c>
      <c r="B137" t="s">
        <v>150</v>
      </c>
      <c r="C137" t="s">
        <v>20</v>
      </c>
      <c r="D137" t="s">
        <v>75</v>
      </c>
      <c r="E137" s="15">
        <v>863693.45</v>
      </c>
      <c r="F137" s="15">
        <v>0</v>
      </c>
      <c r="G137" s="15"/>
      <c r="H137" s="15">
        <v>863693.45</v>
      </c>
      <c r="I137" t="s">
        <v>69</v>
      </c>
      <c r="J137" t="s">
        <v>19</v>
      </c>
      <c r="K137" s="219"/>
      <c r="L137" s="219"/>
    </row>
    <row r="138" spans="1:12" x14ac:dyDescent="0.25">
      <c r="A138" t="s">
        <v>240</v>
      </c>
      <c r="B138" t="s">
        <v>235</v>
      </c>
      <c r="C138" t="s">
        <v>24</v>
      </c>
      <c r="D138" t="s">
        <v>106</v>
      </c>
      <c r="E138" s="15">
        <v>7670500</v>
      </c>
      <c r="F138" s="15">
        <v>4347795.32</v>
      </c>
      <c r="G138" s="15">
        <v>412500</v>
      </c>
      <c r="H138" s="15">
        <v>2910204.68</v>
      </c>
      <c r="I138" t="s">
        <v>18</v>
      </c>
      <c r="J138" t="s">
        <v>19</v>
      </c>
      <c r="K138" s="219">
        <v>46201</v>
      </c>
      <c r="L138" s="219">
        <v>46207</v>
      </c>
    </row>
    <row r="139" spans="1:12" x14ac:dyDescent="0.25">
      <c r="A139" t="s">
        <v>531</v>
      </c>
      <c r="B139" t="s">
        <v>471</v>
      </c>
      <c r="C139" t="s">
        <v>219</v>
      </c>
      <c r="D139" t="s">
        <v>151</v>
      </c>
      <c r="E139" s="15">
        <v>700000</v>
      </c>
      <c r="F139" s="15">
        <v>0</v>
      </c>
      <c r="G139" s="15"/>
      <c r="H139" s="15">
        <v>700000</v>
      </c>
      <c r="I139" t="s">
        <v>22</v>
      </c>
      <c r="J139" t="s">
        <v>19</v>
      </c>
      <c r="K139" s="219"/>
      <c r="L139" s="219"/>
    </row>
    <row r="140" spans="1:12" x14ac:dyDescent="0.25">
      <c r="A140" t="s">
        <v>171</v>
      </c>
      <c r="B140" t="s">
        <v>170</v>
      </c>
      <c r="C140" t="s">
        <v>20</v>
      </c>
      <c r="D140" t="s">
        <v>75</v>
      </c>
      <c r="E140" s="15">
        <v>1033453.25</v>
      </c>
      <c r="F140" s="15">
        <v>391176.24</v>
      </c>
      <c r="G140" s="15"/>
      <c r="H140" s="15">
        <v>642277.01</v>
      </c>
      <c r="I140" t="s">
        <v>69</v>
      </c>
      <c r="J140" t="s">
        <v>19</v>
      </c>
      <c r="K140" s="219"/>
      <c r="L140" s="219"/>
    </row>
    <row r="141" spans="1:12" x14ac:dyDescent="0.25">
      <c r="A141" t="s">
        <v>296</v>
      </c>
      <c r="B141" t="s">
        <v>285</v>
      </c>
      <c r="C141" t="s">
        <v>20</v>
      </c>
      <c r="D141" t="s">
        <v>117</v>
      </c>
      <c r="E141" s="15">
        <v>1350790.07</v>
      </c>
      <c r="F141" s="15">
        <v>0</v>
      </c>
      <c r="G141" s="15"/>
      <c r="H141" s="15">
        <v>1350790.07</v>
      </c>
      <c r="I141" t="s">
        <v>25</v>
      </c>
      <c r="J141" t="s">
        <v>19</v>
      </c>
      <c r="K141" s="219"/>
      <c r="L141" s="219"/>
    </row>
    <row r="142" spans="1:12" x14ac:dyDescent="0.25">
      <c r="A142" t="s">
        <v>335</v>
      </c>
      <c r="B142" t="s">
        <v>331</v>
      </c>
      <c r="C142" t="s">
        <v>20</v>
      </c>
      <c r="D142" t="s">
        <v>117</v>
      </c>
      <c r="E142" s="15">
        <v>750000</v>
      </c>
      <c r="F142" s="15">
        <v>0</v>
      </c>
      <c r="G142" s="15">
        <v>710700</v>
      </c>
      <c r="H142" s="15">
        <v>39300</v>
      </c>
      <c r="I142" t="s">
        <v>25</v>
      </c>
      <c r="J142" t="s">
        <v>19</v>
      </c>
      <c r="K142" s="219">
        <v>46215</v>
      </c>
      <c r="L142" s="219">
        <v>46221</v>
      </c>
    </row>
    <row r="143" spans="1:12" x14ac:dyDescent="0.25">
      <c r="A143" t="s">
        <v>223</v>
      </c>
      <c r="B143" t="s">
        <v>217</v>
      </c>
      <c r="C143" t="s">
        <v>24</v>
      </c>
      <c r="D143" t="s">
        <v>31</v>
      </c>
      <c r="E143" s="15">
        <v>2741025</v>
      </c>
      <c r="F143" s="15">
        <v>1641337.5</v>
      </c>
      <c r="G143" s="15">
        <v>902623.5</v>
      </c>
      <c r="H143" s="15">
        <v>0</v>
      </c>
      <c r="I143" t="s">
        <v>28</v>
      </c>
      <c r="J143" t="s">
        <v>19</v>
      </c>
      <c r="K143" s="219">
        <v>46194</v>
      </c>
      <c r="L143" s="219">
        <v>46200</v>
      </c>
    </row>
    <row r="144" spans="1:12" x14ac:dyDescent="0.25">
      <c r="A144" t="s">
        <v>223</v>
      </c>
      <c r="B144" t="s">
        <v>217</v>
      </c>
      <c r="C144" t="s">
        <v>24</v>
      </c>
      <c r="D144" t="s">
        <v>31</v>
      </c>
      <c r="E144" s="15">
        <v>2741025</v>
      </c>
      <c r="F144" s="15">
        <v>1641337.5</v>
      </c>
      <c r="G144" s="15">
        <v>197064</v>
      </c>
      <c r="H144" s="15">
        <v>0</v>
      </c>
      <c r="I144" t="s">
        <v>28</v>
      </c>
      <c r="J144" t="s">
        <v>19</v>
      </c>
      <c r="K144" s="219">
        <v>46278</v>
      </c>
      <c r="L144" s="219">
        <v>46284</v>
      </c>
    </row>
    <row r="145" spans="1:12" x14ac:dyDescent="0.25">
      <c r="A145" t="s">
        <v>229</v>
      </c>
      <c r="B145" t="s">
        <v>226</v>
      </c>
      <c r="C145" t="s">
        <v>20</v>
      </c>
      <c r="D145" t="s">
        <v>152</v>
      </c>
      <c r="E145" s="15">
        <v>300000</v>
      </c>
      <c r="F145" s="15">
        <v>0</v>
      </c>
      <c r="G145" s="15"/>
      <c r="H145" s="15">
        <v>300000</v>
      </c>
      <c r="I145" t="s">
        <v>28</v>
      </c>
      <c r="J145" t="s">
        <v>19</v>
      </c>
      <c r="K145" s="219"/>
      <c r="L145" s="219"/>
    </row>
    <row r="146" spans="1:12" x14ac:dyDescent="0.25">
      <c r="A146" t="s">
        <v>157</v>
      </c>
      <c r="B146" t="s">
        <v>154</v>
      </c>
      <c r="C146" t="s">
        <v>20</v>
      </c>
      <c r="D146" t="s">
        <v>75</v>
      </c>
      <c r="E146" s="15">
        <v>527850.01</v>
      </c>
      <c r="F146" s="15">
        <v>263925</v>
      </c>
      <c r="G146" s="15"/>
      <c r="H146" s="15">
        <v>263925.01</v>
      </c>
      <c r="I146" t="s">
        <v>69</v>
      </c>
      <c r="J146" t="s">
        <v>19</v>
      </c>
      <c r="K146" s="219"/>
      <c r="L146" s="219"/>
    </row>
    <row r="147" spans="1:12" x14ac:dyDescent="0.25">
      <c r="A147" t="s">
        <v>185</v>
      </c>
      <c r="B147" t="s">
        <v>160</v>
      </c>
      <c r="C147" t="s">
        <v>20</v>
      </c>
      <c r="D147" t="s">
        <v>103</v>
      </c>
      <c r="E147" s="15">
        <v>922106.57</v>
      </c>
      <c r="F147" s="15">
        <v>207691.38</v>
      </c>
      <c r="G147" s="15">
        <v>702587.67</v>
      </c>
      <c r="H147" s="15">
        <v>11827.52</v>
      </c>
      <c r="I147" t="s">
        <v>18</v>
      </c>
      <c r="J147" t="s">
        <v>19</v>
      </c>
      <c r="K147" s="219">
        <v>46229</v>
      </c>
      <c r="L147" s="219">
        <v>46235</v>
      </c>
    </row>
    <row r="148" spans="1:12" x14ac:dyDescent="0.25">
      <c r="A148" t="s">
        <v>297</v>
      </c>
      <c r="B148" t="s">
        <v>286</v>
      </c>
      <c r="C148" t="s">
        <v>20</v>
      </c>
      <c r="D148" t="s">
        <v>117</v>
      </c>
      <c r="E148" s="15">
        <v>500000</v>
      </c>
      <c r="F148" s="15">
        <v>0</v>
      </c>
      <c r="G148" s="15">
        <v>500000</v>
      </c>
      <c r="H148" s="15">
        <v>0</v>
      </c>
      <c r="I148" t="s">
        <v>25</v>
      </c>
      <c r="J148" t="s">
        <v>19</v>
      </c>
      <c r="K148" s="219">
        <v>46222</v>
      </c>
      <c r="L148" s="219">
        <v>46228</v>
      </c>
    </row>
    <row r="149" spans="1:12" x14ac:dyDescent="0.25">
      <c r="A149" t="s">
        <v>336</v>
      </c>
      <c r="B149" t="s">
        <v>286</v>
      </c>
      <c r="C149" t="s">
        <v>20</v>
      </c>
      <c r="D149" t="s">
        <v>117</v>
      </c>
      <c r="E149" s="15">
        <v>500000</v>
      </c>
      <c r="F149" s="15">
        <v>0</v>
      </c>
      <c r="G149" s="15">
        <v>500000</v>
      </c>
      <c r="H149" s="15">
        <v>0</v>
      </c>
      <c r="I149" t="s">
        <v>25</v>
      </c>
      <c r="J149" t="s">
        <v>19</v>
      </c>
      <c r="K149" s="219">
        <v>46208</v>
      </c>
      <c r="L149" s="219">
        <v>46214</v>
      </c>
    </row>
    <row r="150" spans="1:12" x14ac:dyDescent="0.25">
      <c r="A150" t="s">
        <v>532</v>
      </c>
      <c r="B150" t="s">
        <v>497</v>
      </c>
      <c r="C150" t="s">
        <v>20</v>
      </c>
      <c r="D150" t="s">
        <v>152</v>
      </c>
      <c r="E150" s="15">
        <v>250000</v>
      </c>
      <c r="F150" s="15">
        <v>0</v>
      </c>
      <c r="G150" s="15"/>
      <c r="H150" s="15">
        <v>250000</v>
      </c>
      <c r="I150" t="s">
        <v>28</v>
      </c>
      <c r="J150" t="s">
        <v>19</v>
      </c>
      <c r="K150" s="219"/>
      <c r="L150" s="219"/>
    </row>
    <row r="151" spans="1:12" x14ac:dyDescent="0.25">
      <c r="A151" t="s">
        <v>186</v>
      </c>
      <c r="B151" t="s">
        <v>184</v>
      </c>
      <c r="C151" t="s">
        <v>20</v>
      </c>
      <c r="D151" t="s">
        <v>103</v>
      </c>
      <c r="E151" s="15">
        <v>250000</v>
      </c>
      <c r="F151" s="15">
        <v>0</v>
      </c>
      <c r="G151" s="15"/>
      <c r="H151" s="15">
        <v>250000</v>
      </c>
      <c r="I151" t="s">
        <v>18</v>
      </c>
      <c r="J151" t="s">
        <v>19</v>
      </c>
      <c r="K151" s="219"/>
      <c r="L151" s="219"/>
    </row>
    <row r="152" spans="1:12" x14ac:dyDescent="0.25">
      <c r="A152" t="s">
        <v>337</v>
      </c>
      <c r="B152" t="s">
        <v>328</v>
      </c>
      <c r="C152" t="s">
        <v>20</v>
      </c>
      <c r="D152" t="s">
        <v>117</v>
      </c>
      <c r="E152" s="15">
        <v>500000</v>
      </c>
      <c r="F152" s="15">
        <v>0</v>
      </c>
      <c r="G152" s="15"/>
      <c r="H152" s="15">
        <v>500000</v>
      </c>
      <c r="I152" t="s">
        <v>25</v>
      </c>
      <c r="J152" t="s">
        <v>19</v>
      </c>
      <c r="K152" s="219"/>
      <c r="L152" s="219"/>
    </row>
    <row r="153" spans="1:12" x14ac:dyDescent="0.25">
      <c r="A153" t="s">
        <v>533</v>
      </c>
      <c r="B153" t="s">
        <v>328</v>
      </c>
      <c r="C153" t="s">
        <v>20</v>
      </c>
      <c r="D153" t="s">
        <v>152</v>
      </c>
      <c r="E153" s="15">
        <v>300000</v>
      </c>
      <c r="F153" s="15">
        <v>0</v>
      </c>
      <c r="G153" s="15"/>
      <c r="H153" s="15">
        <v>300000</v>
      </c>
      <c r="I153" t="s">
        <v>28</v>
      </c>
      <c r="J153" t="s">
        <v>19</v>
      </c>
      <c r="K153" s="219"/>
      <c r="L153" s="219"/>
    </row>
    <row r="154" spans="1:12" x14ac:dyDescent="0.25">
      <c r="A154" t="s">
        <v>248</v>
      </c>
      <c r="B154" t="s">
        <v>243</v>
      </c>
      <c r="C154" t="s">
        <v>20</v>
      </c>
      <c r="D154" t="s">
        <v>152</v>
      </c>
      <c r="E154" s="15">
        <v>500000</v>
      </c>
      <c r="F154" s="15">
        <v>336122.53</v>
      </c>
      <c r="G154" s="15">
        <v>99498</v>
      </c>
      <c r="H154" s="15">
        <v>64379.47</v>
      </c>
      <c r="I154" t="s">
        <v>28</v>
      </c>
      <c r="J154" t="s">
        <v>19</v>
      </c>
      <c r="K154" s="219">
        <v>46229</v>
      </c>
      <c r="L154" s="219">
        <v>46235</v>
      </c>
    </row>
    <row r="155" spans="1:12" x14ac:dyDescent="0.25">
      <c r="A155" t="s">
        <v>534</v>
      </c>
      <c r="B155" t="s">
        <v>493</v>
      </c>
      <c r="C155" t="s">
        <v>20</v>
      </c>
      <c r="D155" t="s">
        <v>152</v>
      </c>
      <c r="E155" s="15">
        <v>200000</v>
      </c>
      <c r="F155" s="15">
        <v>0</v>
      </c>
      <c r="G155" s="15"/>
      <c r="H155" s="15">
        <v>200000</v>
      </c>
      <c r="I155" t="s">
        <v>28</v>
      </c>
      <c r="J155" t="s">
        <v>19</v>
      </c>
      <c r="K155" s="219"/>
      <c r="L155" s="219"/>
    </row>
    <row r="156" spans="1:12" x14ac:dyDescent="0.25">
      <c r="A156" t="s">
        <v>535</v>
      </c>
      <c r="B156" t="s">
        <v>494</v>
      </c>
      <c r="C156" t="s">
        <v>20</v>
      </c>
      <c r="D156" t="s">
        <v>152</v>
      </c>
      <c r="E156" s="15">
        <v>450000</v>
      </c>
      <c r="F156" s="15">
        <v>0</v>
      </c>
      <c r="G156" s="15"/>
      <c r="H156" s="15">
        <v>450000</v>
      </c>
      <c r="I156" t="s">
        <v>28</v>
      </c>
      <c r="J156" t="s">
        <v>19</v>
      </c>
      <c r="K156" s="219"/>
      <c r="L156" s="219"/>
    </row>
    <row r="157" spans="1:12" x14ac:dyDescent="0.25">
      <c r="A157" t="s">
        <v>298</v>
      </c>
      <c r="B157" t="s">
        <v>287</v>
      </c>
      <c r="C157" t="s">
        <v>20</v>
      </c>
      <c r="D157" t="s">
        <v>117</v>
      </c>
      <c r="E157" s="15">
        <v>500000</v>
      </c>
      <c r="F157" s="15">
        <v>0</v>
      </c>
      <c r="G157" s="15">
        <v>489669.97</v>
      </c>
      <c r="H157" s="15">
        <v>10330.030000000001</v>
      </c>
      <c r="I157" t="s">
        <v>25</v>
      </c>
      <c r="J157" t="s">
        <v>19</v>
      </c>
      <c r="K157" s="219">
        <v>46236</v>
      </c>
      <c r="L157" s="219">
        <v>46242</v>
      </c>
    </row>
    <row r="158" spans="1:12" x14ac:dyDescent="0.25">
      <c r="A158" t="s">
        <v>347</v>
      </c>
      <c r="B158" t="s">
        <v>366</v>
      </c>
      <c r="C158" t="s">
        <v>20</v>
      </c>
      <c r="D158" t="s">
        <v>105</v>
      </c>
      <c r="E158" s="15">
        <v>19000000</v>
      </c>
      <c r="F158" s="15">
        <v>13000000</v>
      </c>
      <c r="G158" s="15">
        <v>6000000</v>
      </c>
      <c r="H158" s="15">
        <v>0</v>
      </c>
      <c r="I158" t="s">
        <v>18</v>
      </c>
      <c r="J158" t="s">
        <v>19</v>
      </c>
      <c r="K158" s="219">
        <v>46201</v>
      </c>
      <c r="L158" s="219">
        <v>46207</v>
      </c>
    </row>
    <row r="159" spans="1:12" x14ac:dyDescent="0.25">
      <c r="A159" t="s">
        <v>371</v>
      </c>
      <c r="B159" t="s">
        <v>366</v>
      </c>
      <c r="C159" t="s">
        <v>20</v>
      </c>
      <c r="D159" t="s">
        <v>27</v>
      </c>
      <c r="E159" s="15">
        <v>67000000</v>
      </c>
      <c r="F159" s="15">
        <v>25000000</v>
      </c>
      <c r="G159" s="15">
        <v>42000000</v>
      </c>
      <c r="H159" s="15">
        <v>0</v>
      </c>
      <c r="I159" t="s">
        <v>69</v>
      </c>
      <c r="J159" t="s">
        <v>19</v>
      </c>
      <c r="K159" s="219">
        <v>46201</v>
      </c>
      <c r="L159" s="219">
        <v>46207</v>
      </c>
    </row>
    <row r="160" spans="1:12" x14ac:dyDescent="0.25">
      <c r="A160" t="s">
        <v>377</v>
      </c>
      <c r="B160" t="s">
        <v>366</v>
      </c>
      <c r="C160" t="s">
        <v>20</v>
      </c>
      <c r="D160" t="s">
        <v>152</v>
      </c>
      <c r="E160" s="15">
        <v>14000000</v>
      </c>
      <c r="F160" s="15">
        <v>10000000</v>
      </c>
      <c r="G160" s="15">
        <v>4000000</v>
      </c>
      <c r="H160" s="15">
        <v>0</v>
      </c>
      <c r="I160" t="s">
        <v>28</v>
      </c>
      <c r="J160" t="s">
        <v>19</v>
      </c>
      <c r="K160" s="219">
        <v>46215</v>
      </c>
      <c r="L160" s="219">
        <v>46221</v>
      </c>
    </row>
    <row r="161" spans="1:12" x14ac:dyDescent="0.25">
      <c r="A161" t="s">
        <v>481</v>
      </c>
      <c r="B161" t="s">
        <v>473</v>
      </c>
      <c r="C161" t="s">
        <v>219</v>
      </c>
      <c r="D161" t="s">
        <v>31</v>
      </c>
      <c r="E161" s="15">
        <v>772046</v>
      </c>
      <c r="F161" s="15">
        <v>0</v>
      </c>
      <c r="G161" s="15"/>
      <c r="H161" s="15">
        <v>772046</v>
      </c>
      <c r="I161" t="s">
        <v>28</v>
      </c>
      <c r="J161" t="s">
        <v>19</v>
      </c>
      <c r="K161" s="219"/>
      <c r="L161" s="219"/>
    </row>
    <row r="162" spans="1:12" x14ac:dyDescent="0.25">
      <c r="A162" t="s">
        <v>34</v>
      </c>
      <c r="B162" t="s">
        <v>101</v>
      </c>
      <c r="C162" t="s">
        <v>24</v>
      </c>
      <c r="D162" t="s">
        <v>168</v>
      </c>
      <c r="E162" s="15">
        <v>16327500.880000001</v>
      </c>
      <c r="F162" s="15">
        <v>15446722.59</v>
      </c>
      <c r="G162" s="15"/>
      <c r="H162" s="15">
        <v>880778.29</v>
      </c>
      <c r="I162" t="s">
        <v>25</v>
      </c>
      <c r="J162" t="s">
        <v>32</v>
      </c>
      <c r="K162" s="219"/>
      <c r="L162" s="219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EAFFEE-BC65-45E6-BEB9-B5B98CF0DFEC}">
  <sheetPr codeName="Sheet2"/>
  <dimension ref="A1:O61"/>
  <sheetViews>
    <sheetView workbookViewId="0"/>
  </sheetViews>
  <sheetFormatPr defaultRowHeight="15" x14ac:dyDescent="0.25"/>
  <cols>
    <col min="1" max="1" width="15.85546875" bestFit="1" customWidth="1"/>
    <col min="2" max="2" width="17.85546875" bestFit="1" customWidth="1"/>
    <col min="3" max="3" width="60.140625" bestFit="1" customWidth="1"/>
    <col min="4" max="4" width="11.5703125" bestFit="1" customWidth="1"/>
    <col min="5" max="5" width="18.42578125" bestFit="1" customWidth="1"/>
    <col min="6" max="6" width="7.5703125" bestFit="1" customWidth="1"/>
    <col min="7" max="7" width="7.85546875" bestFit="1" customWidth="1"/>
    <col min="8" max="8" width="24.28515625" bestFit="1" customWidth="1"/>
    <col min="9" max="9" width="7" bestFit="1" customWidth="1"/>
    <col min="10" max="10" width="19" bestFit="1" customWidth="1"/>
    <col min="11" max="11" width="7.28515625" bestFit="1" customWidth="1"/>
    <col min="12" max="12" width="19.85546875" bestFit="1" customWidth="1"/>
    <col min="13" max="13" width="11.42578125" bestFit="1" customWidth="1"/>
    <col min="14" max="14" width="49.5703125" bestFit="1" customWidth="1"/>
    <col min="15" max="15" width="14.7109375" bestFit="1" customWidth="1"/>
    <col min="16" max="17" width="14.28515625" bestFit="1" customWidth="1"/>
    <col min="18" max="18" width="32.28515625" bestFit="1" customWidth="1"/>
    <col min="19" max="19" width="14.28515625" bestFit="1" customWidth="1"/>
  </cols>
  <sheetData>
    <row r="1" spans="1:15" x14ac:dyDescent="0.25">
      <c r="A1" t="s">
        <v>0</v>
      </c>
      <c r="B1" t="s">
        <v>56</v>
      </c>
      <c r="C1" t="s">
        <v>2</v>
      </c>
      <c r="D1" t="s">
        <v>57</v>
      </c>
      <c r="E1" t="s">
        <v>4</v>
      </c>
      <c r="F1" t="s">
        <v>52</v>
      </c>
      <c r="G1" t="s">
        <v>15</v>
      </c>
      <c r="H1" t="s">
        <v>58</v>
      </c>
      <c r="I1" t="s">
        <v>5</v>
      </c>
      <c r="J1" t="s">
        <v>59</v>
      </c>
      <c r="K1" t="s">
        <v>7</v>
      </c>
      <c r="L1" t="s">
        <v>60</v>
      </c>
      <c r="M1" t="s">
        <v>53</v>
      </c>
      <c r="N1" t="s">
        <v>61</v>
      </c>
      <c r="O1" t="s">
        <v>148</v>
      </c>
    </row>
    <row r="2" spans="1:15" x14ac:dyDescent="0.25">
      <c r="A2" t="s">
        <v>315</v>
      </c>
      <c r="B2">
        <v>1</v>
      </c>
      <c r="C2" t="s">
        <v>192</v>
      </c>
      <c r="D2" t="s">
        <v>20</v>
      </c>
      <c r="E2" t="s">
        <v>152</v>
      </c>
      <c r="F2" t="s">
        <v>28</v>
      </c>
      <c r="G2" t="s">
        <v>19</v>
      </c>
      <c r="H2" t="s">
        <v>10</v>
      </c>
      <c r="I2" t="s">
        <v>21</v>
      </c>
      <c r="J2">
        <v>365011.38</v>
      </c>
      <c r="K2">
        <v>1</v>
      </c>
      <c r="L2">
        <v>365011.38</v>
      </c>
      <c r="M2" s="219">
        <v>46208</v>
      </c>
      <c r="N2" t="s">
        <v>244</v>
      </c>
    </row>
    <row r="3" spans="1:15" x14ac:dyDescent="0.25">
      <c r="A3" t="s">
        <v>317</v>
      </c>
      <c r="B3">
        <v>1</v>
      </c>
      <c r="C3" t="s">
        <v>302</v>
      </c>
      <c r="D3" t="s">
        <v>20</v>
      </c>
      <c r="E3" t="s">
        <v>152</v>
      </c>
      <c r="F3" t="s">
        <v>28</v>
      </c>
      <c r="G3" t="s">
        <v>19</v>
      </c>
      <c r="H3" t="s">
        <v>10</v>
      </c>
      <c r="I3" t="s">
        <v>21</v>
      </c>
      <c r="J3">
        <v>1377731.72</v>
      </c>
      <c r="K3">
        <v>1</v>
      </c>
      <c r="L3">
        <v>1377731.72</v>
      </c>
      <c r="M3" s="219">
        <v>46236</v>
      </c>
      <c r="N3" t="s">
        <v>244</v>
      </c>
    </row>
    <row r="4" spans="1:15" x14ac:dyDescent="0.25">
      <c r="A4" t="s">
        <v>319</v>
      </c>
      <c r="B4">
        <v>1</v>
      </c>
      <c r="C4" t="s">
        <v>299</v>
      </c>
      <c r="D4" t="s">
        <v>20</v>
      </c>
      <c r="E4" t="s">
        <v>152</v>
      </c>
      <c r="F4" t="s">
        <v>28</v>
      </c>
      <c r="G4" t="s">
        <v>19</v>
      </c>
      <c r="H4" t="s">
        <v>10</v>
      </c>
      <c r="I4" t="s">
        <v>21</v>
      </c>
      <c r="J4">
        <v>900000</v>
      </c>
      <c r="K4">
        <v>1</v>
      </c>
      <c r="L4">
        <v>900000</v>
      </c>
      <c r="M4" s="219">
        <v>46236</v>
      </c>
      <c r="N4" t="s">
        <v>244</v>
      </c>
    </row>
    <row r="5" spans="1:15" x14ac:dyDescent="0.25">
      <c r="A5" t="s">
        <v>314</v>
      </c>
      <c r="B5">
        <v>1</v>
      </c>
      <c r="C5" t="s">
        <v>177</v>
      </c>
      <c r="D5" t="s">
        <v>20</v>
      </c>
      <c r="E5" t="s">
        <v>152</v>
      </c>
      <c r="F5" t="s">
        <v>28</v>
      </c>
      <c r="G5" t="s">
        <v>19</v>
      </c>
      <c r="H5" t="s">
        <v>10</v>
      </c>
      <c r="I5" t="s">
        <v>21</v>
      </c>
      <c r="J5">
        <v>900000</v>
      </c>
      <c r="K5">
        <v>1</v>
      </c>
      <c r="L5">
        <v>900000</v>
      </c>
      <c r="M5" s="219">
        <v>46264</v>
      </c>
      <c r="N5" t="s">
        <v>244</v>
      </c>
    </row>
    <row r="6" spans="1:15" x14ac:dyDescent="0.25">
      <c r="A6" t="s">
        <v>316</v>
      </c>
      <c r="B6">
        <v>1</v>
      </c>
      <c r="C6" t="s">
        <v>301</v>
      </c>
      <c r="D6" t="s">
        <v>20</v>
      </c>
      <c r="E6" t="s">
        <v>152</v>
      </c>
      <c r="F6" t="s">
        <v>28</v>
      </c>
      <c r="G6" t="s">
        <v>19</v>
      </c>
      <c r="H6" t="s">
        <v>556</v>
      </c>
      <c r="I6" t="s">
        <v>21</v>
      </c>
      <c r="J6">
        <v>500000</v>
      </c>
      <c r="K6">
        <v>1</v>
      </c>
      <c r="L6">
        <v>500000</v>
      </c>
      <c r="M6" s="219">
        <v>46264</v>
      </c>
      <c r="N6" t="s">
        <v>244</v>
      </c>
    </row>
    <row r="7" spans="1:15" x14ac:dyDescent="0.25">
      <c r="A7" t="s">
        <v>327</v>
      </c>
      <c r="B7">
        <v>1</v>
      </c>
      <c r="C7" t="s">
        <v>306</v>
      </c>
      <c r="D7" t="s">
        <v>20</v>
      </c>
      <c r="E7" t="s">
        <v>152</v>
      </c>
      <c r="F7" t="s">
        <v>28</v>
      </c>
      <c r="G7" t="s">
        <v>19</v>
      </c>
      <c r="H7" t="s">
        <v>10</v>
      </c>
      <c r="I7" t="s">
        <v>21</v>
      </c>
      <c r="J7">
        <v>397090</v>
      </c>
      <c r="K7">
        <v>1</v>
      </c>
      <c r="L7">
        <v>397090</v>
      </c>
      <c r="M7" s="219">
        <v>46208</v>
      </c>
      <c r="N7" t="s">
        <v>244</v>
      </c>
    </row>
    <row r="8" spans="1:15" x14ac:dyDescent="0.25">
      <c r="A8" t="s">
        <v>363</v>
      </c>
      <c r="B8">
        <v>1</v>
      </c>
      <c r="C8" t="s">
        <v>357</v>
      </c>
      <c r="D8" t="s">
        <v>20</v>
      </c>
      <c r="E8" t="s">
        <v>152</v>
      </c>
      <c r="F8" t="s">
        <v>28</v>
      </c>
      <c r="G8" t="s">
        <v>19</v>
      </c>
      <c r="H8" t="s">
        <v>10</v>
      </c>
      <c r="I8" t="s">
        <v>21</v>
      </c>
      <c r="J8">
        <v>1309266</v>
      </c>
      <c r="K8">
        <v>1</v>
      </c>
      <c r="L8">
        <v>1309266</v>
      </c>
      <c r="M8" s="219">
        <v>46211</v>
      </c>
      <c r="N8" t="s">
        <v>244</v>
      </c>
    </row>
    <row r="9" spans="1:15" x14ac:dyDescent="0.25">
      <c r="A9" t="s">
        <v>362</v>
      </c>
      <c r="B9">
        <v>1</v>
      </c>
      <c r="C9" t="s">
        <v>176</v>
      </c>
      <c r="D9" t="s">
        <v>20</v>
      </c>
      <c r="E9" t="s">
        <v>152</v>
      </c>
      <c r="F9" t="s">
        <v>28</v>
      </c>
      <c r="G9" t="s">
        <v>19</v>
      </c>
      <c r="H9" t="s">
        <v>10</v>
      </c>
      <c r="I9" t="s">
        <v>21</v>
      </c>
      <c r="J9">
        <v>194647.12</v>
      </c>
      <c r="K9">
        <v>1</v>
      </c>
      <c r="L9">
        <v>194647.12</v>
      </c>
      <c r="M9" s="219">
        <v>46208</v>
      </c>
      <c r="N9" t="s">
        <v>244</v>
      </c>
    </row>
    <row r="10" spans="1:15" x14ac:dyDescent="0.25">
      <c r="A10" t="s">
        <v>362</v>
      </c>
      <c r="B10">
        <v>2</v>
      </c>
      <c r="C10" t="s">
        <v>176</v>
      </c>
      <c r="D10" t="s">
        <v>20</v>
      </c>
      <c r="E10" t="s">
        <v>152</v>
      </c>
      <c r="F10" t="s">
        <v>28</v>
      </c>
      <c r="G10" t="s">
        <v>19</v>
      </c>
      <c r="H10" t="s">
        <v>10</v>
      </c>
      <c r="I10" t="s">
        <v>21</v>
      </c>
      <c r="J10">
        <v>317042.21000000002</v>
      </c>
      <c r="K10">
        <v>1</v>
      </c>
      <c r="L10">
        <v>317042.21000000002</v>
      </c>
      <c r="M10" s="219">
        <v>46217</v>
      </c>
      <c r="N10" t="s">
        <v>244</v>
      </c>
    </row>
    <row r="11" spans="1:15" x14ac:dyDescent="0.25">
      <c r="A11" t="s">
        <v>376</v>
      </c>
      <c r="B11">
        <v>1</v>
      </c>
      <c r="C11" t="s">
        <v>374</v>
      </c>
      <c r="D11" t="s">
        <v>24</v>
      </c>
      <c r="E11" t="s">
        <v>27</v>
      </c>
      <c r="F11" t="s">
        <v>28</v>
      </c>
      <c r="G11" t="s">
        <v>19</v>
      </c>
      <c r="H11" t="s">
        <v>10</v>
      </c>
      <c r="I11" t="s">
        <v>21</v>
      </c>
      <c r="J11">
        <v>10000000</v>
      </c>
      <c r="K11">
        <v>1</v>
      </c>
      <c r="L11">
        <v>10000000</v>
      </c>
      <c r="M11" s="219">
        <v>46236</v>
      </c>
      <c r="N11" t="s">
        <v>375</v>
      </c>
    </row>
    <row r="12" spans="1:15" x14ac:dyDescent="0.25">
      <c r="A12" t="s">
        <v>377</v>
      </c>
      <c r="B12">
        <v>3</v>
      </c>
      <c r="C12" t="s">
        <v>366</v>
      </c>
      <c r="D12" t="s">
        <v>20</v>
      </c>
      <c r="E12" t="s">
        <v>152</v>
      </c>
      <c r="F12" t="s">
        <v>28</v>
      </c>
      <c r="G12" t="s">
        <v>19</v>
      </c>
      <c r="H12" t="s">
        <v>10</v>
      </c>
      <c r="I12" t="s">
        <v>21</v>
      </c>
      <c r="J12">
        <v>4000000</v>
      </c>
      <c r="K12">
        <v>1</v>
      </c>
      <c r="L12">
        <v>4000000</v>
      </c>
      <c r="M12" s="219">
        <v>46216</v>
      </c>
      <c r="N12" t="s">
        <v>23</v>
      </c>
    </row>
    <row r="13" spans="1:15" x14ac:dyDescent="0.25">
      <c r="A13" t="s">
        <v>411</v>
      </c>
      <c r="B13">
        <v>1</v>
      </c>
      <c r="C13" t="s">
        <v>301</v>
      </c>
      <c r="D13" t="s">
        <v>20</v>
      </c>
      <c r="E13" t="s">
        <v>152</v>
      </c>
      <c r="F13" t="s">
        <v>28</v>
      </c>
      <c r="G13" t="s">
        <v>19</v>
      </c>
      <c r="H13" t="s">
        <v>10</v>
      </c>
      <c r="I13" t="s">
        <v>21</v>
      </c>
      <c r="J13">
        <v>200000</v>
      </c>
      <c r="K13">
        <v>1</v>
      </c>
      <c r="L13">
        <v>200000</v>
      </c>
      <c r="M13" s="219">
        <v>46245</v>
      </c>
      <c r="N13" t="s">
        <v>381</v>
      </c>
    </row>
    <row r="14" spans="1:15" x14ac:dyDescent="0.25">
      <c r="A14" t="s">
        <v>410</v>
      </c>
      <c r="B14">
        <v>1</v>
      </c>
      <c r="C14" t="s">
        <v>387</v>
      </c>
      <c r="D14" t="s">
        <v>20</v>
      </c>
      <c r="E14" t="s">
        <v>152</v>
      </c>
      <c r="F14" t="s">
        <v>28</v>
      </c>
      <c r="G14" t="s">
        <v>19</v>
      </c>
      <c r="H14" t="s">
        <v>10</v>
      </c>
      <c r="I14" t="s">
        <v>21</v>
      </c>
      <c r="J14">
        <v>299758.8</v>
      </c>
      <c r="K14">
        <v>1</v>
      </c>
      <c r="L14">
        <v>299758.8</v>
      </c>
      <c r="M14" s="219">
        <v>46264</v>
      </c>
      <c r="N14" t="s">
        <v>381</v>
      </c>
    </row>
    <row r="15" spans="1:15" x14ac:dyDescent="0.25">
      <c r="A15" t="s">
        <v>402</v>
      </c>
      <c r="B15">
        <v>1</v>
      </c>
      <c r="C15" t="s">
        <v>393</v>
      </c>
      <c r="D15" t="s">
        <v>20</v>
      </c>
      <c r="E15" t="s">
        <v>152</v>
      </c>
      <c r="F15" t="s">
        <v>28</v>
      </c>
      <c r="G15" t="s">
        <v>19</v>
      </c>
      <c r="H15" t="s">
        <v>10</v>
      </c>
      <c r="I15" t="s">
        <v>21</v>
      </c>
      <c r="J15">
        <v>93855.09</v>
      </c>
      <c r="K15">
        <v>1</v>
      </c>
      <c r="L15">
        <v>93855.09</v>
      </c>
      <c r="M15" s="219">
        <v>46235</v>
      </c>
      <c r="N15" t="s">
        <v>381</v>
      </c>
    </row>
    <row r="16" spans="1:15" x14ac:dyDescent="0.25">
      <c r="A16" t="s">
        <v>412</v>
      </c>
      <c r="B16">
        <v>1</v>
      </c>
      <c r="C16" t="s">
        <v>262</v>
      </c>
      <c r="D16" t="s">
        <v>20</v>
      </c>
      <c r="E16" t="s">
        <v>152</v>
      </c>
      <c r="F16" t="s">
        <v>28</v>
      </c>
      <c r="G16" t="s">
        <v>19</v>
      </c>
      <c r="H16" t="s">
        <v>10</v>
      </c>
      <c r="I16" t="s">
        <v>21</v>
      </c>
      <c r="J16">
        <v>312768.11</v>
      </c>
      <c r="K16">
        <v>1</v>
      </c>
      <c r="L16">
        <v>312768.11</v>
      </c>
      <c r="M16" s="219">
        <v>46222</v>
      </c>
      <c r="N16" t="s">
        <v>381</v>
      </c>
    </row>
    <row r="17" spans="1:14" x14ac:dyDescent="0.25">
      <c r="A17" t="s">
        <v>408</v>
      </c>
      <c r="B17">
        <v>1</v>
      </c>
      <c r="C17" t="s">
        <v>329</v>
      </c>
      <c r="D17" t="s">
        <v>20</v>
      </c>
      <c r="E17" t="s">
        <v>152</v>
      </c>
      <c r="F17" t="s">
        <v>28</v>
      </c>
      <c r="G17" t="s">
        <v>19</v>
      </c>
      <c r="H17" t="s">
        <v>10</v>
      </c>
      <c r="I17" t="s">
        <v>21</v>
      </c>
      <c r="J17">
        <v>150000</v>
      </c>
      <c r="K17">
        <v>1</v>
      </c>
      <c r="L17">
        <v>150000</v>
      </c>
      <c r="M17" s="219">
        <v>46215</v>
      </c>
      <c r="N17" t="s">
        <v>381</v>
      </c>
    </row>
    <row r="18" spans="1:14" x14ac:dyDescent="0.25">
      <c r="A18" t="s">
        <v>413</v>
      </c>
      <c r="B18">
        <v>1</v>
      </c>
      <c r="C18" t="s">
        <v>385</v>
      </c>
      <c r="D18" t="s">
        <v>20</v>
      </c>
      <c r="E18" t="s">
        <v>152</v>
      </c>
      <c r="F18" t="s">
        <v>28</v>
      </c>
      <c r="G18" t="s">
        <v>19</v>
      </c>
      <c r="H18" t="s">
        <v>10</v>
      </c>
      <c r="I18" t="s">
        <v>21</v>
      </c>
      <c r="J18">
        <v>500000</v>
      </c>
      <c r="K18">
        <v>1</v>
      </c>
      <c r="L18">
        <v>500000</v>
      </c>
      <c r="M18" s="219">
        <v>46217</v>
      </c>
      <c r="N18" t="s">
        <v>381</v>
      </c>
    </row>
    <row r="19" spans="1:14" x14ac:dyDescent="0.25">
      <c r="A19" t="s">
        <v>399</v>
      </c>
      <c r="B19">
        <v>1</v>
      </c>
      <c r="C19" t="s">
        <v>382</v>
      </c>
      <c r="D19" t="s">
        <v>20</v>
      </c>
      <c r="E19" t="s">
        <v>152</v>
      </c>
      <c r="F19" t="s">
        <v>28</v>
      </c>
      <c r="G19" t="s">
        <v>19</v>
      </c>
      <c r="H19" t="s">
        <v>10</v>
      </c>
      <c r="I19" t="s">
        <v>21</v>
      </c>
      <c r="J19">
        <v>125000</v>
      </c>
      <c r="K19">
        <v>1</v>
      </c>
      <c r="L19">
        <v>125000</v>
      </c>
      <c r="M19" s="219">
        <v>46222</v>
      </c>
      <c r="N19" t="s">
        <v>381</v>
      </c>
    </row>
    <row r="20" spans="1:14" x14ac:dyDescent="0.25">
      <c r="A20" t="s">
        <v>400</v>
      </c>
      <c r="B20">
        <v>1</v>
      </c>
      <c r="C20" t="s">
        <v>383</v>
      </c>
      <c r="D20" t="s">
        <v>20</v>
      </c>
      <c r="E20" t="s">
        <v>152</v>
      </c>
      <c r="F20" t="s">
        <v>28</v>
      </c>
      <c r="G20" t="s">
        <v>19</v>
      </c>
      <c r="H20" t="s">
        <v>10</v>
      </c>
      <c r="I20" t="s">
        <v>21</v>
      </c>
      <c r="J20">
        <v>500000</v>
      </c>
      <c r="K20">
        <v>1</v>
      </c>
      <c r="L20">
        <v>500000</v>
      </c>
      <c r="M20" s="219">
        <v>46217</v>
      </c>
      <c r="N20" t="s">
        <v>381</v>
      </c>
    </row>
    <row r="21" spans="1:14" x14ac:dyDescent="0.25">
      <c r="A21" t="s">
        <v>406</v>
      </c>
      <c r="B21">
        <v>1</v>
      </c>
      <c r="C21" t="s">
        <v>389</v>
      </c>
      <c r="D21" t="s">
        <v>20</v>
      </c>
      <c r="E21" t="s">
        <v>152</v>
      </c>
      <c r="F21" t="s">
        <v>28</v>
      </c>
      <c r="G21" t="s">
        <v>19</v>
      </c>
      <c r="H21" t="s">
        <v>10</v>
      </c>
      <c r="I21" t="s">
        <v>21</v>
      </c>
      <c r="J21">
        <v>995984.82</v>
      </c>
      <c r="K21">
        <v>1</v>
      </c>
      <c r="L21">
        <v>995984.82</v>
      </c>
      <c r="M21" s="219">
        <v>46264</v>
      </c>
      <c r="N21" t="s">
        <v>381</v>
      </c>
    </row>
    <row r="22" spans="1:14" x14ac:dyDescent="0.25">
      <c r="A22" t="s">
        <v>416</v>
      </c>
      <c r="B22">
        <v>1</v>
      </c>
      <c r="C22" t="s">
        <v>388</v>
      </c>
      <c r="D22" t="s">
        <v>20</v>
      </c>
      <c r="E22" t="s">
        <v>152</v>
      </c>
      <c r="F22" t="s">
        <v>28</v>
      </c>
      <c r="G22" t="s">
        <v>19</v>
      </c>
      <c r="H22" t="s">
        <v>10</v>
      </c>
      <c r="I22" t="s">
        <v>21</v>
      </c>
      <c r="J22">
        <v>1000000</v>
      </c>
      <c r="K22">
        <v>1</v>
      </c>
      <c r="L22">
        <v>1000000</v>
      </c>
      <c r="M22" s="219">
        <v>46222</v>
      </c>
      <c r="N22" t="s">
        <v>381</v>
      </c>
    </row>
    <row r="23" spans="1:14" x14ac:dyDescent="0.25">
      <c r="A23" t="s">
        <v>223</v>
      </c>
      <c r="B23">
        <v>2</v>
      </c>
      <c r="C23" t="s">
        <v>217</v>
      </c>
      <c r="D23" t="s">
        <v>24</v>
      </c>
      <c r="E23" t="s">
        <v>31</v>
      </c>
      <c r="F23" t="s">
        <v>28</v>
      </c>
      <c r="G23" t="s">
        <v>19</v>
      </c>
      <c r="H23" t="s">
        <v>338</v>
      </c>
      <c r="I23" t="s">
        <v>21</v>
      </c>
      <c r="J23">
        <v>902623.5</v>
      </c>
      <c r="K23">
        <v>1</v>
      </c>
      <c r="L23">
        <v>902623.5</v>
      </c>
      <c r="M23" s="219">
        <v>46198</v>
      </c>
      <c r="N23" t="s">
        <v>218</v>
      </c>
    </row>
    <row r="24" spans="1:14" x14ac:dyDescent="0.25">
      <c r="A24" t="s">
        <v>223</v>
      </c>
      <c r="B24">
        <v>3</v>
      </c>
      <c r="C24" t="s">
        <v>217</v>
      </c>
      <c r="D24" t="s">
        <v>24</v>
      </c>
      <c r="E24" t="s">
        <v>31</v>
      </c>
      <c r="F24" t="s">
        <v>28</v>
      </c>
      <c r="G24" t="s">
        <v>19</v>
      </c>
      <c r="H24" t="s">
        <v>10</v>
      </c>
      <c r="I24" t="s">
        <v>21</v>
      </c>
      <c r="J24">
        <v>197064</v>
      </c>
      <c r="K24">
        <v>1</v>
      </c>
      <c r="L24">
        <v>197064</v>
      </c>
      <c r="M24" s="219">
        <v>46282</v>
      </c>
      <c r="N24" t="s">
        <v>218</v>
      </c>
    </row>
    <row r="25" spans="1:14" x14ac:dyDescent="0.25">
      <c r="A25" t="s">
        <v>228</v>
      </c>
      <c r="B25">
        <v>2</v>
      </c>
      <c r="C25" t="s">
        <v>225</v>
      </c>
      <c r="D25" t="s">
        <v>20</v>
      </c>
      <c r="E25" t="s">
        <v>152</v>
      </c>
      <c r="F25" t="s">
        <v>28</v>
      </c>
      <c r="G25" t="s">
        <v>19</v>
      </c>
      <c r="H25" t="s">
        <v>10</v>
      </c>
      <c r="I25" t="s">
        <v>21</v>
      </c>
      <c r="J25">
        <v>427806.8</v>
      </c>
      <c r="K25">
        <v>1</v>
      </c>
      <c r="L25">
        <v>427806.8</v>
      </c>
      <c r="M25" s="219">
        <v>46219</v>
      </c>
      <c r="N25" t="s">
        <v>142</v>
      </c>
    </row>
    <row r="26" spans="1:14" x14ac:dyDescent="0.25">
      <c r="A26" t="s">
        <v>241</v>
      </c>
      <c r="B26">
        <v>2</v>
      </c>
      <c r="C26" t="s">
        <v>192</v>
      </c>
      <c r="D26" t="s">
        <v>20</v>
      </c>
      <c r="E26" t="s">
        <v>152</v>
      </c>
      <c r="F26" t="s">
        <v>28</v>
      </c>
      <c r="G26" t="s">
        <v>19</v>
      </c>
      <c r="H26" t="s">
        <v>10</v>
      </c>
      <c r="I26" t="s">
        <v>21</v>
      </c>
      <c r="J26">
        <v>52759.519999999997</v>
      </c>
      <c r="K26">
        <v>1</v>
      </c>
      <c r="L26">
        <v>52759.519999999997</v>
      </c>
      <c r="M26" s="219">
        <v>46237</v>
      </c>
      <c r="N26" t="s">
        <v>142</v>
      </c>
    </row>
    <row r="27" spans="1:14" x14ac:dyDescent="0.25">
      <c r="A27" t="s">
        <v>248</v>
      </c>
      <c r="B27">
        <v>2</v>
      </c>
      <c r="C27" t="s">
        <v>243</v>
      </c>
      <c r="D27" t="s">
        <v>20</v>
      </c>
      <c r="E27" t="s">
        <v>152</v>
      </c>
      <c r="F27" t="s">
        <v>28</v>
      </c>
      <c r="G27" t="s">
        <v>19</v>
      </c>
      <c r="H27" t="s">
        <v>10</v>
      </c>
      <c r="I27" t="s">
        <v>21</v>
      </c>
      <c r="J27">
        <v>99498</v>
      </c>
      <c r="K27">
        <v>1</v>
      </c>
      <c r="L27">
        <v>99498</v>
      </c>
      <c r="M27" s="219">
        <v>46230</v>
      </c>
      <c r="N27" t="s">
        <v>142</v>
      </c>
    </row>
    <row r="28" spans="1:14" x14ac:dyDescent="0.25">
      <c r="A28" t="s">
        <v>247</v>
      </c>
      <c r="B28">
        <v>3</v>
      </c>
      <c r="C28" t="s">
        <v>242</v>
      </c>
      <c r="D28" t="s">
        <v>20</v>
      </c>
      <c r="E28" t="s">
        <v>152</v>
      </c>
      <c r="F28" t="s">
        <v>28</v>
      </c>
      <c r="G28" t="s">
        <v>19</v>
      </c>
      <c r="H28" t="s">
        <v>10</v>
      </c>
      <c r="I28" t="s">
        <v>21</v>
      </c>
      <c r="J28">
        <v>106205.87</v>
      </c>
      <c r="K28">
        <v>1</v>
      </c>
      <c r="L28">
        <v>106205.87</v>
      </c>
      <c r="M28" s="219">
        <v>46201</v>
      </c>
      <c r="N28" t="s">
        <v>142</v>
      </c>
    </row>
    <row r="29" spans="1:14" x14ac:dyDescent="0.25">
      <c r="A29" t="s">
        <v>266</v>
      </c>
      <c r="B29">
        <v>1</v>
      </c>
      <c r="C29" t="s">
        <v>224</v>
      </c>
      <c r="D29" t="s">
        <v>20</v>
      </c>
      <c r="E29" t="s">
        <v>152</v>
      </c>
      <c r="F29" t="s">
        <v>28</v>
      </c>
      <c r="G29" t="s">
        <v>19</v>
      </c>
      <c r="H29" t="s">
        <v>10</v>
      </c>
      <c r="I29" t="s">
        <v>21</v>
      </c>
      <c r="J29">
        <v>4000000</v>
      </c>
      <c r="K29">
        <v>1</v>
      </c>
      <c r="L29">
        <v>4000000</v>
      </c>
      <c r="M29" s="219">
        <v>46267</v>
      </c>
      <c r="N29" t="s">
        <v>142</v>
      </c>
    </row>
    <row r="30" spans="1:14" x14ac:dyDescent="0.25">
      <c r="A30" t="s">
        <v>264</v>
      </c>
      <c r="B30">
        <v>1</v>
      </c>
      <c r="C30" t="s">
        <v>178</v>
      </c>
      <c r="D30" t="s">
        <v>20</v>
      </c>
      <c r="E30" t="s">
        <v>152</v>
      </c>
      <c r="F30" t="s">
        <v>28</v>
      </c>
      <c r="G30" t="s">
        <v>19</v>
      </c>
      <c r="H30" t="s">
        <v>10</v>
      </c>
      <c r="I30" t="s">
        <v>21</v>
      </c>
      <c r="J30">
        <v>208813.02</v>
      </c>
      <c r="K30">
        <v>1</v>
      </c>
      <c r="L30">
        <v>208813.02</v>
      </c>
      <c r="M30" s="219">
        <v>46208</v>
      </c>
      <c r="N30" t="s">
        <v>142</v>
      </c>
    </row>
    <row r="31" spans="1:14" x14ac:dyDescent="0.25">
      <c r="A31" t="s">
        <v>264</v>
      </c>
      <c r="B31">
        <v>2</v>
      </c>
      <c r="C31" t="s">
        <v>178</v>
      </c>
      <c r="D31" t="s">
        <v>20</v>
      </c>
      <c r="E31" t="s">
        <v>152</v>
      </c>
      <c r="F31" t="s">
        <v>28</v>
      </c>
      <c r="G31" t="s">
        <v>19</v>
      </c>
      <c r="H31" t="s">
        <v>10</v>
      </c>
      <c r="I31" t="s">
        <v>21</v>
      </c>
      <c r="J31">
        <v>278905.67</v>
      </c>
      <c r="K31">
        <v>1</v>
      </c>
      <c r="L31">
        <v>278905.67</v>
      </c>
      <c r="M31" s="219">
        <v>46258</v>
      </c>
      <c r="N31" t="s">
        <v>142</v>
      </c>
    </row>
    <row r="32" spans="1:14" x14ac:dyDescent="0.25">
      <c r="A32" t="s">
        <v>221</v>
      </c>
      <c r="B32">
        <v>2</v>
      </c>
      <c r="C32" t="s">
        <v>214</v>
      </c>
      <c r="D32" t="s">
        <v>20</v>
      </c>
      <c r="E32" t="s">
        <v>75</v>
      </c>
      <c r="F32" t="s">
        <v>69</v>
      </c>
      <c r="G32" t="s">
        <v>19</v>
      </c>
      <c r="H32" t="s">
        <v>10</v>
      </c>
      <c r="I32" t="s">
        <v>21</v>
      </c>
      <c r="J32">
        <v>199393.9</v>
      </c>
      <c r="K32">
        <v>1</v>
      </c>
      <c r="L32">
        <v>199393.9</v>
      </c>
      <c r="M32" s="219">
        <v>46210</v>
      </c>
      <c r="N32" t="s">
        <v>23</v>
      </c>
    </row>
    <row r="33" spans="1:14" x14ac:dyDescent="0.25">
      <c r="A33" t="s">
        <v>293</v>
      </c>
      <c r="B33">
        <v>4</v>
      </c>
      <c r="C33" t="s">
        <v>279</v>
      </c>
      <c r="D33" t="s">
        <v>24</v>
      </c>
      <c r="E33" t="s">
        <v>75</v>
      </c>
      <c r="F33" t="s">
        <v>69</v>
      </c>
      <c r="G33" t="s">
        <v>19</v>
      </c>
      <c r="H33" t="s">
        <v>10</v>
      </c>
      <c r="I33" t="s">
        <v>21</v>
      </c>
      <c r="J33">
        <v>112200.9</v>
      </c>
      <c r="K33">
        <v>1</v>
      </c>
      <c r="L33">
        <v>112200.9</v>
      </c>
      <c r="M33" s="219">
        <v>46215</v>
      </c>
      <c r="N33" t="s">
        <v>280</v>
      </c>
    </row>
    <row r="34" spans="1:14" x14ac:dyDescent="0.25">
      <c r="A34" t="s">
        <v>371</v>
      </c>
      <c r="B34">
        <v>2</v>
      </c>
      <c r="C34" t="s">
        <v>366</v>
      </c>
      <c r="D34" t="s">
        <v>20</v>
      </c>
      <c r="E34" t="s">
        <v>27</v>
      </c>
      <c r="F34" t="s">
        <v>69</v>
      </c>
      <c r="G34" t="s">
        <v>19</v>
      </c>
      <c r="H34" t="s">
        <v>10</v>
      </c>
      <c r="I34" t="s">
        <v>21</v>
      </c>
      <c r="J34">
        <v>42000000</v>
      </c>
      <c r="K34">
        <v>1</v>
      </c>
      <c r="L34">
        <v>42000000</v>
      </c>
      <c r="M34" s="219">
        <v>46202</v>
      </c>
      <c r="N34" t="s">
        <v>23</v>
      </c>
    </row>
    <row r="35" spans="1:14" x14ac:dyDescent="0.25">
      <c r="A35" t="s">
        <v>159</v>
      </c>
      <c r="B35">
        <v>7</v>
      </c>
      <c r="C35" t="s">
        <v>310</v>
      </c>
      <c r="D35" t="s">
        <v>219</v>
      </c>
      <c r="E35" t="s">
        <v>151</v>
      </c>
      <c r="F35" t="s">
        <v>22</v>
      </c>
      <c r="G35" t="s">
        <v>19</v>
      </c>
      <c r="H35" t="s">
        <v>10</v>
      </c>
      <c r="I35" t="s">
        <v>33</v>
      </c>
      <c r="J35">
        <v>1123289.6200000001</v>
      </c>
      <c r="K35">
        <v>4.4160000000000004</v>
      </c>
      <c r="L35">
        <v>4960446.9619200006</v>
      </c>
      <c r="M35" s="219">
        <v>46198</v>
      </c>
      <c r="N35" t="s">
        <v>102</v>
      </c>
    </row>
    <row r="36" spans="1:14" x14ac:dyDescent="0.25">
      <c r="A36" t="s">
        <v>159</v>
      </c>
      <c r="B36">
        <v>8</v>
      </c>
      <c r="C36" t="s">
        <v>310</v>
      </c>
      <c r="D36" t="s">
        <v>219</v>
      </c>
      <c r="E36" t="s">
        <v>151</v>
      </c>
      <c r="F36" t="s">
        <v>22</v>
      </c>
      <c r="G36" t="s">
        <v>19</v>
      </c>
      <c r="H36" t="s">
        <v>10</v>
      </c>
      <c r="I36" t="s">
        <v>33</v>
      </c>
      <c r="J36">
        <v>1034169.01</v>
      </c>
      <c r="K36">
        <v>4.4160000000000004</v>
      </c>
      <c r="L36">
        <v>4566890.3481600005</v>
      </c>
      <c r="M36" s="219">
        <v>46202</v>
      </c>
      <c r="N36" t="s">
        <v>102</v>
      </c>
    </row>
    <row r="37" spans="1:14" x14ac:dyDescent="0.25">
      <c r="A37" t="s">
        <v>272</v>
      </c>
      <c r="B37">
        <v>3</v>
      </c>
      <c r="C37" t="s">
        <v>271</v>
      </c>
      <c r="D37" t="s">
        <v>275</v>
      </c>
      <c r="E37" t="s">
        <v>151</v>
      </c>
      <c r="F37" t="s">
        <v>22</v>
      </c>
      <c r="G37" t="s">
        <v>19</v>
      </c>
      <c r="H37" t="s">
        <v>10</v>
      </c>
      <c r="I37" t="s">
        <v>21</v>
      </c>
      <c r="J37">
        <v>652505.4</v>
      </c>
      <c r="K37">
        <v>1</v>
      </c>
      <c r="L37">
        <v>652505.4</v>
      </c>
      <c r="M37" s="219">
        <v>46205</v>
      </c>
      <c r="N37" t="s">
        <v>30</v>
      </c>
    </row>
    <row r="38" spans="1:14" x14ac:dyDescent="0.25">
      <c r="A38" t="s">
        <v>367</v>
      </c>
      <c r="B38">
        <v>1</v>
      </c>
      <c r="C38" t="s">
        <v>351</v>
      </c>
      <c r="D38" t="s">
        <v>219</v>
      </c>
      <c r="E38" t="s">
        <v>151</v>
      </c>
      <c r="F38" t="s">
        <v>22</v>
      </c>
      <c r="G38" t="s">
        <v>19</v>
      </c>
      <c r="H38" t="s">
        <v>10</v>
      </c>
      <c r="I38" t="s">
        <v>21</v>
      </c>
      <c r="J38">
        <v>500000</v>
      </c>
      <c r="K38">
        <v>1</v>
      </c>
      <c r="L38">
        <v>500000</v>
      </c>
      <c r="M38" s="219">
        <v>46215</v>
      </c>
      <c r="N38" t="s">
        <v>323</v>
      </c>
    </row>
    <row r="39" spans="1:14" x14ac:dyDescent="0.25">
      <c r="A39" t="s">
        <v>423</v>
      </c>
      <c r="B39">
        <v>1</v>
      </c>
      <c r="C39" t="s">
        <v>107</v>
      </c>
      <c r="D39" t="s">
        <v>219</v>
      </c>
      <c r="E39" t="s">
        <v>151</v>
      </c>
      <c r="F39" t="s">
        <v>22</v>
      </c>
      <c r="G39" t="s">
        <v>19</v>
      </c>
      <c r="H39" t="s">
        <v>10</v>
      </c>
      <c r="I39" t="s">
        <v>21</v>
      </c>
      <c r="J39">
        <v>2193076</v>
      </c>
      <c r="K39">
        <v>1</v>
      </c>
      <c r="L39">
        <v>2193076</v>
      </c>
      <c r="M39" s="219">
        <v>46222</v>
      </c>
      <c r="N39" t="s">
        <v>311</v>
      </c>
    </row>
    <row r="40" spans="1:14" x14ac:dyDescent="0.25">
      <c r="A40" t="s">
        <v>467</v>
      </c>
      <c r="B40">
        <v>1</v>
      </c>
      <c r="C40" t="s">
        <v>460</v>
      </c>
      <c r="D40" t="s">
        <v>24</v>
      </c>
      <c r="E40" t="s">
        <v>151</v>
      </c>
      <c r="F40" t="s">
        <v>22</v>
      </c>
      <c r="G40" t="s">
        <v>19</v>
      </c>
      <c r="H40" t="s">
        <v>10</v>
      </c>
      <c r="I40" t="s">
        <v>21</v>
      </c>
      <c r="J40">
        <v>386858.95</v>
      </c>
      <c r="K40">
        <v>1</v>
      </c>
      <c r="L40">
        <v>386858.95</v>
      </c>
      <c r="M40" s="219">
        <v>46253</v>
      </c>
      <c r="N40" t="s">
        <v>23</v>
      </c>
    </row>
    <row r="41" spans="1:14" x14ac:dyDescent="0.25">
      <c r="A41" t="s">
        <v>245</v>
      </c>
      <c r="B41">
        <v>10</v>
      </c>
      <c r="C41" t="s">
        <v>206</v>
      </c>
      <c r="D41" t="s">
        <v>24</v>
      </c>
      <c r="E41" t="s">
        <v>117</v>
      </c>
      <c r="F41" t="s">
        <v>25</v>
      </c>
      <c r="G41" t="s">
        <v>19</v>
      </c>
      <c r="H41" t="s">
        <v>10</v>
      </c>
      <c r="I41" t="s">
        <v>21</v>
      </c>
      <c r="J41">
        <v>467861.1</v>
      </c>
      <c r="K41">
        <v>1</v>
      </c>
      <c r="L41">
        <v>467861.1</v>
      </c>
      <c r="M41" s="219">
        <v>46212</v>
      </c>
      <c r="N41" t="s">
        <v>38</v>
      </c>
    </row>
    <row r="42" spans="1:14" x14ac:dyDescent="0.25">
      <c r="A42" t="s">
        <v>245</v>
      </c>
      <c r="B42">
        <v>11</v>
      </c>
      <c r="C42" t="s">
        <v>206</v>
      </c>
      <c r="D42" t="s">
        <v>24</v>
      </c>
      <c r="E42" t="s">
        <v>117</v>
      </c>
      <c r="F42" t="s">
        <v>25</v>
      </c>
      <c r="G42" t="s">
        <v>19</v>
      </c>
      <c r="H42" t="s">
        <v>10</v>
      </c>
      <c r="I42" t="s">
        <v>21</v>
      </c>
      <c r="J42">
        <v>284755.58</v>
      </c>
      <c r="K42">
        <v>1</v>
      </c>
      <c r="L42">
        <v>284755.58</v>
      </c>
      <c r="M42" s="219">
        <v>46205</v>
      </c>
      <c r="N42" t="s">
        <v>38</v>
      </c>
    </row>
    <row r="43" spans="1:14" x14ac:dyDescent="0.25">
      <c r="A43" t="s">
        <v>297</v>
      </c>
      <c r="B43">
        <v>1</v>
      </c>
      <c r="C43" t="s">
        <v>286</v>
      </c>
      <c r="D43" t="s">
        <v>20</v>
      </c>
      <c r="E43" t="s">
        <v>117</v>
      </c>
      <c r="F43" t="s">
        <v>25</v>
      </c>
      <c r="G43" t="s">
        <v>19</v>
      </c>
      <c r="H43" t="s">
        <v>10</v>
      </c>
      <c r="I43" t="s">
        <v>21</v>
      </c>
      <c r="J43">
        <v>500000</v>
      </c>
      <c r="K43">
        <v>1</v>
      </c>
      <c r="L43">
        <v>500000</v>
      </c>
      <c r="M43" s="219">
        <v>46222</v>
      </c>
      <c r="N43" t="s">
        <v>282</v>
      </c>
    </row>
    <row r="44" spans="1:14" x14ac:dyDescent="0.25">
      <c r="A44" t="s">
        <v>298</v>
      </c>
      <c r="B44">
        <v>1</v>
      </c>
      <c r="C44" t="s">
        <v>287</v>
      </c>
      <c r="D44" t="s">
        <v>20</v>
      </c>
      <c r="E44" t="s">
        <v>117</v>
      </c>
      <c r="F44" t="s">
        <v>25</v>
      </c>
      <c r="G44" t="s">
        <v>19</v>
      </c>
      <c r="H44" t="s">
        <v>10</v>
      </c>
      <c r="I44" t="s">
        <v>21</v>
      </c>
      <c r="J44">
        <v>489669.97</v>
      </c>
      <c r="K44">
        <v>1</v>
      </c>
      <c r="L44">
        <v>489669.97</v>
      </c>
      <c r="M44" s="219">
        <v>46236</v>
      </c>
      <c r="N44" t="s">
        <v>282</v>
      </c>
    </row>
    <row r="45" spans="1:14" x14ac:dyDescent="0.25">
      <c r="A45" t="s">
        <v>292</v>
      </c>
      <c r="B45">
        <v>1</v>
      </c>
      <c r="C45" t="s">
        <v>29</v>
      </c>
      <c r="D45" t="s">
        <v>20</v>
      </c>
      <c r="E45" t="s">
        <v>117</v>
      </c>
      <c r="F45" t="s">
        <v>25</v>
      </c>
      <c r="G45" t="s">
        <v>19</v>
      </c>
      <c r="H45" t="s">
        <v>10</v>
      </c>
      <c r="I45" t="s">
        <v>21</v>
      </c>
      <c r="J45">
        <v>567743.27</v>
      </c>
      <c r="K45">
        <v>1</v>
      </c>
      <c r="L45">
        <v>567743.27</v>
      </c>
      <c r="M45" s="219">
        <v>46236</v>
      </c>
      <c r="N45" t="s">
        <v>282</v>
      </c>
    </row>
    <row r="46" spans="1:14" x14ac:dyDescent="0.25">
      <c r="A46" t="s">
        <v>294</v>
      </c>
      <c r="B46">
        <v>1</v>
      </c>
      <c r="C46" t="s">
        <v>283</v>
      </c>
      <c r="D46" t="s">
        <v>20</v>
      </c>
      <c r="E46" t="s">
        <v>117</v>
      </c>
      <c r="F46" t="s">
        <v>25</v>
      </c>
      <c r="G46" t="s">
        <v>19</v>
      </c>
      <c r="H46" t="s">
        <v>10</v>
      </c>
      <c r="I46" t="s">
        <v>21</v>
      </c>
      <c r="J46">
        <v>500000</v>
      </c>
      <c r="K46">
        <v>1</v>
      </c>
      <c r="L46">
        <v>500000</v>
      </c>
      <c r="M46" s="219">
        <v>46217</v>
      </c>
      <c r="N46" t="s">
        <v>282</v>
      </c>
    </row>
    <row r="47" spans="1:14" x14ac:dyDescent="0.25">
      <c r="A47" t="s">
        <v>334</v>
      </c>
      <c r="B47">
        <v>1</v>
      </c>
      <c r="C47" t="s">
        <v>330</v>
      </c>
      <c r="D47" t="s">
        <v>20</v>
      </c>
      <c r="E47" t="s">
        <v>117</v>
      </c>
      <c r="F47" t="s">
        <v>25</v>
      </c>
      <c r="G47" t="s">
        <v>19</v>
      </c>
      <c r="H47" t="s">
        <v>10</v>
      </c>
      <c r="I47" t="s">
        <v>21</v>
      </c>
      <c r="J47">
        <v>1000000</v>
      </c>
      <c r="K47">
        <v>1</v>
      </c>
      <c r="L47">
        <v>1000000</v>
      </c>
      <c r="M47" s="219">
        <v>46217</v>
      </c>
      <c r="N47" t="s">
        <v>282</v>
      </c>
    </row>
    <row r="48" spans="1:14" x14ac:dyDescent="0.25">
      <c r="A48" t="s">
        <v>336</v>
      </c>
      <c r="B48">
        <v>1</v>
      </c>
      <c r="C48" t="s">
        <v>286</v>
      </c>
      <c r="D48" t="s">
        <v>20</v>
      </c>
      <c r="E48" t="s">
        <v>117</v>
      </c>
      <c r="F48" t="s">
        <v>25</v>
      </c>
      <c r="G48" t="s">
        <v>19</v>
      </c>
      <c r="H48" t="s">
        <v>10</v>
      </c>
      <c r="I48" t="s">
        <v>21</v>
      </c>
      <c r="J48">
        <v>500000</v>
      </c>
      <c r="K48">
        <v>1</v>
      </c>
      <c r="L48">
        <v>500000</v>
      </c>
      <c r="M48" s="219">
        <v>46208</v>
      </c>
      <c r="N48" t="s">
        <v>282</v>
      </c>
    </row>
    <row r="49" spans="1:14" x14ac:dyDescent="0.25">
      <c r="A49" t="s">
        <v>335</v>
      </c>
      <c r="B49">
        <v>1</v>
      </c>
      <c r="C49" t="s">
        <v>331</v>
      </c>
      <c r="D49" t="s">
        <v>20</v>
      </c>
      <c r="E49" t="s">
        <v>117</v>
      </c>
      <c r="F49" t="s">
        <v>25</v>
      </c>
      <c r="G49" t="s">
        <v>19</v>
      </c>
      <c r="H49" t="s">
        <v>10</v>
      </c>
      <c r="I49" t="s">
        <v>21</v>
      </c>
      <c r="J49">
        <v>710700</v>
      </c>
      <c r="K49">
        <v>1</v>
      </c>
      <c r="L49">
        <v>710700</v>
      </c>
      <c r="M49" s="219">
        <v>46217</v>
      </c>
      <c r="N49" t="s">
        <v>282</v>
      </c>
    </row>
    <row r="50" spans="1:14" x14ac:dyDescent="0.25">
      <c r="A50" t="s">
        <v>379</v>
      </c>
      <c r="B50">
        <v>2</v>
      </c>
      <c r="C50" t="s">
        <v>206</v>
      </c>
      <c r="D50" t="s">
        <v>24</v>
      </c>
      <c r="E50" t="s">
        <v>117</v>
      </c>
      <c r="F50" t="s">
        <v>25</v>
      </c>
      <c r="G50" t="s">
        <v>19</v>
      </c>
      <c r="H50" t="s">
        <v>10</v>
      </c>
      <c r="I50" t="s">
        <v>21</v>
      </c>
      <c r="J50">
        <v>735540</v>
      </c>
      <c r="K50">
        <v>1</v>
      </c>
      <c r="L50">
        <v>735540</v>
      </c>
      <c r="M50" s="219">
        <v>46208</v>
      </c>
      <c r="N50" t="s">
        <v>368</v>
      </c>
    </row>
    <row r="51" spans="1:14" x14ac:dyDescent="0.25">
      <c r="A51" t="s">
        <v>397</v>
      </c>
      <c r="B51">
        <v>3</v>
      </c>
      <c r="C51" t="s">
        <v>361</v>
      </c>
      <c r="D51" t="s">
        <v>24</v>
      </c>
      <c r="E51" t="s">
        <v>267</v>
      </c>
      <c r="F51" t="s">
        <v>68</v>
      </c>
      <c r="G51" t="s">
        <v>19</v>
      </c>
      <c r="H51" t="s">
        <v>10</v>
      </c>
      <c r="I51" t="s">
        <v>21</v>
      </c>
      <c r="J51">
        <v>949900</v>
      </c>
      <c r="K51">
        <v>1</v>
      </c>
      <c r="L51">
        <v>949900</v>
      </c>
      <c r="M51" s="219">
        <v>46215</v>
      </c>
      <c r="N51" t="s">
        <v>30</v>
      </c>
    </row>
    <row r="52" spans="1:14" x14ac:dyDescent="0.25">
      <c r="A52" t="s">
        <v>185</v>
      </c>
      <c r="B52">
        <v>2</v>
      </c>
      <c r="C52" t="s">
        <v>160</v>
      </c>
      <c r="D52" t="s">
        <v>20</v>
      </c>
      <c r="E52" t="s">
        <v>103</v>
      </c>
      <c r="F52" t="s">
        <v>18</v>
      </c>
      <c r="G52" t="s">
        <v>19</v>
      </c>
      <c r="H52" t="s">
        <v>10</v>
      </c>
      <c r="I52" t="s">
        <v>21</v>
      </c>
      <c r="J52">
        <v>702587.67</v>
      </c>
      <c r="K52">
        <v>1</v>
      </c>
      <c r="L52">
        <v>702587.67</v>
      </c>
      <c r="M52" s="219">
        <v>46233</v>
      </c>
      <c r="N52" t="s">
        <v>142</v>
      </c>
    </row>
    <row r="53" spans="1:14" x14ac:dyDescent="0.25">
      <c r="A53" t="s">
        <v>240</v>
      </c>
      <c r="B53">
        <v>10</v>
      </c>
      <c r="C53" t="s">
        <v>235</v>
      </c>
      <c r="D53" t="s">
        <v>24</v>
      </c>
      <c r="E53" t="s">
        <v>106</v>
      </c>
      <c r="F53" t="s">
        <v>18</v>
      </c>
      <c r="G53" t="s">
        <v>19</v>
      </c>
      <c r="H53" t="s">
        <v>10</v>
      </c>
      <c r="I53" t="s">
        <v>21</v>
      </c>
      <c r="J53">
        <v>412500</v>
      </c>
      <c r="K53">
        <v>1</v>
      </c>
      <c r="L53">
        <v>412500</v>
      </c>
      <c r="M53" s="219">
        <v>46204</v>
      </c>
      <c r="N53" t="s">
        <v>236</v>
      </c>
    </row>
    <row r="54" spans="1:14" x14ac:dyDescent="0.25">
      <c r="A54" t="s">
        <v>274</v>
      </c>
      <c r="B54">
        <v>4</v>
      </c>
      <c r="C54" t="s">
        <v>270</v>
      </c>
      <c r="D54" t="s">
        <v>24</v>
      </c>
      <c r="E54" t="s">
        <v>105</v>
      </c>
      <c r="F54" t="s">
        <v>18</v>
      </c>
      <c r="G54" t="s">
        <v>19</v>
      </c>
      <c r="H54" t="s">
        <v>338</v>
      </c>
      <c r="I54" t="s">
        <v>33</v>
      </c>
      <c r="J54">
        <v>270000</v>
      </c>
      <c r="K54">
        <v>4.4394999999999998</v>
      </c>
      <c r="L54">
        <v>1198665</v>
      </c>
      <c r="M54" s="219">
        <v>46199</v>
      </c>
      <c r="N54" t="s">
        <v>313</v>
      </c>
    </row>
    <row r="55" spans="1:14" x14ac:dyDescent="0.25">
      <c r="A55" t="s">
        <v>347</v>
      </c>
      <c r="B55">
        <v>4</v>
      </c>
      <c r="C55" t="s">
        <v>366</v>
      </c>
      <c r="D55" t="s">
        <v>20</v>
      </c>
      <c r="E55" t="s">
        <v>105</v>
      </c>
      <c r="F55" t="s">
        <v>18</v>
      </c>
      <c r="G55" t="s">
        <v>19</v>
      </c>
      <c r="H55" t="s">
        <v>10</v>
      </c>
      <c r="I55" t="s">
        <v>21</v>
      </c>
      <c r="J55">
        <v>6000000</v>
      </c>
      <c r="K55">
        <v>1</v>
      </c>
      <c r="L55">
        <v>6000000</v>
      </c>
      <c r="M55" s="219">
        <v>46202</v>
      </c>
      <c r="N55" t="s">
        <v>23</v>
      </c>
    </row>
    <row r="56" spans="1:14" x14ac:dyDescent="0.25">
      <c r="A56" t="s">
        <v>420</v>
      </c>
      <c r="B56">
        <v>1</v>
      </c>
      <c r="C56" t="s">
        <v>374</v>
      </c>
      <c r="D56" t="s">
        <v>24</v>
      </c>
      <c r="E56" t="s">
        <v>27</v>
      </c>
      <c r="F56" t="s">
        <v>18</v>
      </c>
      <c r="G56" t="s">
        <v>19</v>
      </c>
      <c r="H56" t="s">
        <v>10</v>
      </c>
      <c r="I56" t="s">
        <v>21</v>
      </c>
      <c r="J56">
        <v>21481033</v>
      </c>
      <c r="K56">
        <v>1</v>
      </c>
      <c r="L56">
        <v>21481033</v>
      </c>
      <c r="M56" s="219">
        <v>46241</v>
      </c>
      <c r="N56" t="s">
        <v>142</v>
      </c>
    </row>
    <row r="57" spans="1:14" x14ac:dyDescent="0.25">
      <c r="A57" t="s">
        <v>421</v>
      </c>
      <c r="B57">
        <v>1</v>
      </c>
      <c r="C57" t="s">
        <v>418</v>
      </c>
      <c r="D57" t="s">
        <v>24</v>
      </c>
      <c r="E57" t="s">
        <v>17</v>
      </c>
      <c r="F57" t="s">
        <v>18</v>
      </c>
      <c r="G57" t="s">
        <v>19</v>
      </c>
      <c r="H57" t="s">
        <v>10</v>
      </c>
      <c r="I57" t="s">
        <v>21</v>
      </c>
      <c r="J57">
        <v>5643717.4500000002</v>
      </c>
      <c r="K57">
        <v>1</v>
      </c>
      <c r="L57">
        <v>5643717.4500000002</v>
      </c>
      <c r="M57" s="219">
        <v>46223</v>
      </c>
      <c r="N57" t="s">
        <v>23</v>
      </c>
    </row>
    <row r="58" spans="1:14" x14ac:dyDescent="0.25">
      <c r="A58" t="s">
        <v>421</v>
      </c>
      <c r="B58">
        <v>2</v>
      </c>
      <c r="C58" t="s">
        <v>418</v>
      </c>
      <c r="D58" t="s">
        <v>24</v>
      </c>
      <c r="E58" t="s">
        <v>17</v>
      </c>
      <c r="F58" t="s">
        <v>18</v>
      </c>
      <c r="G58" t="s">
        <v>19</v>
      </c>
      <c r="H58" t="s">
        <v>10</v>
      </c>
      <c r="I58" t="s">
        <v>21</v>
      </c>
      <c r="J58">
        <v>2593391.5299999998</v>
      </c>
      <c r="K58">
        <v>1</v>
      </c>
      <c r="L58">
        <v>2593391.5299999998</v>
      </c>
      <c r="M58" s="219">
        <v>46244</v>
      </c>
      <c r="N58" t="s">
        <v>23</v>
      </c>
    </row>
    <row r="59" spans="1:14" x14ac:dyDescent="0.25">
      <c r="A59" t="s">
        <v>434</v>
      </c>
      <c r="B59">
        <v>4</v>
      </c>
      <c r="C59" t="s">
        <v>428</v>
      </c>
      <c r="D59" t="s">
        <v>183</v>
      </c>
      <c r="E59" t="s">
        <v>105</v>
      </c>
      <c r="F59" t="s">
        <v>18</v>
      </c>
      <c r="G59" t="s">
        <v>19</v>
      </c>
      <c r="H59" t="s">
        <v>10</v>
      </c>
      <c r="I59" t="s">
        <v>21</v>
      </c>
      <c r="J59">
        <v>4724333.9400000004</v>
      </c>
      <c r="K59">
        <v>1</v>
      </c>
      <c r="L59">
        <v>4724333.9400000004</v>
      </c>
      <c r="M59" s="219">
        <v>46221</v>
      </c>
      <c r="N59" t="s">
        <v>244</v>
      </c>
    </row>
    <row r="60" spans="1:14" x14ac:dyDescent="0.25">
      <c r="A60" t="s">
        <v>434</v>
      </c>
      <c r="B60">
        <v>3</v>
      </c>
      <c r="C60" t="s">
        <v>428</v>
      </c>
      <c r="D60" t="s">
        <v>183</v>
      </c>
      <c r="E60" t="s">
        <v>105</v>
      </c>
      <c r="F60" t="s">
        <v>18</v>
      </c>
      <c r="G60" t="s">
        <v>19</v>
      </c>
      <c r="H60" t="s">
        <v>10</v>
      </c>
      <c r="I60" t="s">
        <v>21</v>
      </c>
      <c r="J60">
        <v>4000000</v>
      </c>
      <c r="K60">
        <v>1</v>
      </c>
      <c r="L60">
        <v>4000000</v>
      </c>
      <c r="M60" s="219">
        <v>46222</v>
      </c>
      <c r="N60" t="s">
        <v>244</v>
      </c>
    </row>
    <row r="61" spans="1:14" x14ac:dyDescent="0.25">
      <c r="A61" t="s">
        <v>434</v>
      </c>
      <c r="B61">
        <v>2</v>
      </c>
      <c r="C61" t="s">
        <v>428</v>
      </c>
      <c r="D61" t="s">
        <v>183</v>
      </c>
      <c r="E61" t="s">
        <v>105</v>
      </c>
      <c r="F61" t="s">
        <v>18</v>
      </c>
      <c r="G61" t="s">
        <v>19</v>
      </c>
      <c r="H61" t="s">
        <v>10</v>
      </c>
      <c r="I61" t="s">
        <v>21</v>
      </c>
      <c r="J61">
        <v>7000000</v>
      </c>
      <c r="K61">
        <v>1</v>
      </c>
      <c r="L61">
        <v>7000000</v>
      </c>
      <c r="M61" s="219">
        <v>46221</v>
      </c>
      <c r="N61" t="s">
        <v>244</v>
      </c>
    </row>
  </sheetData>
  <phoneticPr fontId="16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2E9EB-0DDE-443D-80D0-91D8180D7290}">
  <sheetPr codeName="Sheet1"/>
  <dimension ref="A1:X6"/>
  <sheetViews>
    <sheetView workbookViewId="0"/>
  </sheetViews>
  <sheetFormatPr defaultRowHeight="15" x14ac:dyDescent="0.25"/>
  <cols>
    <col min="1" max="2" width="13" bestFit="1" customWidth="1"/>
    <col min="3" max="3" width="17.28515625" bestFit="1" customWidth="1"/>
    <col min="4" max="4" width="20.28515625" bestFit="1" customWidth="1"/>
    <col min="5" max="5" width="13.28515625" bestFit="1" customWidth="1"/>
    <col min="6" max="6" width="15.140625" bestFit="1" customWidth="1"/>
    <col min="7" max="7" width="54" bestFit="1" customWidth="1"/>
    <col min="8" max="8" width="17.5703125" bestFit="1" customWidth="1"/>
    <col min="9" max="9" width="18.42578125" bestFit="1" customWidth="1"/>
    <col min="10" max="10" width="14.5703125" bestFit="1" customWidth="1"/>
    <col min="11" max="11" width="7" bestFit="1" customWidth="1"/>
    <col min="12" max="12" width="14" bestFit="1" customWidth="1"/>
    <col min="13" max="13" width="7.28515625" bestFit="1" customWidth="1"/>
    <col min="14" max="14" width="14.28515625" bestFit="1" customWidth="1"/>
    <col min="15" max="15" width="13.28515625" bestFit="1" customWidth="1"/>
    <col min="16" max="16" width="15.7109375" bestFit="1" customWidth="1"/>
    <col min="17" max="17" width="7.85546875" bestFit="1" customWidth="1"/>
    <col min="18" max="18" width="49.5703125" bestFit="1" customWidth="1"/>
    <col min="19" max="19" width="14" bestFit="1" customWidth="1"/>
    <col min="20" max="20" width="20.140625" bestFit="1" customWidth="1"/>
    <col min="21" max="21" width="17.7109375" bestFit="1" customWidth="1"/>
    <col min="22" max="22" width="24.7109375" bestFit="1" customWidth="1"/>
    <col min="23" max="23" width="46.5703125" bestFit="1" customWidth="1"/>
    <col min="24" max="24" width="18.5703125" bestFit="1" customWidth="1"/>
    <col min="25" max="26" width="17.7109375" bestFit="1" customWidth="1"/>
    <col min="27" max="27" width="11.7109375" bestFit="1" customWidth="1"/>
    <col min="28" max="28" width="20.42578125" bestFit="1" customWidth="1"/>
    <col min="29" max="29" width="12.140625" bestFit="1" customWidth="1"/>
    <col min="30" max="30" width="18" bestFit="1" customWidth="1"/>
  </cols>
  <sheetData>
    <row r="1" spans="1:24" x14ac:dyDescent="0.25">
      <c r="A1" s="2" t="s">
        <v>0</v>
      </c>
      <c r="B1" s="2" t="s">
        <v>1</v>
      </c>
      <c r="C1" t="s">
        <v>161</v>
      </c>
      <c r="D1" t="s">
        <v>58</v>
      </c>
      <c r="E1" t="s">
        <v>14</v>
      </c>
      <c r="F1" s="2" t="s">
        <v>111</v>
      </c>
      <c r="G1" s="2" t="s">
        <v>2</v>
      </c>
      <c r="H1" s="2" t="s">
        <v>3</v>
      </c>
      <c r="I1" s="2" t="s">
        <v>4</v>
      </c>
      <c r="J1" t="s">
        <v>162</v>
      </c>
      <c r="K1" s="2" t="s">
        <v>5</v>
      </c>
      <c r="L1" s="2" t="s">
        <v>6</v>
      </c>
      <c r="M1" s="2" t="s">
        <v>7</v>
      </c>
      <c r="N1" s="2" t="s">
        <v>8</v>
      </c>
      <c r="O1" s="2" t="s">
        <v>12</v>
      </c>
      <c r="P1" s="2" t="s">
        <v>13</v>
      </c>
      <c r="Q1" s="2" t="s">
        <v>15</v>
      </c>
      <c r="R1" s="2" t="s">
        <v>16</v>
      </c>
      <c r="S1" t="s">
        <v>163</v>
      </c>
      <c r="T1" t="s">
        <v>164</v>
      </c>
      <c r="U1" t="s">
        <v>165</v>
      </c>
      <c r="V1" t="s">
        <v>166</v>
      </c>
      <c r="W1" t="s">
        <v>167</v>
      </c>
      <c r="X1" s="2" t="s">
        <v>113</v>
      </c>
    </row>
    <row r="2" spans="1:24" x14ac:dyDescent="0.25">
      <c r="B2" s="219">
        <v>46125</v>
      </c>
      <c r="C2" t="s">
        <v>430</v>
      </c>
      <c r="D2" t="s">
        <v>435</v>
      </c>
      <c r="E2" t="s">
        <v>25</v>
      </c>
      <c r="F2" t="s">
        <v>117</v>
      </c>
      <c r="G2" t="s">
        <v>374</v>
      </c>
      <c r="H2" t="s">
        <v>24</v>
      </c>
      <c r="I2" t="s">
        <v>117</v>
      </c>
      <c r="J2">
        <v>1020096</v>
      </c>
      <c r="K2" t="s">
        <v>21</v>
      </c>
      <c r="L2">
        <v>3000000</v>
      </c>
      <c r="M2">
        <v>1</v>
      </c>
      <c r="N2">
        <v>3000000</v>
      </c>
      <c r="O2" s="219">
        <v>46234</v>
      </c>
      <c r="P2" s="219">
        <v>46234</v>
      </c>
      <c r="Q2" t="s">
        <v>19</v>
      </c>
      <c r="R2" t="s">
        <v>431</v>
      </c>
      <c r="V2">
        <v>0</v>
      </c>
      <c r="W2" t="s">
        <v>448</v>
      </c>
      <c r="X2" t="s">
        <v>115</v>
      </c>
    </row>
    <row r="3" spans="1:24" x14ac:dyDescent="0.25">
      <c r="B3" s="219">
        <v>46127</v>
      </c>
      <c r="C3" t="s">
        <v>455</v>
      </c>
      <c r="D3" t="s">
        <v>456</v>
      </c>
      <c r="E3" t="s">
        <v>457</v>
      </c>
      <c r="F3" t="s">
        <v>436</v>
      </c>
      <c r="G3" t="s">
        <v>458</v>
      </c>
      <c r="H3" t="s">
        <v>24</v>
      </c>
      <c r="I3" t="s">
        <v>436</v>
      </c>
      <c r="J3">
        <v>1020091</v>
      </c>
      <c r="K3" t="s">
        <v>21</v>
      </c>
      <c r="L3">
        <v>209346521</v>
      </c>
      <c r="M3">
        <v>1</v>
      </c>
      <c r="N3">
        <v>209346521</v>
      </c>
      <c r="O3" s="219">
        <v>46419</v>
      </c>
      <c r="P3" s="219">
        <v>46419</v>
      </c>
      <c r="Q3" t="s">
        <v>19</v>
      </c>
      <c r="R3" t="s">
        <v>459</v>
      </c>
      <c r="V3">
        <v>0</v>
      </c>
      <c r="W3" t="s">
        <v>549</v>
      </c>
      <c r="X3" t="s">
        <v>115</v>
      </c>
    </row>
    <row r="4" spans="1:24" x14ac:dyDescent="0.25">
      <c r="B4" s="219">
        <v>46190</v>
      </c>
      <c r="C4" t="s">
        <v>455</v>
      </c>
      <c r="D4" t="s">
        <v>456</v>
      </c>
      <c r="E4" t="s">
        <v>457</v>
      </c>
      <c r="F4" t="s">
        <v>436</v>
      </c>
      <c r="G4" t="s">
        <v>551</v>
      </c>
      <c r="H4" t="s">
        <v>24</v>
      </c>
      <c r="I4" t="s">
        <v>436</v>
      </c>
      <c r="J4">
        <v>1020091</v>
      </c>
      <c r="K4" t="s">
        <v>21</v>
      </c>
      <c r="L4">
        <v>77325315.5</v>
      </c>
      <c r="M4">
        <v>1</v>
      </c>
      <c r="N4">
        <v>77325315.5</v>
      </c>
      <c r="O4" s="219">
        <v>46325</v>
      </c>
      <c r="P4" s="219">
        <v>46295</v>
      </c>
      <c r="Q4" t="s">
        <v>19</v>
      </c>
      <c r="R4" t="s">
        <v>142</v>
      </c>
      <c r="V4">
        <v>0</v>
      </c>
      <c r="W4" t="s">
        <v>552</v>
      </c>
      <c r="X4" t="s">
        <v>115</v>
      </c>
    </row>
    <row r="5" spans="1:24" x14ac:dyDescent="0.25">
      <c r="B5" s="219">
        <v>46195</v>
      </c>
      <c r="C5" t="s">
        <v>565</v>
      </c>
      <c r="D5" t="s">
        <v>435</v>
      </c>
      <c r="E5" t="s">
        <v>69</v>
      </c>
      <c r="F5" t="s">
        <v>75</v>
      </c>
      <c r="G5" t="s">
        <v>566</v>
      </c>
      <c r="H5" t="s">
        <v>20</v>
      </c>
      <c r="I5" t="s">
        <v>75</v>
      </c>
      <c r="J5">
        <v>1020106</v>
      </c>
      <c r="K5" t="s">
        <v>21</v>
      </c>
      <c r="L5">
        <v>3422137.8</v>
      </c>
      <c r="M5">
        <v>1</v>
      </c>
      <c r="N5">
        <v>3422137.8</v>
      </c>
      <c r="O5" s="219">
        <v>46295</v>
      </c>
      <c r="P5" s="219">
        <v>46295</v>
      </c>
      <c r="Q5" t="s">
        <v>19</v>
      </c>
      <c r="R5" t="s">
        <v>244</v>
      </c>
      <c r="V5">
        <v>0</v>
      </c>
      <c r="W5" t="s">
        <v>567</v>
      </c>
      <c r="X5" t="s">
        <v>115</v>
      </c>
    </row>
    <row r="6" spans="1:24" x14ac:dyDescent="0.25">
      <c r="B6" s="219">
        <v>46195</v>
      </c>
      <c r="C6" t="s">
        <v>568</v>
      </c>
      <c r="D6" t="s">
        <v>435</v>
      </c>
      <c r="E6" t="s">
        <v>22</v>
      </c>
      <c r="F6" t="s">
        <v>114</v>
      </c>
      <c r="G6" t="s">
        <v>181</v>
      </c>
      <c r="H6" t="s">
        <v>24</v>
      </c>
      <c r="I6" t="s">
        <v>106</v>
      </c>
      <c r="J6">
        <v>1020107</v>
      </c>
      <c r="K6" t="s">
        <v>21</v>
      </c>
      <c r="L6">
        <v>1017646</v>
      </c>
      <c r="M6">
        <v>1</v>
      </c>
      <c r="N6">
        <v>1017646</v>
      </c>
      <c r="O6" s="219">
        <v>46326</v>
      </c>
      <c r="P6" s="219">
        <v>46326</v>
      </c>
      <c r="Q6" t="s">
        <v>19</v>
      </c>
      <c r="R6" t="s">
        <v>182</v>
      </c>
      <c r="V6">
        <v>0</v>
      </c>
      <c r="W6" t="s">
        <v>567</v>
      </c>
      <c r="X6" t="s">
        <v>115</v>
      </c>
    </row>
  </sheetData>
  <phoneticPr fontId="16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9D726-8966-4A27-BFD1-0E7798B4BCA3}">
  <sheetPr codeName="V_Summary"/>
  <dimension ref="B3:P58"/>
  <sheetViews>
    <sheetView showGridLines="0" topLeftCell="A38" workbookViewId="0"/>
  </sheetViews>
  <sheetFormatPr defaultColWidth="8.7109375" defaultRowHeight="15" x14ac:dyDescent="0.25"/>
  <cols>
    <col min="1" max="1" width="8.7109375" style="37" customWidth="1"/>
    <col min="2" max="2" width="8.7109375" style="37" hidden="1" customWidth="1"/>
    <col min="3" max="3" width="23.42578125" style="37" customWidth="1"/>
    <col min="4" max="4" width="32.42578125" style="37" bestFit="1" customWidth="1"/>
    <col min="5" max="5" width="15.5703125" style="37" bestFit="1" customWidth="1"/>
    <col min="6" max="6" width="15.140625" style="37" bestFit="1" customWidth="1"/>
    <col min="7" max="7" width="28.5703125" style="37" bestFit="1" customWidth="1"/>
    <col min="8" max="10" width="8.7109375" style="37"/>
    <col min="11" max="11" width="8.7109375" style="37" hidden="1" customWidth="1"/>
    <col min="12" max="12" width="18.28515625" style="37" bestFit="1" customWidth="1"/>
    <col min="13" max="16" width="26.140625" style="37" customWidth="1"/>
    <col min="17" max="19" width="17.28515625" style="37" customWidth="1"/>
    <col min="20" max="16384" width="8.7109375" style="37"/>
  </cols>
  <sheetData>
    <row r="3" spans="2:16" ht="20.25" x14ac:dyDescent="0.3">
      <c r="B3" s="82"/>
      <c r="C3" s="227" t="s">
        <v>85</v>
      </c>
      <c r="D3" s="227"/>
      <c r="E3" s="227"/>
      <c r="F3" s="227"/>
      <c r="G3" s="227"/>
      <c r="L3" s="227" t="s">
        <v>86</v>
      </c>
      <c r="M3" s="227"/>
      <c r="N3" s="227"/>
      <c r="O3" s="227"/>
      <c r="P3" s="227"/>
    </row>
    <row r="4" spans="2:16" ht="15.75" thickBot="1" x14ac:dyDescent="0.3"/>
    <row r="5" spans="2:16" ht="16.5" thickBot="1" x14ac:dyDescent="0.3">
      <c r="B5" s="37" t="s">
        <v>25</v>
      </c>
      <c r="C5" s="208" t="s">
        <v>70</v>
      </c>
      <c r="D5" s="190" t="s">
        <v>76</v>
      </c>
      <c r="E5" s="190" t="s">
        <v>77</v>
      </c>
      <c r="F5" s="35" t="s">
        <v>78</v>
      </c>
      <c r="G5" s="191" t="s">
        <v>79</v>
      </c>
      <c r="L5" s="79" t="s">
        <v>14</v>
      </c>
      <c r="M5" s="80" t="s">
        <v>3</v>
      </c>
      <c r="N5" s="80" t="s">
        <v>4</v>
      </c>
      <c r="O5" s="80" t="s">
        <v>87</v>
      </c>
      <c r="P5" s="81" t="s">
        <v>88</v>
      </c>
    </row>
    <row r="6" spans="2:16" x14ac:dyDescent="0.25">
      <c r="B6" s="37" t="s">
        <v>19</v>
      </c>
      <c r="C6" s="38" t="s">
        <v>80</v>
      </c>
      <c r="D6" s="39">
        <f>SUMIFS('M_LC Summary'!$K:$K,'M_LC Summary'!$F:$F,$B$5,'M_LC Summary'!$G:$G,B6)-SUMIFS('M_LC Summary'!$L:$L,'M_LC Summary'!$F:$F,$B$5,'M_LC Summary'!$G:$G,B6)</f>
        <v>32716306.289809998</v>
      </c>
      <c r="E6" s="39">
        <f>SUMIFS('M_LC Summary'!$M:$M,'M_LC Summary'!$F:$F,$B$5,'M_LC Summary'!$G:$G,B6)</f>
        <v>5756269.9199999999</v>
      </c>
      <c r="F6" s="40">
        <v>0</v>
      </c>
      <c r="G6" s="40">
        <f>D6+F6</f>
        <v>32716306.289809998</v>
      </c>
      <c r="K6" s="37" t="s">
        <v>18</v>
      </c>
      <c r="L6" s="166" t="s">
        <v>83</v>
      </c>
      <c r="M6" s="166" t="s">
        <v>20</v>
      </c>
      <c r="N6" s="166" t="s">
        <v>17</v>
      </c>
      <c r="O6" s="170">
        <f>SUMIFS('M_LC Summary'!$N:$N,'M_LC Summary'!$F:$F,V_Summary!K6,'M_LC Summary'!$D:$D,V_Summary!M6,'M_LC Summary'!$E:$E,V_Summary!N6)</f>
        <v>1970615.2899999998</v>
      </c>
      <c r="P6" s="170">
        <f>SUMIFS('M_LC Summary'!$M:$M,'M_LC Summary'!$F:$F,V_Summary!$K6,'M_LC Summary'!$D:$D,V_Summary!$M6,'M_LC Summary'!$E:$E,V_Summary!$N6)</f>
        <v>0</v>
      </c>
    </row>
    <row r="7" spans="2:16" x14ac:dyDescent="0.25">
      <c r="B7" s="37" t="s">
        <v>32</v>
      </c>
      <c r="C7" s="41" t="s">
        <v>81</v>
      </c>
      <c r="D7" s="39">
        <f>SUMIFS('M_LC Summary'!$K:$K,'M_LC Summary'!$F:$F,$B$5,'M_LC Summary'!$G:$G,B7)-SUMIFS('M_LC Summary'!$L:$L,'M_LC Summary'!$F:$F,$B$5,'M_LC Summary'!$G:$G,B7)</f>
        <v>2024556.2269988656</v>
      </c>
      <c r="E7" s="39">
        <f>SUMIFS('M_LC Summary'!$M:$M,'M_LC Summary'!$F:$F,$B$5,'M_LC Summary'!$G:$G,B7)</f>
        <v>0</v>
      </c>
      <c r="F7" s="42">
        <v>0</v>
      </c>
      <c r="G7" s="40">
        <f>D7+F7</f>
        <v>2024556.2269988656</v>
      </c>
      <c r="K7" s="37" t="s">
        <v>18</v>
      </c>
      <c r="L7" s="167" t="s">
        <v>83</v>
      </c>
      <c r="M7" s="167" t="s">
        <v>20</v>
      </c>
      <c r="N7" s="167" t="s">
        <v>103</v>
      </c>
      <c r="O7" s="168">
        <f>SUMIFS('M_LC Summary'!$N:$N,'M_LC Summary'!$F:$F,V_Summary!K7,'M_LC Summary'!$D:$D,V_Summary!M7,'M_LC Summary'!$E:$E,V_Summary!N7)</f>
        <v>261827.52</v>
      </c>
      <c r="P7" s="168">
        <f>SUMIFS('M_LC Summary'!$M:$M,'M_LC Summary'!$F:$F,V_Summary!$K7,'M_LC Summary'!$D:$D,V_Summary!$M7,'M_LC Summary'!$E:$E,V_Summary!$N7)</f>
        <v>702587.67</v>
      </c>
    </row>
    <row r="8" spans="2:16" x14ac:dyDescent="0.25">
      <c r="B8" s="37" t="s">
        <v>25</v>
      </c>
      <c r="C8" s="41" t="s">
        <v>73</v>
      </c>
      <c r="D8" s="42">
        <v>0</v>
      </c>
      <c r="E8" s="42">
        <v>0</v>
      </c>
      <c r="F8" s="44">
        <f>SUMIFS(M_Loans!$H:$H,M_Loans!$B:$B,V_Summary!B8,M_Loans!$F:$F,V_Summary!C8)</f>
        <v>60000000</v>
      </c>
      <c r="G8" s="40">
        <f>D8+F8</f>
        <v>60000000</v>
      </c>
      <c r="K8" s="37" t="s">
        <v>18</v>
      </c>
      <c r="L8" s="167" t="s">
        <v>83</v>
      </c>
      <c r="M8" s="167" t="s">
        <v>20</v>
      </c>
      <c r="N8" s="167" t="s">
        <v>105</v>
      </c>
      <c r="O8" s="168">
        <f>SUMIFS('M_LC Summary'!$N:$N,'M_LC Summary'!$F:$F,V_Summary!K8,'M_LC Summary'!$D:$D,V_Summary!M8,'M_LC Summary'!$E:$E,V_Summary!N8)</f>
        <v>0</v>
      </c>
      <c r="P8" s="168">
        <f>SUMIFS('M_LC Summary'!$M:$M,'M_LC Summary'!$F:$F,V_Summary!$K8,'M_LC Summary'!$D:$D,V_Summary!$M8,'M_LC Summary'!$E:$E,V_Summary!$N8)</f>
        <v>6000000</v>
      </c>
    </row>
    <row r="9" spans="2:16" ht="15.75" thickBot="1" x14ac:dyDescent="0.3">
      <c r="B9" s="37" t="s">
        <v>25</v>
      </c>
      <c r="C9" s="43" t="s">
        <v>233</v>
      </c>
      <c r="D9" s="44">
        <v>0</v>
      </c>
      <c r="E9" s="44">
        <v>0</v>
      </c>
      <c r="F9" s="44">
        <f>SUMIFS(M_Loans!$H:$H,M_Loans!$B:$B,V_Summary!B9,M_Loans!$F:$F,V_Summary!C9)</f>
        <v>82666316.670000002</v>
      </c>
      <c r="G9" s="40">
        <f>D9+F9</f>
        <v>82666316.670000002</v>
      </c>
      <c r="K9" s="37" t="s">
        <v>18</v>
      </c>
      <c r="L9" s="167" t="s">
        <v>83</v>
      </c>
      <c r="M9" s="167" t="s">
        <v>183</v>
      </c>
      <c r="N9" s="167" t="s">
        <v>17</v>
      </c>
      <c r="O9" s="168">
        <f>SUMIFS('M_LC Summary'!$N:$N,'M_LC Summary'!$F:$F,V_Summary!K9,'M_LC Summary'!$D:$D,V_Summary!M9,'M_LC Summary'!$E:$E,V_Summary!N9)</f>
        <v>13982563.189999999</v>
      </c>
      <c r="P9" s="168">
        <f>SUMIFS('M_LC Summary'!$M:$M,'M_LC Summary'!$F:$F,V_Summary!$K9,'M_LC Summary'!$D:$D,V_Summary!$M9,'M_LC Summary'!$E:$E,V_Summary!$N9)</f>
        <v>0</v>
      </c>
    </row>
    <row r="10" spans="2:16" ht="15.75" thickBot="1" x14ac:dyDescent="0.3">
      <c r="C10" s="46" t="s">
        <v>54</v>
      </c>
      <c r="D10" s="47">
        <f>SUM(D6:D9)</f>
        <v>34740862.516808867</v>
      </c>
      <c r="E10" s="47">
        <f>SUM(E6:E9)</f>
        <v>5756269.9199999999</v>
      </c>
      <c r="F10" s="47">
        <f>SUM(F6:F9)</f>
        <v>142666316.67000002</v>
      </c>
      <c r="G10" s="48">
        <f>SUM(G6:G9)</f>
        <v>177407179.18680888</v>
      </c>
      <c r="K10" s="37" t="s">
        <v>18</v>
      </c>
      <c r="L10" s="167" t="s">
        <v>83</v>
      </c>
      <c r="M10" s="167" t="s">
        <v>183</v>
      </c>
      <c r="N10" s="167" t="s">
        <v>105</v>
      </c>
      <c r="O10" s="168">
        <f>SUMIFS('M_LC Summary'!$N:$N,'M_LC Summary'!$F:$F,V_Summary!K10,'M_LC Summary'!$D:$D,V_Summary!M10,'M_LC Summary'!$E:$E,V_Summary!N10)</f>
        <v>10813776.42</v>
      </c>
      <c r="P10" s="168">
        <f>SUMIFS('M_LC Summary'!$M:$M,'M_LC Summary'!$F:$F,V_Summary!$K10,'M_LC Summary'!$D:$D,V_Summary!$M10,'M_LC Summary'!$E:$E,V_Summary!$N10)</f>
        <v>15724333.939999999</v>
      </c>
    </row>
    <row r="11" spans="2:16" ht="15.75" thickBot="1" x14ac:dyDescent="0.3">
      <c r="K11" s="37" t="s">
        <v>18</v>
      </c>
      <c r="L11" s="167" t="s">
        <v>83</v>
      </c>
      <c r="M11" s="167" t="s">
        <v>24</v>
      </c>
      <c r="N11" s="167" t="s">
        <v>27</v>
      </c>
      <c r="O11" s="168">
        <f>SUMIFS('M_LC Summary'!$N:$N,'M_LC Summary'!$F:$F,V_Summary!K11,'M_LC Summary'!$D:$D,V_Summary!M11,'M_LC Summary'!$E:$E,V_Summary!N11)</f>
        <v>0</v>
      </c>
      <c r="P11" s="168">
        <f>SUMIFS('M_LC Summary'!$M:$M,'M_LC Summary'!$F:$F,V_Summary!$K11,'M_LC Summary'!$D:$D,V_Summary!$M11,'M_LC Summary'!$E:$E,V_Summary!$N11)</f>
        <v>21481033</v>
      </c>
    </row>
    <row r="12" spans="2:16" ht="16.5" thickBot="1" x14ac:dyDescent="0.3">
      <c r="B12" s="37" t="s">
        <v>18</v>
      </c>
      <c r="C12" s="34" t="s">
        <v>83</v>
      </c>
      <c r="D12" s="35" t="s">
        <v>76</v>
      </c>
      <c r="E12" s="35" t="s">
        <v>77</v>
      </c>
      <c r="F12" s="35" t="s">
        <v>78</v>
      </c>
      <c r="G12" s="36" t="s">
        <v>79</v>
      </c>
      <c r="K12" s="37" t="s">
        <v>18</v>
      </c>
      <c r="L12" s="167" t="s">
        <v>83</v>
      </c>
      <c r="M12" s="167" t="s">
        <v>24</v>
      </c>
      <c r="N12" s="167" t="s">
        <v>17</v>
      </c>
      <c r="O12" s="168">
        <f>SUMIFS('M_LC Summary'!$N:$N,'M_LC Summary'!$F:$F,V_Summary!K12,'M_LC Summary'!$D:$D,V_Summary!M12,'M_LC Summary'!$E:$E,V_Summary!N12)</f>
        <v>11762891.02</v>
      </c>
      <c r="P12" s="168">
        <f>SUMIFS('M_LC Summary'!$M:$M,'M_LC Summary'!$F:$F,V_Summary!$K12,'M_LC Summary'!$D:$D,V_Summary!$M12,'M_LC Summary'!$E:$E,V_Summary!$N12)</f>
        <v>8237108.9800000004</v>
      </c>
    </row>
    <row r="13" spans="2:16" x14ac:dyDescent="0.25">
      <c r="B13" s="37" t="s">
        <v>19</v>
      </c>
      <c r="C13" s="38" t="s">
        <v>80</v>
      </c>
      <c r="D13" s="39">
        <f>SUMIFS('M_LC Summary'!$K:$K,'M_LC Summary'!$F:$F,$B$12,'M_LC Summary'!$G:$G,B13)-SUMIFS('M_LC Summary'!$L:$L,'M_LC Summary'!$F:$F,$B$12,'M_LC Summary'!$G:$G,B13)</f>
        <v>100601706.92859113</v>
      </c>
      <c r="E13" s="39">
        <f>SUMIFS('M_LC Summary'!$M:$M,'M_LC Summary'!$F:$F,$B$12,'M_LC Summary'!$G:$G,B13)</f>
        <v>53756228.590000004</v>
      </c>
      <c r="F13" s="40">
        <v>0</v>
      </c>
      <c r="G13" s="40">
        <f t="shared" ref="G13:G18" si="0">D13+F13</f>
        <v>100601706.92859113</v>
      </c>
      <c r="K13" s="37" t="s">
        <v>18</v>
      </c>
      <c r="L13" s="167" t="s">
        <v>83</v>
      </c>
      <c r="M13" s="167" t="s">
        <v>24</v>
      </c>
      <c r="N13" s="167" t="s">
        <v>105</v>
      </c>
      <c r="O13" s="168">
        <f>SUMIFS('M_LC Summary'!$N:$N,'M_LC Summary'!$F:$F,V_Summary!K13,'M_LC Summary'!$D:$D,V_Summary!M13,'M_LC Summary'!$E:$E,V_Summary!N13)</f>
        <v>2093058</v>
      </c>
      <c r="P13" s="168">
        <f>SUMIFS('M_LC Summary'!$M:$M,'M_LC Summary'!$F:$F,V_Summary!$K13,'M_LC Summary'!$D:$D,V_Summary!$M13,'M_LC Summary'!$E:$E,V_Summary!$N13)</f>
        <v>1198665</v>
      </c>
    </row>
    <row r="14" spans="2:16" ht="15.75" thickBot="1" x14ac:dyDescent="0.3">
      <c r="B14" s="37" t="s">
        <v>18</v>
      </c>
      <c r="C14" s="41" t="s">
        <v>81</v>
      </c>
      <c r="D14" s="39">
        <f>SUMIFS('M_LC Summary'!$K:$K,'M_LC Summary'!$F:$F,$B$12,'M_LC Summary'!$G:$G,B14)-SUMIFS('M_LC Summary'!$L:$L,'M_LC Summary'!$F:$F,$B$12,'M_LC Summary'!$G:$G,B14)</f>
        <v>0</v>
      </c>
      <c r="E14" s="39">
        <f>SUMIFS('M_LC Summary'!$M:$M,'M_LC Summary'!$F:$F,$B$12,'M_LC Summary'!$G:$G,B14)</f>
        <v>0</v>
      </c>
      <c r="F14" s="44">
        <v>0</v>
      </c>
      <c r="G14" s="40">
        <f t="shared" si="0"/>
        <v>0</v>
      </c>
      <c r="H14" s="209"/>
      <c r="K14" s="37" t="s">
        <v>18</v>
      </c>
      <c r="L14" s="165" t="s">
        <v>83</v>
      </c>
      <c r="M14" s="165" t="s">
        <v>24</v>
      </c>
      <c r="N14" s="165" t="s">
        <v>106</v>
      </c>
      <c r="O14" s="169">
        <f>SUMIFS('M_LC Summary'!$N:$N,'M_LC Summary'!$F:$F,V_Summary!K14,'M_LC Summary'!$D:$D,V_Summary!M14,'M_LC Summary'!$E:$E,V_Summary!N14)</f>
        <v>5960746.9000000004</v>
      </c>
      <c r="P14" s="169">
        <f>SUMIFS('M_LC Summary'!$M:$M,'M_LC Summary'!$F:$F,V_Summary!$K14,'M_LC Summary'!$D:$D,V_Summary!$M14,'M_LC Summary'!$E:$E,V_Summary!$N14)</f>
        <v>412500</v>
      </c>
    </row>
    <row r="15" spans="2:16" ht="15.75" thickBot="1" x14ac:dyDescent="0.3">
      <c r="B15" s="37" t="s">
        <v>18</v>
      </c>
      <c r="C15" s="41" t="s">
        <v>470</v>
      </c>
      <c r="D15" s="42">
        <v>0</v>
      </c>
      <c r="E15" s="42">
        <v>0</v>
      </c>
      <c r="F15" s="44">
        <f>SUMIFS(M_Loans!$H:$H,M_Loans!$B:$B,V_Summary!B15,M_Loans!$F:$F,V_Summary!C15)</f>
        <v>0</v>
      </c>
      <c r="G15" s="40">
        <f t="shared" si="0"/>
        <v>0</v>
      </c>
      <c r="L15" s="74"/>
      <c r="M15" s="75" t="s">
        <v>83</v>
      </c>
      <c r="N15" s="76" t="s">
        <v>54</v>
      </c>
      <c r="O15" s="77">
        <f t="shared" ref="O15:P15" si="1">SUMIF($L:$L,$M15,O:O)</f>
        <v>46845478.339999996</v>
      </c>
      <c r="P15" s="78">
        <f t="shared" si="1"/>
        <v>53756228.590000004</v>
      </c>
    </row>
    <row r="16" spans="2:16" x14ac:dyDescent="0.25">
      <c r="B16" s="37" t="s">
        <v>18</v>
      </c>
      <c r="C16" s="41" t="s">
        <v>378</v>
      </c>
      <c r="D16" s="42">
        <v>0</v>
      </c>
      <c r="E16" s="42">
        <v>0</v>
      </c>
      <c r="F16" s="44">
        <f>SUMIFS(M_Loans!$H:$H,M_Loans!$B:$B,V_Summary!B16,M_Loans!$F:$F,V_Summary!C16)</f>
        <v>0</v>
      </c>
      <c r="G16" s="40">
        <f t="shared" si="0"/>
        <v>0</v>
      </c>
    </row>
    <row r="17" spans="2:16" x14ac:dyDescent="0.25">
      <c r="B17" s="37" t="s">
        <v>18</v>
      </c>
      <c r="C17" s="43" t="s">
        <v>372</v>
      </c>
      <c r="D17" s="44">
        <v>0</v>
      </c>
      <c r="E17" s="44">
        <v>0</v>
      </c>
      <c r="F17" s="44">
        <f>SUMIFS(M_Loans!$H:$H,M_Loans!$B:$B,V_Summary!B17,M_Loans!$F:$F,V_Summary!C17)</f>
        <v>0</v>
      </c>
      <c r="G17" s="40">
        <f t="shared" si="0"/>
        <v>0</v>
      </c>
      <c r="K17" s="37" t="s">
        <v>25</v>
      </c>
      <c r="L17" s="167" t="s">
        <v>70</v>
      </c>
      <c r="M17" s="167" t="s">
        <v>20</v>
      </c>
      <c r="N17" s="167" t="s">
        <v>117</v>
      </c>
      <c r="O17" s="168">
        <f>SUMIFS('M_LC Summary'!$N:$N,'M_LC Summary'!$F:$F,V_Summary!K17,'M_LC Summary'!$D:$D,V_Summary!M17,'M_LC Summary'!$E:$E,V_Summary!N17)</f>
        <v>2550820.34</v>
      </c>
      <c r="P17" s="168">
        <f>SUMIFS('M_LC Summary'!$M:$M,'M_LC Summary'!$F:$F,V_Summary!$K17,'M_LC Summary'!$D:$D,V_Summary!$M17,'M_LC Summary'!$E:$E,V_Summary!$N17)</f>
        <v>4268113.24</v>
      </c>
    </row>
    <row r="18" spans="2:16" ht="15.75" thickBot="1" x14ac:dyDescent="0.3">
      <c r="B18" s="37" t="s">
        <v>18</v>
      </c>
      <c r="C18" s="43" t="s">
        <v>252</v>
      </c>
      <c r="D18" s="44">
        <v>0</v>
      </c>
      <c r="E18" s="44">
        <v>0</v>
      </c>
      <c r="F18" s="44">
        <f>SUMIFS(M_Loans!$H:$H,M_Loans!$B:$B,V_Summary!B18,M_Loans!$F:$F,V_Summary!C18)</f>
        <v>50000000</v>
      </c>
      <c r="G18" s="40">
        <f t="shared" si="0"/>
        <v>50000000</v>
      </c>
      <c r="K18" s="37" t="s">
        <v>25</v>
      </c>
      <c r="L18" s="167" t="s">
        <v>70</v>
      </c>
      <c r="M18" s="167" t="s">
        <v>24</v>
      </c>
      <c r="N18" s="167" t="s">
        <v>117</v>
      </c>
      <c r="O18" s="168">
        <f>SUMIFS('M_LC Summary'!$N:$N,'M_LC Summary'!$F:$F,V_Summary!K18,'M_LC Summary'!$D:$D,V_Summary!M18,'M_LC Summary'!$E:$E,V_Summary!N18)</f>
        <v>21183453.369999997</v>
      </c>
      <c r="P18" s="168">
        <f>SUMIFS('M_LC Summary'!$M:$M,'M_LC Summary'!$F:$F,V_Summary!$K18,'M_LC Summary'!$D:$D,V_Summary!$M18,'M_LC Summary'!$E:$E,V_Summary!$N18)</f>
        <v>1488156.6800000002</v>
      </c>
    </row>
    <row r="19" spans="2:16" ht="15.75" thickBot="1" x14ac:dyDescent="0.3">
      <c r="C19" s="46" t="s">
        <v>54</v>
      </c>
      <c r="D19" s="47">
        <f>SUM(D13:D18)</f>
        <v>100601706.92859113</v>
      </c>
      <c r="E19" s="47">
        <f>SUM(E13:E18)</f>
        <v>53756228.590000004</v>
      </c>
      <c r="F19" s="47">
        <f>SUM(F13:F18)</f>
        <v>50000000</v>
      </c>
      <c r="G19" s="48">
        <f>SUM(G13:G18)</f>
        <v>150601706.92859113</v>
      </c>
      <c r="K19" s="37" t="s">
        <v>25</v>
      </c>
      <c r="L19" s="165" t="s">
        <v>70</v>
      </c>
      <c r="M19" s="165" t="s">
        <v>358</v>
      </c>
      <c r="N19" s="165" t="s">
        <v>117</v>
      </c>
      <c r="O19" s="169">
        <f>SUMIFS('M_LC Summary'!$N:$N,'M_LC Summary'!$F:$F,V_Summary!K19,'M_LC Summary'!$D:$D,V_Summary!M19,'M_LC Summary'!$E:$E,V_Summary!N19)</f>
        <v>3239246.61</v>
      </c>
      <c r="P19" s="169">
        <f>SUMIFS('M_LC Summary'!$M:$M,'M_LC Summary'!$F:$F,V_Summary!$K19,'M_LC Summary'!$D:$D,V_Summary!$M19,'M_LC Summary'!$E:$E,V_Summary!$N19)</f>
        <v>0</v>
      </c>
    </row>
    <row r="20" spans="2:16" ht="15.75" thickBot="1" x14ac:dyDescent="0.3">
      <c r="L20" s="74"/>
      <c r="M20" s="75" t="s">
        <v>70</v>
      </c>
      <c r="N20" s="76" t="s">
        <v>54</v>
      </c>
      <c r="O20" s="77">
        <f t="shared" ref="O20:P20" si="2">SUMIF($L:$L,$M20,O:O)</f>
        <v>26973520.319999997</v>
      </c>
      <c r="P20" s="78">
        <f t="shared" si="2"/>
        <v>5756269.9199999999</v>
      </c>
    </row>
    <row r="21" spans="2:16" ht="16.5" thickBot="1" x14ac:dyDescent="0.3">
      <c r="B21" s="37" t="s">
        <v>22</v>
      </c>
      <c r="C21" s="34" t="s">
        <v>98</v>
      </c>
      <c r="D21" s="35" t="s">
        <v>76</v>
      </c>
      <c r="E21" s="35" t="s">
        <v>77</v>
      </c>
      <c r="F21" s="35" t="s">
        <v>78</v>
      </c>
      <c r="G21" s="36" t="s">
        <v>79</v>
      </c>
    </row>
    <row r="22" spans="2:16" x14ac:dyDescent="0.25">
      <c r="B22" s="37" t="s">
        <v>19</v>
      </c>
      <c r="C22" s="38" t="s">
        <v>80</v>
      </c>
      <c r="D22" s="39">
        <f>SUMIFS('M_LC Summary'!$K:$K,'M_LC Summary'!$F:$F,$B$21,'M_LC Summary'!$G:$G,B22)-SUMIFS('M_LC Summary'!$L:$L,'M_LC Summary'!$F:$F,$B$21,'M_LC Summary'!$G:$G,B22)</f>
        <v>96570151.976089999</v>
      </c>
      <c r="E22" s="39">
        <f>SUMIFS('M_LC Summary'!$M:$M,'M_LC Summary'!$F:$F,$B$21,'M_LC Summary'!$G:$G,B22)</f>
        <v>13259777.66</v>
      </c>
      <c r="F22" s="40">
        <v>0</v>
      </c>
      <c r="G22" s="40">
        <f>D22+F22</f>
        <v>96570151.976089999</v>
      </c>
      <c r="K22" s="37" t="s">
        <v>28</v>
      </c>
      <c r="L22" s="167" t="s">
        <v>99</v>
      </c>
      <c r="M22" s="167" t="s">
        <v>20</v>
      </c>
      <c r="N22" s="167" t="s">
        <v>27</v>
      </c>
      <c r="O22" s="168">
        <f>SUMIFS('M_LC Summary'!$N:$N,'M_LC Summary'!$F:$F,V_Summary!K22,'M_LC Summary'!$D:$D,V_Summary!M22,'M_LC Summary'!$E:$E,V_Summary!N22)</f>
        <v>483205.4</v>
      </c>
      <c r="P22" s="168">
        <f>SUMIFS('M_LC Summary'!$M:$M,'M_LC Summary'!$F:$F,V_Summary!$K22,'M_LC Summary'!$D:$D,V_Summary!$M22,'M_LC Summary'!$E:$E,V_Summary!$N22)</f>
        <v>0</v>
      </c>
    </row>
    <row r="23" spans="2:16" x14ac:dyDescent="0.25">
      <c r="B23" s="37" t="s">
        <v>32</v>
      </c>
      <c r="C23" s="41" t="s">
        <v>81</v>
      </c>
      <c r="D23" s="39">
        <f>SUMIFS('M_LC Summary'!$K:$K,'M_LC Summary'!$F:$F,$B$21,'M_LC Summary'!$G:$G,B23)-SUMIFS('M_LC Summary'!$L:$L,'M_LC Summary'!$F:$F,$B$21,'M_LC Summary'!$G:$G,B23)</f>
        <v>0</v>
      </c>
      <c r="E23" s="39">
        <f>SUMIFS('M_LC Summary'!$M:$M,'M_LC Summary'!$F:$F,$B$21,'M_LC Summary'!$G:$G,B23)</f>
        <v>0</v>
      </c>
      <c r="F23" s="42">
        <v>0</v>
      </c>
      <c r="G23" s="40">
        <f>D23+F23</f>
        <v>0</v>
      </c>
      <c r="K23" s="37" t="s">
        <v>28</v>
      </c>
      <c r="L23" s="167" t="s">
        <v>99</v>
      </c>
      <c r="M23" s="167" t="s">
        <v>20</v>
      </c>
      <c r="N23" s="167" t="s">
        <v>152</v>
      </c>
      <c r="O23" s="168">
        <f>SUMIFS('M_LC Summary'!$N:$N,'M_LC Summary'!$F:$F,V_Summary!K23,'M_LC Summary'!$D:$D,V_Summary!M23,'M_LC Summary'!$E:$E,V_Summary!N23)</f>
        <v>27644903.829999998</v>
      </c>
      <c r="P23" s="168">
        <f>SUMIFS('M_LC Summary'!$M:$M,'M_LC Summary'!$F:$F,V_Summary!$K23,'M_LC Summary'!$D:$D,V_Summary!$M23,'M_LC Summary'!$E:$E,V_Summary!$N23)</f>
        <v>19612144.129999999</v>
      </c>
    </row>
    <row r="24" spans="2:16" x14ac:dyDescent="0.25">
      <c r="C24" s="41" t="s">
        <v>82</v>
      </c>
      <c r="D24" s="42">
        <v>0</v>
      </c>
      <c r="E24" s="42">
        <v>0</v>
      </c>
      <c r="F24" s="42">
        <v>0</v>
      </c>
      <c r="G24" s="40">
        <f>D24+F24</f>
        <v>0</v>
      </c>
      <c r="K24" s="37" t="s">
        <v>28</v>
      </c>
      <c r="L24" s="167" t="s">
        <v>99</v>
      </c>
      <c r="M24" s="167" t="s">
        <v>24</v>
      </c>
      <c r="N24" s="167" t="s">
        <v>31</v>
      </c>
      <c r="O24" s="168">
        <f>SUMIFS('M_LC Summary'!$N:$N,'M_LC Summary'!$F:$F,V_Summary!K24,'M_LC Summary'!$D:$D,V_Summary!M24,'M_LC Summary'!$E:$E,V_Summary!N24)</f>
        <v>3325316</v>
      </c>
      <c r="P24" s="168">
        <f>SUMIFS('M_LC Summary'!$M:$M,'M_LC Summary'!$F:$F,V_Summary!$K24,'M_LC Summary'!$D:$D,V_Summary!$M24,'M_LC Summary'!$E:$E,V_Summary!$N24)</f>
        <v>1099687.5</v>
      </c>
    </row>
    <row r="25" spans="2:16" x14ac:dyDescent="0.25">
      <c r="B25" s="37" t="str">
        <f>B21</f>
        <v>SNB</v>
      </c>
      <c r="C25" s="43" t="s">
        <v>73</v>
      </c>
      <c r="D25" s="44">
        <v>0</v>
      </c>
      <c r="E25" s="44">
        <v>0</v>
      </c>
      <c r="F25" s="44">
        <f>SUMIFS(M_Loans!$H:$H,M_Loans!$B:$B,V_Summary!B25,M_Loans!$F:$F,V_Summary!C25)</f>
        <v>43000000</v>
      </c>
      <c r="G25" s="40">
        <f>D25+F25</f>
        <v>43000000</v>
      </c>
      <c r="K25" s="37" t="s">
        <v>28</v>
      </c>
      <c r="L25" s="167" t="s">
        <v>99</v>
      </c>
      <c r="M25" s="167" t="s">
        <v>24</v>
      </c>
      <c r="N25" s="167" t="s">
        <v>27</v>
      </c>
      <c r="O25" s="168">
        <f>SUMIFS('M_LC Summary'!$N:$N,'M_LC Summary'!$F:$F,V_Summary!K25,'M_LC Summary'!$D:$D,V_Summary!M25,'M_LC Summary'!$E:$E,V_Summary!N25)</f>
        <v>0</v>
      </c>
      <c r="P25" s="168">
        <f>SUMIFS('M_LC Summary'!$M:$M,'M_LC Summary'!$F:$F,V_Summary!$K25,'M_LC Summary'!$D:$D,V_Summary!$M25,'M_LC Summary'!$E:$E,V_Summary!$N25)</f>
        <v>10000000</v>
      </c>
    </row>
    <row r="26" spans="2:16" ht="15.75" thickBot="1" x14ac:dyDescent="0.3">
      <c r="B26" s="37" t="str">
        <f>B21</f>
        <v>SNB</v>
      </c>
      <c r="C26" s="43" t="s">
        <v>230</v>
      </c>
      <c r="D26" s="44">
        <v>0</v>
      </c>
      <c r="E26" s="44">
        <v>0</v>
      </c>
      <c r="F26" s="44">
        <f>SUMIFS(M_Loans!$H:$H,M_Loans!$B:$B,V_Summary!B26,M_Loans!$F:$F,V_Summary!C26)</f>
        <v>100000000</v>
      </c>
      <c r="G26" s="40">
        <f>D26+F26</f>
        <v>100000000</v>
      </c>
      <c r="K26" s="37" t="s">
        <v>28</v>
      </c>
      <c r="L26" s="167" t="s">
        <v>99</v>
      </c>
      <c r="M26" s="167" t="s">
        <v>219</v>
      </c>
      <c r="N26" s="167" t="s">
        <v>31</v>
      </c>
      <c r="O26" s="168">
        <f>SUMIFS('M_LC Summary'!$N:$N,'M_LC Summary'!$F:$F,V_Summary!K26,'M_LC Summary'!$D:$D,V_Summary!M26,'M_LC Summary'!$E:$E,V_Summary!N26)</f>
        <v>1507901</v>
      </c>
      <c r="P26" s="168">
        <f>SUMIFS('M_LC Summary'!$M:$M,'M_LC Summary'!$F:$F,V_Summary!$K26,'M_LC Summary'!$D:$D,V_Summary!$M26,'M_LC Summary'!$E:$E,V_Summary!$N26)</f>
        <v>0</v>
      </c>
    </row>
    <row r="27" spans="2:16" ht="15.75" thickBot="1" x14ac:dyDescent="0.3">
      <c r="C27" s="46" t="s">
        <v>54</v>
      </c>
      <c r="D27" s="47">
        <f>SUM(D22:D26)</f>
        <v>96570151.976089999</v>
      </c>
      <c r="E27" s="47">
        <f>SUM(E22:E26)</f>
        <v>13259777.66</v>
      </c>
      <c r="F27" s="47">
        <f>SUM(F22:F26)</f>
        <v>143000000</v>
      </c>
      <c r="G27" s="48">
        <f>SUM(G22:G26)</f>
        <v>239570151.97609001</v>
      </c>
      <c r="K27" s="37" t="s">
        <v>28</v>
      </c>
      <c r="L27" s="165" t="s">
        <v>99</v>
      </c>
      <c r="M27" s="165" t="s">
        <v>326</v>
      </c>
      <c r="N27" s="165" t="s">
        <v>27</v>
      </c>
      <c r="O27" s="169">
        <f>SUMIFS('M_LC Summary'!$N:$N,'M_LC Summary'!$F:$F,V_Summary!K27,'M_LC Summary'!$D:$D,V_Summary!M27,'M_LC Summary'!$E:$E,V_Summary!N27)</f>
        <v>1269458.03</v>
      </c>
      <c r="P27" s="169">
        <f>SUMIFS('M_LC Summary'!$M:$M,'M_LC Summary'!$F:$F,V_Summary!$K27,'M_LC Summary'!$D:$D,V_Summary!$M27,'M_LC Summary'!$E:$E,V_Summary!$N27)</f>
        <v>0</v>
      </c>
    </row>
    <row r="28" spans="2:16" ht="15.75" thickBot="1" x14ac:dyDescent="0.3">
      <c r="L28" s="74"/>
      <c r="M28" s="75" t="s">
        <v>99</v>
      </c>
      <c r="N28" s="76" t="s">
        <v>54</v>
      </c>
      <c r="O28" s="77">
        <f t="shared" ref="O28:P28" si="3">SUMIF($L:$L,$M28,O:O)</f>
        <v>34230784.259999998</v>
      </c>
      <c r="P28" s="78">
        <f t="shared" si="3"/>
        <v>30711831.629999999</v>
      </c>
    </row>
    <row r="29" spans="2:16" ht="16.5" thickBot="1" x14ac:dyDescent="0.3">
      <c r="B29" s="37" t="s">
        <v>28</v>
      </c>
      <c r="C29" s="34" t="s">
        <v>99</v>
      </c>
      <c r="D29" s="35" t="s">
        <v>76</v>
      </c>
      <c r="E29" s="35" t="s">
        <v>77</v>
      </c>
      <c r="F29" s="35" t="s">
        <v>78</v>
      </c>
      <c r="G29" s="36" t="s">
        <v>79</v>
      </c>
    </row>
    <row r="30" spans="2:16" x14ac:dyDescent="0.25">
      <c r="B30" s="37" t="s">
        <v>19</v>
      </c>
      <c r="C30" s="38" t="s">
        <v>80</v>
      </c>
      <c r="D30" s="39">
        <f>SUMIFS('M_LC Summary'!$K:$K,'M_LC Summary'!$F:$F,$B$29,'M_LC Summary'!$G:$G,B30)-SUMIFS('M_LC Summary'!$L:$L,'M_LC Summary'!$F:$F,$B$29,'M_LC Summary'!$G:$G,B30)</f>
        <v>64942615.890000001</v>
      </c>
      <c r="E30" s="39">
        <f>SUMIFS('M_LC Summary'!$M:$M,'M_LC Summary'!$F:$F,$B$29,'M_LC Summary'!$G:$G,B30)</f>
        <v>30711831.629999999</v>
      </c>
      <c r="F30" s="40">
        <v>0</v>
      </c>
      <c r="G30" s="40">
        <f>D30+F30</f>
        <v>64942615.890000001</v>
      </c>
      <c r="K30" s="37" t="s">
        <v>22</v>
      </c>
      <c r="L30" s="167" t="s">
        <v>98</v>
      </c>
      <c r="M30" s="167" t="s">
        <v>20</v>
      </c>
      <c r="N30" s="167" t="s">
        <v>103</v>
      </c>
      <c r="O30" s="168">
        <f>SUMIFS('M_LC Summary'!$N:$N,'M_LC Summary'!$F:$F,V_Summary!K30,'M_LC Summary'!$D:$D,V_Summary!M30,'M_LC Summary'!$E:$E,V_Summary!N30)</f>
        <v>118208.72</v>
      </c>
      <c r="P30" s="168">
        <f>SUMIFS('M_LC Summary'!$M:$M,'M_LC Summary'!$F:$F,V_Summary!$K30,'M_LC Summary'!$D:$D,V_Summary!$M30,'M_LC Summary'!$E:$E,V_Summary!$N30)</f>
        <v>0</v>
      </c>
    </row>
    <row r="31" spans="2:16" x14ac:dyDescent="0.25">
      <c r="B31" s="37" t="s">
        <v>32</v>
      </c>
      <c r="C31" s="41" t="s">
        <v>81</v>
      </c>
      <c r="D31" s="39">
        <f>SUMIFS('M_LC Summary'!$K:$K,'M_LC Summary'!$F:$F,$B$29,'M_LC Summary'!$G:$G,B31)-SUMIFS('M_LC Summary'!$L:$L,'M_LC Summary'!$F:$F,$B$29,'M_LC Summary'!$G:$G,B31)</f>
        <v>0</v>
      </c>
      <c r="E31" s="39">
        <f>SUMIFS('M_LC Summary'!$M:$M,'M_LC Summary'!$F:$F,$B$29,'M_LC Summary'!$G:$G,B31)</f>
        <v>0</v>
      </c>
      <c r="F31" s="42">
        <v>0</v>
      </c>
      <c r="G31" s="40">
        <f>D31+F31</f>
        <v>0</v>
      </c>
      <c r="K31" s="37" t="s">
        <v>22</v>
      </c>
      <c r="L31" s="167" t="s">
        <v>98</v>
      </c>
      <c r="M31" s="167" t="s">
        <v>24</v>
      </c>
      <c r="N31" s="167" t="s">
        <v>151</v>
      </c>
      <c r="O31" s="168">
        <f>SUMIFS('M_LC Summary'!$N:$N,'M_LC Summary'!$F:$F,V_Summary!K31,'M_LC Summary'!$D:$D,V_Summary!M31,'M_LC Summary'!$E:$E,V_Summary!N31)</f>
        <v>2509911.0499999998</v>
      </c>
      <c r="P31" s="168">
        <f>SUMIFS('M_LC Summary'!$M:$M,'M_LC Summary'!$F:$F,V_Summary!$K31,'M_LC Summary'!$D:$D,V_Summary!$M31,'M_LC Summary'!$E:$E,V_Summary!$N31)</f>
        <v>386858.95</v>
      </c>
    </row>
    <row r="32" spans="2:16" x14ac:dyDescent="0.25">
      <c r="C32" s="41" t="s">
        <v>82</v>
      </c>
      <c r="D32" s="42">
        <v>0</v>
      </c>
      <c r="E32" s="42">
        <v>0</v>
      </c>
      <c r="F32" s="42">
        <v>0</v>
      </c>
      <c r="G32" s="40">
        <f>D32+F32</f>
        <v>0</v>
      </c>
      <c r="K32" s="37" t="s">
        <v>22</v>
      </c>
      <c r="L32" s="167" t="s">
        <v>98</v>
      </c>
      <c r="M32" s="167" t="s">
        <v>24</v>
      </c>
      <c r="N32" s="167" t="s">
        <v>106</v>
      </c>
      <c r="O32" s="168">
        <f>SUMIFS('M_LC Summary'!$N:$N,'M_LC Summary'!$F:$F,V_Summary!K32,'M_LC Summary'!$D:$D,V_Summary!M32,'M_LC Summary'!$E:$E,V_Summary!N32)</f>
        <v>2008860.54</v>
      </c>
      <c r="P32" s="168">
        <f>SUMIFS('M_LC Summary'!$M:$M,'M_LC Summary'!$F:$F,V_Summary!$K32,'M_LC Summary'!$D:$D,V_Summary!$M32,'M_LC Summary'!$E:$E,V_Summary!$N32)</f>
        <v>0</v>
      </c>
    </row>
    <row r="33" spans="2:16" ht="15.75" thickBot="1" x14ac:dyDescent="0.3">
      <c r="B33" s="37" t="str">
        <f>B29</f>
        <v>SAB</v>
      </c>
      <c r="C33" s="43" t="s">
        <v>252</v>
      </c>
      <c r="D33" s="44">
        <v>0</v>
      </c>
      <c r="E33" s="44">
        <v>0</v>
      </c>
      <c r="F33" s="44">
        <f>SUMIFS(M_Loans!$H:$H,M_Loans!$B:$B,V_Summary!B33,M_Loans!$F:$F,V_Summary!C33)</f>
        <v>0</v>
      </c>
      <c r="G33" s="40">
        <f>D33+F33</f>
        <v>0</v>
      </c>
      <c r="K33" s="37" t="s">
        <v>22</v>
      </c>
      <c r="L33" s="167" t="s">
        <v>98</v>
      </c>
      <c r="M33" s="167" t="s">
        <v>219</v>
      </c>
      <c r="N33" s="167" t="s">
        <v>151</v>
      </c>
      <c r="O33" s="168">
        <f>SUMIFS('M_LC Summary'!$N:$N,'M_LC Summary'!$F:$F,V_Summary!K33,'M_LC Summary'!$D:$D,V_Summary!M33,'M_LC Summary'!$E:$E,V_Summary!N33)</f>
        <v>45337314.849999994</v>
      </c>
      <c r="P33" s="168">
        <f>SUMIFS('M_LC Summary'!$M:$M,'M_LC Summary'!$F:$F,V_Summary!$K33,'M_LC Summary'!$D:$D,V_Summary!$M33,'M_LC Summary'!$E:$E,V_Summary!$N33)</f>
        <v>12220413.310000001</v>
      </c>
    </row>
    <row r="34" spans="2:16" ht="15.75" thickBot="1" x14ac:dyDescent="0.3">
      <c r="C34" s="46" t="s">
        <v>54</v>
      </c>
      <c r="D34" s="47">
        <f>SUM(D30:D33)</f>
        <v>64942615.890000001</v>
      </c>
      <c r="E34" s="47">
        <f>SUM(E30:E33)</f>
        <v>30711831.629999999</v>
      </c>
      <c r="F34" s="47">
        <f>SUM(F30:F33)</f>
        <v>0</v>
      </c>
      <c r="G34" s="48">
        <f>SUM(G30:G33)</f>
        <v>64942615.890000001</v>
      </c>
      <c r="K34" s="37" t="s">
        <v>22</v>
      </c>
      <c r="L34" s="167" t="s">
        <v>98</v>
      </c>
      <c r="M34" s="167" t="s">
        <v>275</v>
      </c>
      <c r="N34" s="167" t="s">
        <v>151</v>
      </c>
      <c r="O34" s="168">
        <f>SUMIFS('M_LC Summary'!$N:$N,'M_LC Summary'!$F:$F,V_Summary!K34,'M_LC Summary'!$D:$D,V_Summary!M34,'M_LC Summary'!$E:$E,V_Summary!N34)</f>
        <v>1871528.95</v>
      </c>
      <c r="P34" s="168">
        <f>SUMIFS('M_LC Summary'!$M:$M,'M_LC Summary'!$F:$F,V_Summary!$K34,'M_LC Summary'!$D:$D,V_Summary!$M34,'M_LC Summary'!$E:$E,V_Summary!$N34)</f>
        <v>652505.4</v>
      </c>
    </row>
    <row r="35" spans="2:16" ht="15.75" thickBot="1" x14ac:dyDescent="0.3">
      <c r="K35" s="37" t="s">
        <v>22</v>
      </c>
      <c r="L35" s="167" t="s">
        <v>98</v>
      </c>
      <c r="M35" s="167" t="s">
        <v>453</v>
      </c>
      <c r="N35" s="167" t="s">
        <v>151</v>
      </c>
      <c r="O35" s="168">
        <f>SUMIFS('M_LC Summary'!$N:$N,'M_LC Summary'!$F:$F,V_Summary!K35,'M_LC Summary'!$D:$D,V_Summary!M35,'M_LC Summary'!$E:$E,V_Summary!N35)</f>
        <v>4946132.75</v>
      </c>
      <c r="P35" s="168">
        <f>SUMIFS('M_LC Summary'!$M:$M,'M_LC Summary'!$F:$F,V_Summary!$K35,'M_LC Summary'!$D:$D,V_Summary!$M35,'M_LC Summary'!$E:$E,V_Summary!$N35)</f>
        <v>0</v>
      </c>
    </row>
    <row r="36" spans="2:16" ht="16.5" thickBot="1" x14ac:dyDescent="0.3">
      <c r="B36" s="37" t="s">
        <v>26</v>
      </c>
      <c r="C36" s="34" t="s">
        <v>97</v>
      </c>
      <c r="D36" s="35" t="s">
        <v>76</v>
      </c>
      <c r="E36" s="35" t="s">
        <v>77</v>
      </c>
      <c r="F36" s="35" t="s">
        <v>78</v>
      </c>
      <c r="G36" s="36" t="s">
        <v>79</v>
      </c>
      <c r="K36" s="37" t="s">
        <v>22</v>
      </c>
      <c r="L36" s="165" t="s">
        <v>98</v>
      </c>
      <c r="M36" s="165" t="s">
        <v>450</v>
      </c>
      <c r="N36" s="165" t="s">
        <v>151</v>
      </c>
      <c r="O36" s="169">
        <f>SUMIFS('M_LC Summary'!$N:$N,'M_LC Summary'!$F:$F,V_Summary!K36,'M_LC Summary'!$D:$D,V_Summary!M36,'M_LC Summary'!$E:$E,V_Summary!N36)</f>
        <v>26518417.460000001</v>
      </c>
      <c r="P36" s="169">
        <f>SUMIFS('M_LC Summary'!$M:$M,'M_LC Summary'!$F:$F,V_Summary!$K36,'M_LC Summary'!$D:$D,V_Summary!$M36,'M_LC Summary'!$E:$E,V_Summary!$N36)</f>
        <v>0</v>
      </c>
    </row>
    <row r="37" spans="2:16" ht="15.75" thickBot="1" x14ac:dyDescent="0.3">
      <c r="B37" s="37" t="s">
        <v>19</v>
      </c>
      <c r="C37" s="38" t="s">
        <v>80</v>
      </c>
      <c r="D37" s="39">
        <f>SUMIFS('M_LC Summary'!$K:$K,'M_LC Summary'!$F:$F,$B$36,'M_LC Summary'!$G:$G,B37)-SUMIFS('M_LC Summary'!$L:$L,'M_LC Summary'!$F:$F,$B$36,'M_LC Summary'!$G:$G,B37)</f>
        <v>0</v>
      </c>
      <c r="E37" s="39">
        <f>SUMIFS('M_LC Summary'!$M:$M,'M_LC Summary'!$F:$F,$B$36,'M_LC Summary'!$G:$G,B37)</f>
        <v>0</v>
      </c>
      <c r="F37" s="40">
        <v>0</v>
      </c>
      <c r="G37" s="40">
        <f>D37+F37</f>
        <v>0</v>
      </c>
      <c r="L37" s="74"/>
      <c r="M37" s="75" t="s">
        <v>98</v>
      </c>
      <c r="N37" s="76" t="s">
        <v>54</v>
      </c>
      <c r="O37" s="77">
        <f t="shared" ref="O37:P37" si="4">SUMIF($L:$L,$M37,O:O)</f>
        <v>83310374.319999993</v>
      </c>
      <c r="P37" s="78">
        <f t="shared" si="4"/>
        <v>13259777.66</v>
      </c>
    </row>
    <row r="38" spans="2:16" x14ac:dyDescent="0.25">
      <c r="B38" s="37" t="s">
        <v>32</v>
      </c>
      <c r="C38" s="41" t="s">
        <v>81</v>
      </c>
      <c r="D38" s="39">
        <f>SUMIFS('M_LC Summary'!$K:$K,'M_LC Summary'!$F:$F,$B$36,'M_LC Summary'!$G:$G,B38)-SUMIFS('M_LC Summary'!$L:$L,'M_LC Summary'!$F:$F,$B$36,'M_LC Summary'!$G:$G,B38)</f>
        <v>0</v>
      </c>
      <c r="E38" s="39">
        <f>SUMIFS('M_LC Summary'!$M:$M,'M_LC Summary'!$F:$F,$B$36,'M_LC Summary'!$G:$G,B38)</f>
        <v>0</v>
      </c>
      <c r="F38" s="42">
        <v>0</v>
      </c>
      <c r="G38" s="40">
        <f>D38+F38</f>
        <v>0</v>
      </c>
    </row>
    <row r="39" spans="2:16" x14ac:dyDescent="0.25">
      <c r="C39" s="41" t="s">
        <v>82</v>
      </c>
      <c r="D39" s="42">
        <v>0</v>
      </c>
      <c r="E39" s="42">
        <v>0</v>
      </c>
      <c r="F39" s="42">
        <v>0</v>
      </c>
      <c r="G39" s="40">
        <f>D39+F39</f>
        <v>0</v>
      </c>
      <c r="K39" s="37" t="s">
        <v>69</v>
      </c>
      <c r="L39" s="167" t="s">
        <v>147</v>
      </c>
      <c r="M39" s="167" t="s">
        <v>20</v>
      </c>
      <c r="N39" s="167" t="s">
        <v>27</v>
      </c>
      <c r="O39" s="168">
        <f>SUMIFS('M_LC Summary'!$N:$N,'M_LC Summary'!$F:$F,V_Summary!K39,'M_LC Summary'!$D:$D,V_Summary!M39,'M_LC Summary'!$E:$E,V_Summary!N39)</f>
        <v>0</v>
      </c>
      <c r="P39" s="168">
        <f>SUMIFS('M_LC Summary'!$M:$M,'M_LC Summary'!$F:$F,V_Summary!$K39,'M_LC Summary'!$D:$D,V_Summary!$M39,'M_LC Summary'!$E:$E,V_Summary!$N39)</f>
        <v>42000000</v>
      </c>
    </row>
    <row r="40" spans="2:16" ht="15.75" thickBot="1" x14ac:dyDescent="0.3">
      <c r="B40" s="37" t="str">
        <f>B36</f>
        <v>BAB</v>
      </c>
      <c r="C40" s="43" t="s">
        <v>73</v>
      </c>
      <c r="D40" s="44">
        <v>0</v>
      </c>
      <c r="E40" s="44">
        <v>0</v>
      </c>
      <c r="F40" s="44">
        <f>SUMIFS(M_Loans!$H:$H,M_Loans!$B:$B,V_Summary!B40,M_Loans!$F:$F,V_Summary!C40)</f>
        <v>0</v>
      </c>
      <c r="G40" s="40">
        <f>D40+F40</f>
        <v>0</v>
      </c>
      <c r="K40" s="37" t="s">
        <v>69</v>
      </c>
      <c r="L40" s="167" t="s">
        <v>147</v>
      </c>
      <c r="M40" s="167" t="s">
        <v>20</v>
      </c>
      <c r="N40" s="167" t="s">
        <v>75</v>
      </c>
      <c r="O40" s="168">
        <f>SUMIFS('M_LC Summary'!$N:$N,'M_LC Summary'!$F:$F,V_Summary!K40,'M_LC Summary'!$D:$D,V_Summary!M40,'M_LC Summary'!$E:$E,V_Summary!N40)</f>
        <v>3404275.3999999994</v>
      </c>
      <c r="P40" s="168">
        <f>SUMIFS('M_LC Summary'!$M:$M,'M_LC Summary'!$F:$F,V_Summary!$K40,'M_LC Summary'!$D:$D,V_Summary!$M40,'M_LC Summary'!$E:$E,V_Summary!$N40)</f>
        <v>199393.9</v>
      </c>
    </row>
    <row r="41" spans="2:16" ht="15.75" thickBot="1" x14ac:dyDescent="0.3">
      <c r="C41" s="46" t="s">
        <v>54</v>
      </c>
      <c r="D41" s="47">
        <f>SUM(D37:D40)</f>
        <v>0</v>
      </c>
      <c r="E41" s="47">
        <f>SUM(E37:E40)</f>
        <v>0</v>
      </c>
      <c r="F41" s="47">
        <f>SUM(F37:F40)</f>
        <v>0</v>
      </c>
      <c r="G41" s="48">
        <f>SUM(G37:G40)</f>
        <v>0</v>
      </c>
      <c r="K41" s="37" t="s">
        <v>69</v>
      </c>
      <c r="L41" s="165" t="s">
        <v>147</v>
      </c>
      <c r="M41" s="165" t="s">
        <v>24</v>
      </c>
      <c r="N41" s="165" t="s">
        <v>75</v>
      </c>
      <c r="O41" s="169">
        <f>SUMIFS('M_LC Summary'!$N:$N,'M_LC Summary'!$F:$F,V_Summary!K41,'M_LC Summary'!$D:$D,V_Summary!M41,'M_LC Summary'!$E:$E,V_Summary!N41)</f>
        <v>40316555.43</v>
      </c>
      <c r="P41" s="169">
        <f>SUMIFS('M_LC Summary'!$M:$M,'M_LC Summary'!$F:$F,V_Summary!$K41,'M_LC Summary'!$D:$D,V_Summary!$M41,'M_LC Summary'!$E:$E,V_Summary!$N41)</f>
        <v>112200.9</v>
      </c>
    </row>
    <row r="42" spans="2:16" ht="15.75" thickBot="1" x14ac:dyDescent="0.3">
      <c r="L42" s="74"/>
      <c r="M42" s="75" t="s">
        <v>147</v>
      </c>
      <c r="N42" s="76" t="s">
        <v>54</v>
      </c>
      <c r="O42" s="77">
        <f t="shared" ref="O42:P42" si="5">SUMIF($L:$L,$M42,O:O)</f>
        <v>43720830.829999998</v>
      </c>
      <c r="P42" s="78">
        <f t="shared" si="5"/>
        <v>42311594.799999997</v>
      </c>
    </row>
    <row r="43" spans="2:16" ht="16.5" thickBot="1" x14ac:dyDescent="0.3">
      <c r="B43" s="37" t="s">
        <v>68</v>
      </c>
      <c r="C43" s="34" t="s">
        <v>100</v>
      </c>
      <c r="D43" s="35" t="s">
        <v>76</v>
      </c>
      <c r="E43" s="35" t="s">
        <v>77</v>
      </c>
      <c r="F43" s="35" t="s">
        <v>78</v>
      </c>
      <c r="G43" s="36" t="s">
        <v>79</v>
      </c>
    </row>
    <row r="44" spans="2:16" ht="15.75" thickBot="1" x14ac:dyDescent="0.3">
      <c r="B44" s="37" t="s">
        <v>19</v>
      </c>
      <c r="C44" s="38" t="s">
        <v>80</v>
      </c>
      <c r="D44" s="39">
        <f>SUMIFS('M_LC Summary'!$K:$K,'M_LC Summary'!$F:$F,$B$43,'M_LC Summary'!$G:$G,B44)-SUMIFS('M_LC Summary'!$L:$L,'M_LC Summary'!$F:$F,$B$43,'M_LC Summary'!$G:$G,B44)</f>
        <v>2292730.5</v>
      </c>
      <c r="E44" s="39">
        <f>SUMIFS('M_LC Summary'!$M:$M,'M_LC Summary'!$F:$F,$B$43,'M_LC Summary'!$G:$G,B44)</f>
        <v>949900</v>
      </c>
      <c r="F44" s="40">
        <v>0</v>
      </c>
      <c r="G44" s="40">
        <f>D44+F44</f>
        <v>2292730.5</v>
      </c>
      <c r="K44" s="37" t="s">
        <v>68</v>
      </c>
      <c r="L44" s="165" t="s">
        <v>68</v>
      </c>
      <c r="M44" s="165" t="s">
        <v>24</v>
      </c>
      <c r="N44" s="165" t="s">
        <v>267</v>
      </c>
      <c r="O44" s="169">
        <f>SUMIFS('M_LC Summary'!$N:$N,'M_LC Summary'!$F:$F,V_Summary!K44,'M_LC Summary'!$D:$D,V_Summary!M44,'M_LC Summary'!$E:$E,V_Summary!N44)</f>
        <v>1342830.5</v>
      </c>
      <c r="P44" s="169">
        <f>SUMIFS('M_LC Summary'!$M:$M,'M_LC Summary'!$F:$F,V_Summary!$K44,'M_LC Summary'!$D:$D,V_Summary!$M44,'M_LC Summary'!$E:$E,V_Summary!$N44)</f>
        <v>949900</v>
      </c>
    </row>
    <row r="45" spans="2:16" ht="15.75" thickBot="1" x14ac:dyDescent="0.3">
      <c r="B45" s="37" t="s">
        <v>32</v>
      </c>
      <c r="C45" s="41" t="s">
        <v>81</v>
      </c>
      <c r="D45" s="39">
        <f>SUMIFS('M_LC Summary'!$K:$K,'M_LC Summary'!$F:$F,$B$43,'M_LC Summary'!$G:$G,B45)-SUMIFS('M_LC Summary'!$L:$L,'M_LC Summary'!$F:$F,$B$43,'M_LC Summary'!$G:$G,B45)</f>
        <v>0</v>
      </c>
      <c r="E45" s="39">
        <f>SUMIFS('M_LC Summary'!$M:$M,'M_LC Summary'!$F:$F,$B$43,'M_LC Summary'!$G:$G,B45)</f>
        <v>0</v>
      </c>
      <c r="F45" s="42">
        <v>0</v>
      </c>
      <c r="G45" s="40">
        <f>D45+F45</f>
        <v>0</v>
      </c>
      <c r="L45" s="74"/>
      <c r="M45" s="75" t="s">
        <v>68</v>
      </c>
      <c r="N45" s="76" t="s">
        <v>54</v>
      </c>
      <c r="O45" s="77">
        <f t="shared" ref="O45:P45" si="6">SUMIF($L:$L,$M45,O:O)</f>
        <v>1342830.5</v>
      </c>
      <c r="P45" s="78">
        <f t="shared" si="6"/>
        <v>949900</v>
      </c>
    </row>
    <row r="46" spans="2:16" ht="15.75" thickBot="1" x14ac:dyDescent="0.3">
      <c r="B46" s="37" t="str">
        <f>B43</f>
        <v>NBK</v>
      </c>
      <c r="C46" s="41" t="s">
        <v>444</v>
      </c>
      <c r="D46" s="42">
        <v>0</v>
      </c>
      <c r="E46" s="42">
        <v>0</v>
      </c>
      <c r="F46" s="44">
        <f>SUMIFS(M_Loans!$H:$H,M_Loans!$B:$B,V_Summary!B46,M_Loans!$F:$F,V_Summary!C46)</f>
        <v>15000000</v>
      </c>
      <c r="G46" s="40">
        <f>D46+F46</f>
        <v>15000000</v>
      </c>
    </row>
    <row r="47" spans="2:16" ht="15.75" thickBot="1" x14ac:dyDescent="0.3">
      <c r="B47" s="37" t="str">
        <f>B43</f>
        <v>NBK</v>
      </c>
      <c r="C47" s="43" t="s">
        <v>73</v>
      </c>
      <c r="D47" s="44">
        <v>0</v>
      </c>
      <c r="E47" s="44">
        <v>0</v>
      </c>
      <c r="F47" s="44">
        <f>SUMIFS(M_Loans!$H:$H,M_Loans!$B:$B,V_Summary!B47,M_Loans!$F:$F,V_Summary!C47)</f>
        <v>8543764</v>
      </c>
      <c r="G47" s="40">
        <f>D47+F47</f>
        <v>8543764</v>
      </c>
      <c r="L47" s="84" t="s">
        <v>54</v>
      </c>
      <c r="M47" s="83"/>
      <c r="N47" s="76" t="s">
        <v>55</v>
      </c>
      <c r="O47" s="85">
        <f>SUMIF($N:$N,"Total:",O:O)</f>
        <v>236423818.56999999</v>
      </c>
      <c r="P47" s="86">
        <f>SUMIF($N:$N,"Total:",P:P)</f>
        <v>146745602.59999999</v>
      </c>
    </row>
    <row r="48" spans="2:16" ht="15.75" thickBot="1" x14ac:dyDescent="0.3">
      <c r="C48" s="46" t="s">
        <v>54</v>
      </c>
      <c r="D48" s="47">
        <f>SUM(D44:D47)</f>
        <v>2292730.5</v>
      </c>
      <c r="E48" s="47">
        <f>SUM(E44:E47)</f>
        <v>949900</v>
      </c>
      <c r="F48" s="47">
        <f>SUM(F44:F47)</f>
        <v>23543764</v>
      </c>
      <c r="G48" s="48">
        <f>SUM(G44:G47)</f>
        <v>25836494.5</v>
      </c>
    </row>
    <row r="49" spans="2:7" ht="15.75" thickBot="1" x14ac:dyDescent="0.3"/>
    <row r="50" spans="2:7" ht="16.5" thickBot="1" x14ac:dyDescent="0.3">
      <c r="B50" s="37" t="s">
        <v>69</v>
      </c>
      <c r="C50" s="34" t="s">
        <v>84</v>
      </c>
      <c r="D50" s="35" t="s">
        <v>76</v>
      </c>
      <c r="E50" s="35" t="s">
        <v>77</v>
      </c>
      <c r="F50" s="35" t="s">
        <v>78</v>
      </c>
      <c r="G50" s="36" t="s">
        <v>79</v>
      </c>
    </row>
    <row r="51" spans="2:7" x14ac:dyDescent="0.25">
      <c r="B51" s="37" t="s">
        <v>19</v>
      </c>
      <c r="C51" s="38" t="s">
        <v>80</v>
      </c>
      <c r="D51" s="39">
        <f>SUMIFS('M_LC Summary'!$K:$K,'M_LC Summary'!$F:$F,$B$50,'M_LC Summary'!$G:$G,B51)-SUMIFS('M_LC Summary'!$L:$L,'M_LC Summary'!$F:$F,$B$50,'M_LC Summary'!$G:$G,B51)</f>
        <v>86032425.630000025</v>
      </c>
      <c r="E51" s="39">
        <f>SUMIFS('M_LC Summary'!$M:$M,'M_LC Summary'!$F:$F,$B$50,'M_LC Summary'!$G:$G,B51)</f>
        <v>42311594.799999997</v>
      </c>
      <c r="F51" s="40">
        <v>0</v>
      </c>
      <c r="G51" s="40">
        <f>D51+F51</f>
        <v>86032425.630000025</v>
      </c>
    </row>
    <row r="52" spans="2:7" x14ac:dyDescent="0.25">
      <c r="B52" s="37" t="s">
        <v>32</v>
      </c>
      <c r="C52" s="41" t="s">
        <v>81</v>
      </c>
      <c r="D52" s="39">
        <f>SUMIFS('M_LC Summary'!$K:$K,'M_LC Summary'!$F:$F,$B$50,'M_LC Summary'!$G:$G,B52)-SUMIFS('M_LC Summary'!$L:$L,'M_LC Summary'!$F:$F,$B$50,'M_LC Summary'!$G:$G,B52)</f>
        <v>0</v>
      </c>
      <c r="E52" s="39">
        <f>SUMIFS('M_LC Summary'!$M:$M,'M_LC Summary'!$F:$F,$B$50,'M_LC Summary'!$G:$G,B52)</f>
        <v>0</v>
      </c>
      <c r="F52" s="42">
        <v>0</v>
      </c>
      <c r="G52" s="40">
        <f>D52+F52</f>
        <v>0</v>
      </c>
    </row>
    <row r="53" spans="2:7" x14ac:dyDescent="0.25">
      <c r="C53" s="41" t="s">
        <v>82</v>
      </c>
      <c r="D53" s="42">
        <v>0</v>
      </c>
      <c r="E53" s="42">
        <v>0</v>
      </c>
      <c r="F53" s="42">
        <v>0</v>
      </c>
      <c r="G53" s="40">
        <f>D53+F53</f>
        <v>0</v>
      </c>
    </row>
    <row r="54" spans="2:7" x14ac:dyDescent="0.25">
      <c r="B54" s="37" t="str">
        <f>B50</f>
        <v>Jazira</v>
      </c>
      <c r="C54" s="43" t="s">
        <v>231</v>
      </c>
      <c r="D54" s="44">
        <v>0</v>
      </c>
      <c r="E54" s="44">
        <v>0</v>
      </c>
      <c r="F54" s="44">
        <f>SUMIFS(M_Loans!$H:$H,M_Loans!$B:$B,V_Summary!B54,M_Loans!$F:$F,V_Summary!C54)</f>
        <v>50000000</v>
      </c>
      <c r="G54" s="40">
        <f>D54+F54</f>
        <v>50000000</v>
      </c>
    </row>
    <row r="55" spans="2:7" ht="15.75" thickBot="1" x14ac:dyDescent="0.3">
      <c r="B55" s="37" t="str">
        <f>B50</f>
        <v>Jazira</v>
      </c>
      <c r="C55" s="43" t="s">
        <v>252</v>
      </c>
      <c r="D55" s="44">
        <v>0</v>
      </c>
      <c r="E55" s="44">
        <v>0</v>
      </c>
      <c r="F55" s="44">
        <f>SUMIFS(M_Loans!$H:$H,M_Loans!$B:$B,V_Summary!B55,M_Loans!$F:$F,V_Summary!C55)</f>
        <v>25000000</v>
      </c>
      <c r="G55" s="40">
        <f>D55+F55</f>
        <v>25000000</v>
      </c>
    </row>
    <row r="56" spans="2:7" ht="15.75" thickBot="1" x14ac:dyDescent="0.3">
      <c r="C56" s="46" t="s">
        <v>54</v>
      </c>
      <c r="D56" s="47">
        <f>SUM(D51:D55)</f>
        <v>86032425.630000025</v>
      </c>
      <c r="E56" s="47">
        <f>SUM(E51:E55)</f>
        <v>42311594.799999997</v>
      </c>
      <c r="F56" s="47">
        <f>SUM(F51:F55)</f>
        <v>75000000</v>
      </c>
      <c r="G56" s="47">
        <f>SUM(G51:G55)</f>
        <v>161032425.63000003</v>
      </c>
    </row>
    <row r="57" spans="2:7" ht="15.75" thickBot="1" x14ac:dyDescent="0.3"/>
    <row r="58" spans="2:7" ht="15.75" thickBot="1" x14ac:dyDescent="0.3">
      <c r="C58" s="46" t="s">
        <v>55</v>
      </c>
      <c r="D58" s="73">
        <f>SUMIF($C$5:C56,$C$56,D5:D56)</f>
        <v>385180493.44149005</v>
      </c>
      <c r="E58" s="49">
        <f>SUMIF($C$5:C56,$C$56,E5:E56)</f>
        <v>146745602.59999999</v>
      </c>
      <c r="F58" s="51">
        <f>SUMIF($C$5:C56,$C$56,F5:F56)</f>
        <v>434210080.67000002</v>
      </c>
      <c r="G58" s="47">
        <f>SUMIF($C$5:C56,$C$56,G5:G56)</f>
        <v>819390574.11149001</v>
      </c>
    </row>
  </sheetData>
  <mergeCells count="2">
    <mergeCell ref="L3:P3"/>
    <mergeCell ref="C3:G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D2D66-5316-4842-88DE-40065E32F3BB}">
  <sheetPr codeName="Sheet3"/>
  <dimension ref="A3:D36"/>
  <sheetViews>
    <sheetView topLeftCell="A4" workbookViewId="0">
      <selection activeCell="H22" sqref="H22"/>
    </sheetView>
  </sheetViews>
  <sheetFormatPr defaultRowHeight="15" x14ac:dyDescent="0.25"/>
  <cols>
    <col min="1" max="1" width="12.85546875" bestFit="1" customWidth="1"/>
    <col min="2" max="2" width="17.7109375" bestFit="1" customWidth="1"/>
    <col min="3" max="3" width="18.42578125" bestFit="1" customWidth="1"/>
    <col min="4" max="4" width="18" bestFit="1" customWidth="1"/>
  </cols>
  <sheetData>
    <row r="3" spans="1:4" x14ac:dyDescent="0.25">
      <c r="A3" s="3" t="s">
        <v>14</v>
      </c>
      <c r="B3" s="3" t="s">
        <v>111</v>
      </c>
      <c r="C3" s="3" t="s">
        <v>4</v>
      </c>
      <c r="D3" t="s">
        <v>129</v>
      </c>
    </row>
    <row r="4" spans="1:4" x14ac:dyDescent="0.25">
      <c r="A4" t="s">
        <v>18</v>
      </c>
      <c r="B4" t="s">
        <v>17</v>
      </c>
      <c r="C4" t="s">
        <v>105</v>
      </c>
      <c r="D4" s="119">
        <v>35829833.359999999</v>
      </c>
    </row>
    <row r="5" spans="1:4" x14ac:dyDescent="0.25">
      <c r="C5" t="s">
        <v>27</v>
      </c>
      <c r="D5" s="119">
        <v>21481033</v>
      </c>
    </row>
    <row r="6" spans="1:4" x14ac:dyDescent="0.25">
      <c r="C6" t="s">
        <v>103</v>
      </c>
      <c r="D6" s="119">
        <v>964415.19</v>
      </c>
    </row>
    <row r="7" spans="1:4" x14ac:dyDescent="0.25">
      <c r="C7" t="s">
        <v>17</v>
      </c>
      <c r="D7" s="119">
        <v>35953178.479999997</v>
      </c>
    </row>
    <row r="8" spans="1:4" x14ac:dyDescent="0.25">
      <c r="C8" t="s">
        <v>106</v>
      </c>
      <c r="D8" s="119">
        <v>6373246.9000000004</v>
      </c>
    </row>
    <row r="9" spans="1:4" x14ac:dyDescent="0.25">
      <c r="C9" t="s">
        <v>168</v>
      </c>
      <c r="D9" s="119">
        <v>0</v>
      </c>
    </row>
    <row r="10" spans="1:4" x14ac:dyDescent="0.25">
      <c r="B10" t="s">
        <v>130</v>
      </c>
      <c r="D10" s="119">
        <v>100601706.93000001</v>
      </c>
    </row>
    <row r="11" spans="1:4" x14ac:dyDescent="0.25">
      <c r="D11" s="119"/>
    </row>
    <row r="12" spans="1:4" x14ac:dyDescent="0.25">
      <c r="A12" t="s">
        <v>25</v>
      </c>
      <c r="B12" t="s">
        <v>117</v>
      </c>
      <c r="C12" t="s">
        <v>117</v>
      </c>
      <c r="D12" s="119">
        <v>32716306.289999995</v>
      </c>
    </row>
    <row r="13" spans="1:4" x14ac:dyDescent="0.25">
      <c r="B13" t="s">
        <v>131</v>
      </c>
      <c r="D13" s="119">
        <v>32716306.289999995</v>
      </c>
    </row>
    <row r="14" spans="1:4" x14ac:dyDescent="0.25">
      <c r="D14" s="119"/>
    </row>
    <row r="15" spans="1:4" x14ac:dyDescent="0.25">
      <c r="A15" t="s">
        <v>28</v>
      </c>
      <c r="B15" t="s">
        <v>27</v>
      </c>
      <c r="C15" t="s">
        <v>27</v>
      </c>
      <c r="D15" s="119">
        <v>483205.4</v>
      </c>
    </row>
    <row r="16" spans="1:4" x14ac:dyDescent="0.25">
      <c r="B16" t="s">
        <v>132</v>
      </c>
      <c r="D16" s="119">
        <v>483205.4</v>
      </c>
    </row>
    <row r="17" spans="1:4" x14ac:dyDescent="0.25">
      <c r="D17" s="119"/>
    </row>
    <row r="18" spans="1:4" x14ac:dyDescent="0.25">
      <c r="B18" t="s">
        <v>152</v>
      </c>
      <c r="C18" t="s">
        <v>31</v>
      </c>
      <c r="D18" s="119">
        <v>5932904.5</v>
      </c>
    </row>
    <row r="19" spans="1:4" x14ac:dyDescent="0.25">
      <c r="C19" t="s">
        <v>152</v>
      </c>
      <c r="D19" s="119">
        <v>47257047.960000001</v>
      </c>
    </row>
    <row r="20" spans="1:4" x14ac:dyDescent="0.25">
      <c r="B20" t="s">
        <v>158</v>
      </c>
      <c r="D20" s="119">
        <v>53189952.460000001</v>
      </c>
    </row>
    <row r="21" spans="1:4" x14ac:dyDescent="0.25">
      <c r="D21" s="119"/>
    </row>
    <row r="22" spans="1:4" x14ac:dyDescent="0.25">
      <c r="B22" t="s">
        <v>281</v>
      </c>
      <c r="C22" t="s">
        <v>27</v>
      </c>
      <c r="D22" s="119">
        <v>11269458.029999999</v>
      </c>
    </row>
    <row r="23" spans="1:4" x14ac:dyDescent="0.25">
      <c r="B23" t="s">
        <v>324</v>
      </c>
      <c r="D23" s="119">
        <v>11269458.029999999</v>
      </c>
    </row>
    <row r="24" spans="1:4" x14ac:dyDescent="0.25">
      <c r="D24" s="119"/>
    </row>
    <row r="25" spans="1:4" x14ac:dyDescent="0.25">
      <c r="A25" t="s">
        <v>22</v>
      </c>
      <c r="B25" t="s">
        <v>114</v>
      </c>
      <c r="C25" t="s">
        <v>103</v>
      </c>
      <c r="D25" s="119">
        <v>118208.72</v>
      </c>
    </row>
    <row r="26" spans="1:4" x14ac:dyDescent="0.25">
      <c r="C26" t="s">
        <v>106</v>
      </c>
      <c r="D26" s="119">
        <v>2008860.54</v>
      </c>
    </row>
    <row r="27" spans="1:4" x14ac:dyDescent="0.25">
      <c r="C27" t="s">
        <v>151</v>
      </c>
      <c r="D27" s="119">
        <v>94443082.720000014</v>
      </c>
    </row>
    <row r="28" spans="1:4" x14ac:dyDescent="0.25">
      <c r="B28" t="s">
        <v>133</v>
      </c>
      <c r="D28" s="119">
        <v>96570151.980000019</v>
      </c>
    </row>
    <row r="29" spans="1:4" x14ac:dyDescent="0.25">
      <c r="D29" s="119"/>
    </row>
    <row r="30" spans="1:4" x14ac:dyDescent="0.25">
      <c r="A30" t="s">
        <v>69</v>
      </c>
      <c r="B30" t="s">
        <v>75</v>
      </c>
      <c r="C30" t="s">
        <v>27</v>
      </c>
      <c r="D30" s="119">
        <v>42000000</v>
      </c>
    </row>
    <row r="31" spans="1:4" x14ac:dyDescent="0.25">
      <c r="C31" t="s">
        <v>75</v>
      </c>
      <c r="D31" s="119">
        <v>44032425.629999995</v>
      </c>
    </row>
    <row r="32" spans="1:4" x14ac:dyDescent="0.25">
      <c r="B32" t="s">
        <v>146</v>
      </c>
      <c r="D32" s="119">
        <v>86032425.629999995</v>
      </c>
    </row>
    <row r="33" spans="1:4" x14ac:dyDescent="0.25">
      <c r="D33" s="119"/>
    </row>
    <row r="34" spans="1:4" x14ac:dyDescent="0.25">
      <c r="A34" t="s">
        <v>68</v>
      </c>
      <c r="B34" t="s">
        <v>267</v>
      </c>
      <c r="C34" t="s">
        <v>267</v>
      </c>
      <c r="D34" s="119">
        <v>2292730.5</v>
      </c>
    </row>
    <row r="35" spans="1:4" x14ac:dyDescent="0.25">
      <c r="B35" t="s">
        <v>273</v>
      </c>
      <c r="D35" s="119">
        <v>2292730.5</v>
      </c>
    </row>
    <row r="36" spans="1:4" x14ac:dyDescent="0.25">
      <c r="D36" s="119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DDB9AF-E7F2-49AD-B597-A94B6D4A402F}">
  <sheetPr codeName="Sheet4"/>
  <dimension ref="B3:K61"/>
  <sheetViews>
    <sheetView zoomScaleNormal="100" workbookViewId="0"/>
  </sheetViews>
  <sheetFormatPr defaultColWidth="8.85546875" defaultRowHeight="15" x14ac:dyDescent="0.25"/>
  <cols>
    <col min="1" max="1" width="8.85546875" style="37" customWidth="1"/>
    <col min="2" max="2" width="8.85546875" style="37" hidden="1" customWidth="1"/>
    <col min="3" max="3" width="12.7109375" style="37" hidden="1" customWidth="1"/>
    <col min="4" max="4" width="11.7109375" style="37" bestFit="1" customWidth="1"/>
    <col min="5" max="5" width="15.140625" style="37" bestFit="1" customWidth="1"/>
    <col min="6" max="6" width="19.42578125" style="37" bestFit="1" customWidth="1"/>
    <col min="7" max="7" width="21.5703125" style="37" bestFit="1" customWidth="1"/>
    <col min="8" max="8" width="16.42578125" style="37" bestFit="1" customWidth="1"/>
    <col min="9" max="9" width="17.140625" style="37" customWidth="1"/>
    <col min="10" max="10" width="16" style="37" bestFit="1" customWidth="1"/>
    <col min="11" max="11" width="56.5703125" style="37" bestFit="1" customWidth="1"/>
    <col min="12" max="13" width="8.85546875" style="37"/>
    <col min="14" max="14" width="7.140625" style="37" bestFit="1" customWidth="1"/>
    <col min="15" max="15" width="8.85546875" style="37"/>
    <col min="16" max="16" width="14.7109375" style="37" bestFit="1" customWidth="1"/>
    <col min="17" max="17" width="18.28515625" style="37" bestFit="1" customWidth="1"/>
    <col min="18" max="16384" width="8.85546875" style="37"/>
  </cols>
  <sheetData>
    <row r="3" spans="2:11" ht="20.25" x14ac:dyDescent="0.3">
      <c r="D3" s="244" t="s">
        <v>119</v>
      </c>
      <c r="E3" s="244"/>
      <c r="F3" s="244"/>
      <c r="G3" s="244"/>
      <c r="H3" s="244"/>
      <c r="I3" s="244"/>
      <c r="J3" s="244"/>
      <c r="K3" s="244"/>
    </row>
    <row r="4" spans="2:11" ht="9.6" customHeight="1" thickBot="1" x14ac:dyDescent="0.35">
      <c r="D4" s="87"/>
      <c r="E4" s="87"/>
      <c r="F4" s="87"/>
      <c r="G4" s="87"/>
      <c r="H4" s="87"/>
      <c r="I4" s="87"/>
      <c r="J4" s="87"/>
      <c r="K4" s="87"/>
    </row>
    <row r="5" spans="2:11" ht="16.5" thickBot="1" x14ac:dyDescent="0.3">
      <c r="D5" s="88" t="s">
        <v>14</v>
      </c>
      <c r="E5" s="88" t="s">
        <v>120</v>
      </c>
      <c r="F5" s="88" t="s">
        <v>121</v>
      </c>
      <c r="G5" s="88" t="s">
        <v>122</v>
      </c>
      <c r="H5" s="88" t="s">
        <v>11</v>
      </c>
      <c r="I5" s="88" t="s">
        <v>123</v>
      </c>
      <c r="J5" s="88" t="s">
        <v>124</v>
      </c>
      <c r="K5" s="88" t="s">
        <v>125</v>
      </c>
    </row>
    <row r="6" spans="2:11" x14ac:dyDescent="0.25">
      <c r="B6" s="37" t="s">
        <v>18</v>
      </c>
      <c r="C6" s="37" t="s">
        <v>17</v>
      </c>
      <c r="D6" s="228" t="s">
        <v>18</v>
      </c>
      <c r="E6" s="245" t="s">
        <v>17</v>
      </c>
      <c r="F6" s="242">
        <f>400000000</f>
        <v>400000000</v>
      </c>
      <c r="G6" s="89" t="s">
        <v>103</v>
      </c>
      <c r="H6" s="40">
        <f>SUMIFS(FacilitySpace_Issued[Subtraction],FacilitySpace_Issued[Bank Name],'M_Facility Space'!B6,FacilitySpace_Issued[Facility Space],'M_Facility Space'!C6,FacilitySpace_Issued[Project],'M_Facility Space'!G6)</f>
        <v>964415.19</v>
      </c>
      <c r="I6" s="38"/>
      <c r="J6" s="38"/>
      <c r="K6" s="38"/>
    </row>
    <row r="7" spans="2:11" x14ac:dyDescent="0.25">
      <c r="B7" s="37" t="s">
        <v>18</v>
      </c>
      <c r="C7" s="37" t="s">
        <v>17</v>
      </c>
      <c r="D7" s="236"/>
      <c r="E7" s="246"/>
      <c r="F7" s="248"/>
      <c r="G7" s="90" t="s">
        <v>168</v>
      </c>
      <c r="H7" s="40">
        <f>SUMIFS(FacilitySpace_Issued[Subtraction],FacilitySpace_Issued[Bank Name],'M_Facility Space'!B7,FacilitySpace_Issued[Facility Space],'M_Facility Space'!C7,FacilitySpace_Issued[Project],'M_Facility Space'!G7)</f>
        <v>0</v>
      </c>
      <c r="I7" s="41"/>
      <c r="J7" s="41"/>
      <c r="K7" s="41"/>
    </row>
    <row r="8" spans="2:11" x14ac:dyDescent="0.25">
      <c r="B8" s="37" t="s">
        <v>18</v>
      </c>
      <c r="C8" s="37" t="s">
        <v>17</v>
      </c>
      <c r="D8" s="236"/>
      <c r="E8" s="246"/>
      <c r="F8" s="248"/>
      <c r="G8" s="90" t="s">
        <v>288</v>
      </c>
      <c r="H8" s="40">
        <f>SUMIFS(FacilitySpace_Issued[Subtraction],FacilitySpace_Issued[Bank Name],'M_Facility Space'!B8,FacilitySpace_Issued[Facility Space],'M_Facility Space'!C8,FacilitySpace_Issued[Project],'M_Facility Space'!G8)</f>
        <v>21481033</v>
      </c>
      <c r="I8" s="41"/>
      <c r="J8" s="41"/>
      <c r="K8" s="41"/>
    </row>
    <row r="9" spans="2:11" x14ac:dyDescent="0.25">
      <c r="B9" s="37" t="s">
        <v>18</v>
      </c>
      <c r="C9" s="37" t="s">
        <v>17</v>
      </c>
      <c r="D9" s="236"/>
      <c r="E9" s="246"/>
      <c r="F9" s="248"/>
      <c r="G9" s="91" t="s">
        <v>17</v>
      </c>
      <c r="H9" s="40">
        <f>SUMIFS(FacilitySpace_Issued[Subtraction],FacilitySpace_Issued[Bank Name],'M_Facility Space'!B9,FacilitySpace_Issued[Facility Space],'M_Facility Space'!C9,FacilitySpace_Issued[Project],'M_Facility Space'!G9)</f>
        <v>35953178.479999997</v>
      </c>
      <c r="I9" s="43"/>
      <c r="J9" s="43"/>
      <c r="K9" s="43"/>
    </row>
    <row r="10" spans="2:11" x14ac:dyDescent="0.25">
      <c r="B10" s="37" t="s">
        <v>18</v>
      </c>
      <c r="C10" s="37" t="s">
        <v>17</v>
      </c>
      <c r="D10" s="236"/>
      <c r="E10" s="246"/>
      <c r="F10" s="248"/>
      <c r="G10" s="150" t="s">
        <v>105</v>
      </c>
      <c r="H10" s="40">
        <f>SUMIFS(FacilitySpace_Issued[Subtraction],FacilitySpace_Issued[Bank Name],'M_Facility Space'!B10,FacilitySpace_Issued[Facility Space],'M_Facility Space'!C10,FacilitySpace_Issued[Project],'M_Facility Space'!G10)</f>
        <v>35829833.359999999</v>
      </c>
      <c r="I10" s="43"/>
      <c r="J10" s="43"/>
      <c r="K10" s="43"/>
    </row>
    <row r="11" spans="2:11" ht="15.75" thickBot="1" x14ac:dyDescent="0.3">
      <c r="B11" s="37" t="s">
        <v>18</v>
      </c>
      <c r="C11" s="37" t="s">
        <v>17</v>
      </c>
      <c r="D11" s="229"/>
      <c r="E11" s="247"/>
      <c r="F11" s="243"/>
      <c r="G11" s="90" t="s">
        <v>106</v>
      </c>
      <c r="H11" s="40">
        <f>SUMIFS(FacilitySpace_Issued[Subtraction],FacilitySpace_Issued[Bank Name],'M_Facility Space'!B11,FacilitySpace_Issued[Facility Space],'M_Facility Space'!C11,FacilitySpace_Issued[Project],'M_Facility Space'!G11)</f>
        <v>6373246.9000000004</v>
      </c>
      <c r="I11" s="43"/>
      <c r="J11" s="43"/>
      <c r="K11" s="43"/>
    </row>
    <row r="12" spans="2:11" ht="15.75" thickBot="1" x14ac:dyDescent="0.3">
      <c r="D12" s="92"/>
      <c r="E12" s="93"/>
      <c r="F12" s="94"/>
      <c r="G12" s="95" t="s">
        <v>62</v>
      </c>
      <c r="H12" s="96">
        <f>SUM(H6:H11)</f>
        <v>100601706.93000001</v>
      </c>
      <c r="I12" s="97">
        <f>M_Loans!H9</f>
        <v>50000000</v>
      </c>
      <c r="J12" s="98">
        <f>F6-H12-I12</f>
        <v>249398293.06999999</v>
      </c>
      <c r="K12" s="99" t="s">
        <v>126</v>
      </c>
    </row>
    <row r="13" spans="2:11" ht="15.75" thickBot="1" x14ac:dyDescent="0.3">
      <c r="G13" s="100"/>
      <c r="H13" s="101"/>
      <c r="I13" s="102"/>
      <c r="J13" s="103"/>
    </row>
    <row r="14" spans="2:11" ht="15.75" hidden="1" thickBot="1" x14ac:dyDescent="0.3">
      <c r="D14" s="104" t="s">
        <v>14</v>
      </c>
      <c r="E14" s="104" t="s">
        <v>120</v>
      </c>
      <c r="F14" s="105" t="s">
        <v>121</v>
      </c>
      <c r="G14" s="105" t="s">
        <v>122</v>
      </c>
      <c r="H14" s="105" t="s">
        <v>11</v>
      </c>
      <c r="I14" s="105" t="s">
        <v>123</v>
      </c>
      <c r="J14" s="105" t="s">
        <v>124</v>
      </c>
      <c r="K14" s="106" t="s">
        <v>125</v>
      </c>
    </row>
    <row r="15" spans="2:11" hidden="1" x14ac:dyDescent="0.25">
      <c r="B15" s="37" t="s">
        <v>26</v>
      </c>
      <c r="C15" s="37" t="s">
        <v>116</v>
      </c>
      <c r="D15" s="228" t="s">
        <v>26</v>
      </c>
      <c r="E15" s="245" t="s">
        <v>116</v>
      </c>
      <c r="F15" s="242">
        <f>300000000</f>
        <v>300000000</v>
      </c>
      <c r="G15" s="90" t="s">
        <v>103</v>
      </c>
      <c r="H15" s="40">
        <f>SUMIFS(FacilitySpace_Issued[Subtraction],FacilitySpace_Issued[Bank Name],'M_Facility Space'!B15,FacilitySpace_Issued[Facility Space],'M_Facility Space'!C15,FacilitySpace_Issued[Project],'M_Facility Space'!G15)</f>
        <v>0</v>
      </c>
      <c r="I15" s="42"/>
      <c r="J15" s="41"/>
      <c r="K15" s="41"/>
    </row>
    <row r="16" spans="2:11" hidden="1" x14ac:dyDescent="0.25">
      <c r="B16" s="37" t="s">
        <v>26</v>
      </c>
      <c r="C16" s="37" t="s">
        <v>116</v>
      </c>
      <c r="D16" s="236"/>
      <c r="E16" s="246"/>
      <c r="F16" s="248"/>
      <c r="G16" s="90" t="s">
        <v>17</v>
      </c>
      <c r="H16" s="40">
        <f>SUMIFS(FacilitySpace_Issued[Subtraction],FacilitySpace_Issued[Bank Name],'M_Facility Space'!B16,FacilitySpace_Issued[Facility Space],'M_Facility Space'!C16,FacilitySpace_Issued[Project],'M_Facility Space'!G16)</f>
        <v>0</v>
      </c>
      <c r="I16" s="42"/>
      <c r="J16" s="41"/>
      <c r="K16" s="41"/>
    </row>
    <row r="17" spans="2:11" ht="15.75" hidden="1" thickBot="1" x14ac:dyDescent="0.3">
      <c r="B17" s="37" t="s">
        <v>26</v>
      </c>
      <c r="C17" s="37" t="s">
        <v>116</v>
      </c>
      <c r="D17" s="236"/>
      <c r="E17" s="247"/>
      <c r="F17" s="243"/>
      <c r="G17" s="90" t="s">
        <v>106</v>
      </c>
      <c r="H17" s="40">
        <f>SUMIFS(FacilitySpace_Issued[Subtraction],FacilitySpace_Issued[Bank Name],'M_Facility Space'!B17,FacilitySpace_Issued[Facility Space],'M_Facility Space'!C17,FacilitySpace_Issued[Project],'M_Facility Space'!G17)</f>
        <v>0</v>
      </c>
      <c r="I17" s="42"/>
      <c r="J17" s="41"/>
      <c r="K17" s="41"/>
    </row>
    <row r="18" spans="2:11" ht="15.75" hidden="1" thickBot="1" x14ac:dyDescent="0.3">
      <c r="B18" s="37" t="s">
        <v>26</v>
      </c>
      <c r="D18" s="236"/>
      <c r="E18" s="107"/>
      <c r="F18" s="108"/>
      <c r="G18" s="95" t="s">
        <v>62</v>
      </c>
      <c r="H18" s="96">
        <f>SUM(H15:H17)</f>
        <v>0</v>
      </c>
      <c r="I18" s="97">
        <v>183709619</v>
      </c>
      <c r="J18" s="98">
        <f>F15-H18-I18</f>
        <v>116290381</v>
      </c>
      <c r="K18" s="99" t="s">
        <v>127</v>
      </c>
    </row>
    <row r="19" spans="2:11" ht="15.75" hidden="1" thickBot="1" x14ac:dyDescent="0.3">
      <c r="B19" s="37" t="s">
        <v>26</v>
      </c>
      <c r="D19" s="236"/>
      <c r="E19" s="109"/>
      <c r="F19" s="109"/>
      <c r="G19" s="110"/>
      <c r="H19" s="111"/>
      <c r="I19" s="112"/>
      <c r="J19" s="109"/>
      <c r="K19" s="109"/>
    </row>
    <row r="20" spans="2:11" hidden="1" x14ac:dyDescent="0.25">
      <c r="B20" s="37" t="s">
        <v>26</v>
      </c>
      <c r="C20" s="37" t="s">
        <v>117</v>
      </c>
      <c r="D20" s="236"/>
      <c r="E20" s="245" t="s">
        <v>117</v>
      </c>
      <c r="F20" s="242">
        <v>93000000</v>
      </c>
      <c r="G20" s="90" t="s">
        <v>103</v>
      </c>
      <c r="H20" s="42">
        <f>SUMIFS(FacilitySpace_Issued[Subtraction],FacilitySpace_Issued[Bank Name],'M_Facility Space'!B20,FacilitySpace_Issued[Facility Space],'M_Facility Space'!C20,FacilitySpace_Issued[Project],'M_Facility Space'!G20)</f>
        <v>0</v>
      </c>
      <c r="I20" s="41"/>
      <c r="J20" s="41"/>
      <c r="K20" s="41"/>
    </row>
    <row r="21" spans="2:11" hidden="1" x14ac:dyDescent="0.25">
      <c r="B21" s="37" t="s">
        <v>26</v>
      </c>
      <c r="C21" s="37" t="s">
        <v>117</v>
      </c>
      <c r="D21" s="236"/>
      <c r="E21" s="246"/>
      <c r="F21" s="248"/>
      <c r="G21" s="91" t="s">
        <v>17</v>
      </c>
      <c r="H21" s="40">
        <f>SUMIFS(FacilitySpace_Issued[Subtraction],FacilitySpace_Issued[Bank Name],'M_Facility Space'!B21,FacilitySpace_Issued[Facility Space],'M_Facility Space'!C21,FacilitySpace_Issued[Project],'M_Facility Space'!G21)</f>
        <v>0</v>
      </c>
      <c r="I21" s="43"/>
      <c r="J21" s="43"/>
      <c r="K21" s="43"/>
    </row>
    <row r="22" spans="2:11" hidden="1" x14ac:dyDescent="0.25">
      <c r="B22" s="37" t="s">
        <v>26</v>
      </c>
      <c r="C22" s="37" t="s">
        <v>117</v>
      </c>
      <c r="D22" s="236"/>
      <c r="E22" s="246"/>
      <c r="F22" s="248"/>
      <c r="G22" s="90" t="s">
        <v>114</v>
      </c>
      <c r="H22" s="40">
        <f>SUMIFS(FacilitySpace_Issued[Subtraction],FacilitySpace_Issued[Bank Name],'M_Facility Space'!B22,FacilitySpace_Issued[Facility Space],'M_Facility Space'!C22,FacilitySpace_Issued[Project],'M_Facility Space'!G22)</f>
        <v>0</v>
      </c>
      <c r="I22" s="43"/>
      <c r="J22" s="43"/>
      <c r="K22" s="43"/>
    </row>
    <row r="23" spans="2:11" ht="15.75" hidden="1" thickBot="1" x14ac:dyDescent="0.3">
      <c r="B23" s="37" t="s">
        <v>26</v>
      </c>
      <c r="C23" s="37" t="s">
        <v>117</v>
      </c>
      <c r="D23" s="229"/>
      <c r="E23" s="247"/>
      <c r="F23" s="243"/>
      <c r="G23" s="91" t="s">
        <v>117</v>
      </c>
      <c r="H23" s="40">
        <f>SUMIFS(FacilitySpace_Issued[Subtraction],FacilitySpace_Issued[Bank Name],'M_Facility Space'!B23,FacilitySpace_Issued[Facility Space],'M_Facility Space'!C23,FacilitySpace_Issued[Project],'M_Facility Space'!G23)</f>
        <v>0</v>
      </c>
      <c r="I23" s="43"/>
      <c r="J23" s="43"/>
      <c r="K23" s="43"/>
    </row>
    <row r="24" spans="2:11" ht="15.75" hidden="1" thickBot="1" x14ac:dyDescent="0.3">
      <c r="D24" s="113"/>
      <c r="E24" s="114"/>
      <c r="F24" s="115"/>
      <c r="G24" s="95" t="s">
        <v>62</v>
      </c>
      <c r="H24" s="96">
        <f>SUM(H20:H23)</f>
        <v>0</v>
      </c>
      <c r="I24" s="97">
        <v>0</v>
      </c>
      <c r="J24" s="98">
        <f>F20-H24-I24</f>
        <v>93000000</v>
      </c>
      <c r="K24" s="99"/>
    </row>
    <row r="25" spans="2:11" ht="15.75" hidden="1" thickBot="1" x14ac:dyDescent="0.3">
      <c r="G25" s="100"/>
      <c r="H25" s="101"/>
      <c r="I25" s="102"/>
      <c r="J25" s="103"/>
    </row>
    <row r="26" spans="2:11" ht="15.75" thickBot="1" x14ac:dyDescent="0.3">
      <c r="D26" s="104" t="s">
        <v>14</v>
      </c>
      <c r="E26" s="104" t="s">
        <v>120</v>
      </c>
      <c r="F26" s="104" t="s">
        <v>121</v>
      </c>
      <c r="G26" s="104" t="s">
        <v>122</v>
      </c>
      <c r="H26" s="104" t="s">
        <v>11</v>
      </c>
      <c r="I26" s="104" t="s">
        <v>123</v>
      </c>
      <c r="J26" s="104" t="s">
        <v>124</v>
      </c>
      <c r="K26" s="104" t="s">
        <v>125</v>
      </c>
    </row>
    <row r="27" spans="2:11" x14ac:dyDescent="0.25">
      <c r="B27" s="37" t="s">
        <v>25</v>
      </c>
      <c r="C27" s="37" t="s">
        <v>116</v>
      </c>
      <c r="D27" s="228" t="s">
        <v>25</v>
      </c>
      <c r="E27" s="237" t="s">
        <v>116</v>
      </c>
      <c r="F27" s="239">
        <f>600000000</f>
        <v>600000000</v>
      </c>
      <c r="G27" s="41" t="s">
        <v>31</v>
      </c>
      <c r="H27" s="42">
        <f>SUMIFS(FacilitySpace_Issued[Subtraction],FacilitySpace_Issued[Bank Name],'M_Facility Space'!B27,FacilitySpace_Issued[Facility Space],'M_Facility Space'!C27,FacilitySpace_Issued[Project],'M_Facility Space'!G27)</f>
        <v>0</v>
      </c>
      <c r="I27" s="42"/>
      <c r="J27" s="41"/>
      <c r="K27" s="41"/>
    </row>
    <row r="28" spans="2:11" ht="15.75" thickBot="1" x14ac:dyDescent="0.3">
      <c r="B28" s="37" t="s">
        <v>25</v>
      </c>
      <c r="C28" s="37" t="s">
        <v>116</v>
      </c>
      <c r="D28" s="236"/>
      <c r="E28" s="238"/>
      <c r="F28" s="233"/>
      <c r="G28" s="43" t="s">
        <v>215</v>
      </c>
      <c r="H28" s="40">
        <f>SUMIFS(FacilitySpace_Issued[Subtraction],FacilitySpace_Issued[Bank Name],'M_Facility Space'!B28,FacilitySpace_Issued[Facility Space],'M_Facility Space'!C28,FacilitySpace_Issued[Project],'M_Facility Space'!G28)</f>
        <v>0</v>
      </c>
      <c r="I28" s="44"/>
      <c r="J28" s="43"/>
      <c r="K28" s="43"/>
    </row>
    <row r="29" spans="2:11" ht="15.75" thickBot="1" x14ac:dyDescent="0.3">
      <c r="D29" s="236"/>
      <c r="E29" s="107"/>
      <c r="F29" s="94"/>
      <c r="G29" s="95" t="s">
        <v>62</v>
      </c>
      <c r="H29" s="96">
        <f>SUM(H27:H28)</f>
        <v>0</v>
      </c>
      <c r="I29" s="97">
        <v>454937466</v>
      </c>
      <c r="J29" s="98">
        <f>F27-H29-I29</f>
        <v>145062534</v>
      </c>
      <c r="K29" s="99" t="s">
        <v>128</v>
      </c>
    </row>
    <row r="30" spans="2:11" ht="15.75" thickBot="1" x14ac:dyDescent="0.3">
      <c r="D30" s="236"/>
      <c r="E30" s="187"/>
      <c r="F30" s="94"/>
      <c r="G30" s="108"/>
      <c r="H30" s="97"/>
      <c r="I30" s="97"/>
      <c r="J30" s="108"/>
      <c r="K30" s="99"/>
    </row>
    <row r="31" spans="2:11" ht="15.75" thickBot="1" x14ac:dyDescent="0.3">
      <c r="B31" s="37" t="s">
        <v>25</v>
      </c>
      <c r="C31" s="37" t="s">
        <v>117</v>
      </c>
      <c r="D31" s="236"/>
      <c r="E31" s="200" t="s">
        <v>117</v>
      </c>
      <c r="F31" s="184">
        <v>200000000</v>
      </c>
      <c r="G31" s="185" t="s">
        <v>117</v>
      </c>
      <c r="H31" s="186">
        <f>SUMIFS(FacilitySpace_Issued[Subtraction],FacilitySpace_Issued[Bank Name],'M_Facility Space'!B31,FacilitySpace_Issued[Facility Space],'M_Facility Space'!C31,FacilitySpace_Issued[Project],'M_Facility Space'!G31)</f>
        <v>32716306.289999995</v>
      </c>
      <c r="I31" s="45"/>
      <c r="J31" s="117"/>
      <c r="K31" s="117"/>
    </row>
    <row r="32" spans="2:11" ht="15.75" thickBot="1" x14ac:dyDescent="0.3">
      <c r="D32" s="229"/>
      <c r="E32" s="107"/>
      <c r="F32" s="94"/>
      <c r="G32" s="95" t="s">
        <v>62</v>
      </c>
      <c r="H32" s="96">
        <f>SUM(H30:H31)</f>
        <v>32716306.289999995</v>
      </c>
      <c r="I32" s="97">
        <v>0</v>
      </c>
      <c r="J32" s="98">
        <f>F31-H32-I32</f>
        <v>167283693.71000001</v>
      </c>
      <c r="K32" s="99" t="s">
        <v>203</v>
      </c>
    </row>
    <row r="33" spans="2:11" ht="15.75" thickBot="1" x14ac:dyDescent="0.3">
      <c r="G33" s="100"/>
      <c r="H33" s="101"/>
      <c r="I33" s="102"/>
      <c r="J33" s="103"/>
    </row>
    <row r="34" spans="2:11" ht="15.75" thickBot="1" x14ac:dyDescent="0.3">
      <c r="D34" s="105" t="s">
        <v>14</v>
      </c>
      <c r="E34" s="105" t="s">
        <v>120</v>
      </c>
      <c r="F34" s="105" t="s">
        <v>121</v>
      </c>
      <c r="G34" s="105" t="s">
        <v>122</v>
      </c>
      <c r="H34" s="105" t="s">
        <v>11</v>
      </c>
      <c r="I34" s="105" t="s">
        <v>123</v>
      </c>
      <c r="J34" s="105" t="s">
        <v>124</v>
      </c>
      <c r="K34" s="105" t="s">
        <v>125</v>
      </c>
    </row>
    <row r="35" spans="2:11" ht="15.75" thickBot="1" x14ac:dyDescent="0.3">
      <c r="B35" s="37" t="s">
        <v>28</v>
      </c>
      <c r="C35" s="37" t="s">
        <v>27</v>
      </c>
      <c r="D35" s="228" t="s">
        <v>28</v>
      </c>
      <c r="E35" s="149" t="s">
        <v>27</v>
      </c>
      <c r="F35" s="148">
        <v>320000000</v>
      </c>
      <c r="G35" s="91" t="s">
        <v>27</v>
      </c>
      <c r="H35" s="45">
        <f>SUMIFS(FacilitySpace_Issued[Subtraction],FacilitySpace_Issued[Bank Name],'M_Facility Space'!B35,FacilitySpace_Issued[Facility Space],'M_Facility Space'!C35,FacilitySpace_Issued[Project],'M_Facility Space'!G35)</f>
        <v>483205.4</v>
      </c>
      <c r="I35" s="44"/>
      <c r="J35" s="43"/>
      <c r="K35" s="43"/>
    </row>
    <row r="36" spans="2:11" ht="15.75" thickBot="1" x14ac:dyDescent="0.3">
      <c r="D36" s="236"/>
      <c r="E36" s="107"/>
      <c r="F36" s="94"/>
      <c r="G36" s="95" t="s">
        <v>62</v>
      </c>
      <c r="H36" s="96">
        <f>SUM(H35)</f>
        <v>483205.4</v>
      </c>
      <c r="I36" s="97">
        <v>0</v>
      </c>
      <c r="J36" s="98">
        <f>F35-H36-I36</f>
        <v>319516794.60000002</v>
      </c>
      <c r="K36" s="99"/>
    </row>
    <row r="37" spans="2:11" ht="15.75" thickBot="1" x14ac:dyDescent="0.3">
      <c r="D37" s="236"/>
      <c r="E37" s="146"/>
      <c r="F37" s="147"/>
      <c r="G37" s="116"/>
      <c r="H37" s="45"/>
      <c r="I37" s="40"/>
      <c r="J37" s="38"/>
      <c r="K37" s="38"/>
    </row>
    <row r="38" spans="2:11" x14ac:dyDescent="0.25">
      <c r="B38" s="37" t="s">
        <v>28</v>
      </c>
      <c r="C38" s="37" t="s">
        <v>152</v>
      </c>
      <c r="D38" s="236"/>
      <c r="E38" s="240" t="s">
        <v>152</v>
      </c>
      <c r="F38" s="242">
        <v>60000000</v>
      </c>
      <c r="G38" s="91" t="s">
        <v>152</v>
      </c>
      <c r="H38" s="44">
        <f>SUMIFS(FacilitySpace_Issued[Subtraction],FacilitySpace_Issued[Bank Name],'M_Facility Space'!B38,FacilitySpace_Issued[Facility Space],'M_Facility Space'!C38,FacilitySpace_Issued[Project],'M_Facility Space'!G38)</f>
        <v>47257047.960000001</v>
      </c>
      <c r="I38" s="44"/>
      <c r="J38" s="43"/>
      <c r="K38" s="43"/>
    </row>
    <row r="39" spans="2:11" ht="15.75" thickBot="1" x14ac:dyDescent="0.3">
      <c r="B39" s="37" t="s">
        <v>28</v>
      </c>
      <c r="C39" s="37" t="s">
        <v>152</v>
      </c>
      <c r="D39" s="236"/>
      <c r="E39" s="241"/>
      <c r="F39" s="243"/>
      <c r="G39" s="91" t="s">
        <v>156</v>
      </c>
      <c r="H39" s="44">
        <f>SUMIFS(FacilitySpace_Issued[Subtraction],FacilitySpace_Issued[Bank Name],'M_Facility Space'!B39,FacilitySpace_Issued[Facility Space],'M_Facility Space'!C39,FacilitySpace_Issued[Project],'M_Facility Space'!G39)</f>
        <v>5932904.5</v>
      </c>
      <c r="I39" s="44"/>
      <c r="J39" s="43"/>
      <c r="K39" s="43"/>
    </row>
    <row r="40" spans="2:11" ht="15.75" thickBot="1" x14ac:dyDescent="0.3">
      <c r="D40" s="236"/>
      <c r="E40" s="107"/>
      <c r="F40" s="94"/>
      <c r="G40" s="95" t="s">
        <v>62</v>
      </c>
      <c r="H40" s="96">
        <f>SUM(H38:H39)</f>
        <v>53189952.460000001</v>
      </c>
      <c r="I40" s="97">
        <v>0</v>
      </c>
      <c r="J40" s="98">
        <f>F38-H40-I40</f>
        <v>6810047.5399999991</v>
      </c>
      <c r="K40" s="99"/>
    </row>
    <row r="41" spans="2:11" ht="15.75" thickBot="1" x14ac:dyDescent="0.3">
      <c r="D41" s="236"/>
      <c r="E41" s="212"/>
      <c r="F41" s="213"/>
      <c r="G41" s="214"/>
      <c r="H41" s="215"/>
      <c r="I41" s="45"/>
      <c r="J41" s="45"/>
      <c r="K41" s="211"/>
    </row>
    <row r="42" spans="2:11" x14ac:dyDescent="0.25">
      <c r="B42" s="37" t="s">
        <v>28</v>
      </c>
      <c r="C42" s="37" t="s">
        <v>281</v>
      </c>
      <c r="D42" s="236"/>
      <c r="E42" s="240" t="s">
        <v>281</v>
      </c>
      <c r="F42" s="242">
        <v>29500000</v>
      </c>
      <c r="G42" s="91" t="s">
        <v>288</v>
      </c>
      <c r="H42" s="44">
        <f>SUMIFS(FacilitySpace_Issued[Subtraction],FacilitySpace_Issued[Bank Name],'M_Facility Space'!B42,FacilitySpace_Issued[Facility Space],'M_Facility Space'!C42,FacilitySpace_Issued[Project],'M_Facility Space'!G42)</f>
        <v>11269458.029999999</v>
      </c>
      <c r="I42" s="44"/>
      <c r="J42" s="43"/>
      <c r="K42" s="43"/>
    </row>
    <row r="43" spans="2:11" ht="15.75" thickBot="1" x14ac:dyDescent="0.3">
      <c r="B43" s="37" t="s">
        <v>28</v>
      </c>
      <c r="C43" s="37" t="s">
        <v>281</v>
      </c>
      <c r="D43" s="229"/>
      <c r="E43" s="241"/>
      <c r="F43" s="243"/>
      <c r="G43" s="91" t="s">
        <v>281</v>
      </c>
      <c r="H43" s="44">
        <f>SUMIFS(FacilitySpace_Issued[Subtraction],FacilitySpace_Issued[Bank Name],'M_Facility Space'!B43,FacilitySpace_Issued[Facility Space],'M_Facility Space'!C43,FacilitySpace_Issued[Project],'M_Facility Space'!G43)</f>
        <v>0</v>
      </c>
      <c r="I43" s="44"/>
      <c r="J43" s="43"/>
      <c r="K43" s="43"/>
    </row>
    <row r="44" spans="2:11" ht="15.75" thickBot="1" x14ac:dyDescent="0.3">
      <c r="D44" s="92"/>
      <c r="E44" s="108"/>
      <c r="F44" s="94"/>
      <c r="G44" s="95" t="s">
        <v>62</v>
      </c>
      <c r="H44" s="96">
        <f>SUM(H42:H43)</f>
        <v>11269458.029999999</v>
      </c>
      <c r="I44" s="97">
        <v>0</v>
      </c>
      <c r="J44" s="98">
        <f>F42-H44-I44</f>
        <v>18230541.969999999</v>
      </c>
      <c r="K44" s="99"/>
    </row>
    <row r="45" spans="2:11" ht="15.75" thickBot="1" x14ac:dyDescent="0.3">
      <c r="G45" s="100"/>
      <c r="H45" s="101"/>
      <c r="I45" s="102"/>
      <c r="J45" s="103"/>
    </row>
    <row r="46" spans="2:11" ht="15.75" thickBot="1" x14ac:dyDescent="0.3">
      <c r="D46" s="105" t="s">
        <v>14</v>
      </c>
      <c r="E46" s="105" t="s">
        <v>120</v>
      </c>
      <c r="F46" s="105" t="s">
        <v>121</v>
      </c>
      <c r="G46" s="105" t="s">
        <v>122</v>
      </c>
      <c r="H46" s="106" t="s">
        <v>11</v>
      </c>
      <c r="I46" s="105" t="s">
        <v>123</v>
      </c>
      <c r="J46" s="105" t="s">
        <v>124</v>
      </c>
      <c r="K46" s="105" t="s">
        <v>125</v>
      </c>
    </row>
    <row r="47" spans="2:11" x14ac:dyDescent="0.25">
      <c r="B47" s="37" t="s">
        <v>22</v>
      </c>
      <c r="C47" s="37" t="s">
        <v>114</v>
      </c>
      <c r="D47" s="228" t="s">
        <v>22</v>
      </c>
      <c r="E47" s="230" t="s">
        <v>114</v>
      </c>
      <c r="F47" s="232">
        <v>214918974</v>
      </c>
      <c r="G47" s="154" t="s">
        <v>114</v>
      </c>
      <c r="H47" s="153">
        <f>SUMIFS(FacilitySpace_Issued[Subtraction],FacilitySpace_Issued[Bank Name],'M_Facility Space'!B47,FacilitySpace_Issued[Facility Space],'M_Facility Space'!C47,FacilitySpace_Issued[Project],'M_Facility Space'!G47)</f>
        <v>94443082.720000014</v>
      </c>
      <c r="I47" s="153"/>
      <c r="J47" s="154"/>
      <c r="K47" s="155"/>
    </row>
    <row r="48" spans="2:11" x14ac:dyDescent="0.25">
      <c r="B48" s="37" t="s">
        <v>22</v>
      </c>
      <c r="C48" s="37" t="s">
        <v>114</v>
      </c>
      <c r="D48" s="236"/>
      <c r="E48" s="235"/>
      <c r="F48" s="234"/>
      <c r="G48" s="182" t="s">
        <v>106</v>
      </c>
      <c r="H48" s="181">
        <f>SUMIFS(FacilitySpace_Issued[Subtraction],FacilitySpace_Issued[Bank Name],'M_Facility Space'!B48,FacilitySpace_Issued[Facility Space],'M_Facility Space'!C48,FacilitySpace_Issued[Project],'M_Facility Space'!G48)</f>
        <v>2008860.54</v>
      </c>
      <c r="I48" s="181"/>
      <c r="J48" s="182"/>
      <c r="K48" s="156"/>
    </row>
    <row r="49" spans="2:11" x14ac:dyDescent="0.25">
      <c r="B49" s="37" t="s">
        <v>22</v>
      </c>
      <c r="C49" s="37" t="s">
        <v>114</v>
      </c>
      <c r="D49" s="236"/>
      <c r="E49" s="235"/>
      <c r="F49" s="234"/>
      <c r="G49" s="182" t="s">
        <v>103</v>
      </c>
      <c r="H49" s="181">
        <f>SUMIFS(FacilitySpace_Issued[Subtraction],FacilitySpace_Issued[Bank Name],'M_Facility Space'!B49,FacilitySpace_Issued[Facility Space],'M_Facility Space'!C49,FacilitySpace_Issued[Project],'M_Facility Space'!G49)</f>
        <v>118208.72</v>
      </c>
      <c r="I49" s="181"/>
      <c r="J49" s="182"/>
      <c r="K49" s="156"/>
    </row>
    <row r="50" spans="2:11" ht="15.75" thickBot="1" x14ac:dyDescent="0.3">
      <c r="B50" s="37" t="s">
        <v>22</v>
      </c>
      <c r="C50" s="37" t="s">
        <v>114</v>
      </c>
      <c r="D50" s="229"/>
      <c r="E50" s="231"/>
      <c r="F50" s="233"/>
      <c r="G50" s="182" t="s">
        <v>168</v>
      </c>
      <c r="H50" s="181">
        <f>SUMIFS(FacilitySpace_Issued[Subtraction],FacilitySpace_Issued[Bank Name],'M_Facility Space'!B50,FacilitySpace_Issued[Facility Space],'M_Facility Space'!C50,FacilitySpace_Issued[Project],'M_Facility Space'!G50)</f>
        <v>0</v>
      </c>
      <c r="I50" s="181"/>
      <c r="J50" s="182"/>
      <c r="K50" s="156"/>
    </row>
    <row r="51" spans="2:11" ht="15.75" thickBot="1" x14ac:dyDescent="0.3">
      <c r="D51" s="92"/>
      <c r="E51" s="107"/>
      <c r="F51" s="108"/>
      <c r="G51" s="118" t="s">
        <v>62</v>
      </c>
      <c r="H51" s="47">
        <f>SUM(H47:H50)</f>
        <v>96570151.980000019</v>
      </c>
      <c r="I51" s="97">
        <v>0</v>
      </c>
      <c r="J51" s="98">
        <f>F47-H51-I51</f>
        <v>118348822.01999998</v>
      </c>
      <c r="K51" s="99"/>
    </row>
    <row r="52" spans="2:11" ht="15.75" thickBot="1" x14ac:dyDescent="0.3">
      <c r="G52" s="100"/>
      <c r="H52" s="101"/>
      <c r="I52" s="102"/>
      <c r="J52" s="103"/>
    </row>
    <row r="53" spans="2:11" ht="16.5" thickBot="1" x14ac:dyDescent="0.3">
      <c r="D53" s="105" t="s">
        <v>14</v>
      </c>
      <c r="E53" s="105" t="s">
        <v>120</v>
      </c>
      <c r="F53" s="88" t="s">
        <v>143</v>
      </c>
      <c r="G53" s="105" t="s">
        <v>122</v>
      </c>
      <c r="H53" s="105" t="s">
        <v>11</v>
      </c>
      <c r="I53" s="105" t="s">
        <v>123</v>
      </c>
      <c r="J53" s="105" t="s">
        <v>124</v>
      </c>
      <c r="K53" s="105" t="s">
        <v>125</v>
      </c>
    </row>
    <row r="54" spans="2:11" x14ac:dyDescent="0.25">
      <c r="B54" s="37" t="s">
        <v>69</v>
      </c>
      <c r="C54" s="37" t="s">
        <v>75</v>
      </c>
      <c r="D54" s="228" t="s">
        <v>69</v>
      </c>
      <c r="E54" s="230" t="s">
        <v>75</v>
      </c>
      <c r="F54" s="232">
        <v>250000000</v>
      </c>
      <c r="G54" s="91" t="s">
        <v>75</v>
      </c>
      <c r="H54" s="40">
        <f>SUMIFS(FacilitySpace_Issued[Subtraction],FacilitySpace_Issued[Bank Name],'M_Facility Space'!B54,FacilitySpace_Issued[Facility Space],'M_Facility Space'!C54,FacilitySpace_Issued[Project],'M_Facility Space'!G54)</f>
        <v>44032425.629999995</v>
      </c>
      <c r="I54" s="44"/>
      <c r="J54" s="43"/>
      <c r="K54" s="43"/>
    </row>
    <row r="55" spans="2:11" ht="15.75" thickBot="1" x14ac:dyDescent="0.3">
      <c r="B55" s="37" t="s">
        <v>69</v>
      </c>
      <c r="C55" s="37" t="s">
        <v>75</v>
      </c>
      <c r="D55" s="229"/>
      <c r="E55" s="231"/>
      <c r="F55" s="233"/>
      <c r="G55" s="91" t="s">
        <v>27</v>
      </c>
      <c r="H55" s="40">
        <f>SUMIFS(FacilitySpace_Issued[Subtraction],FacilitySpace_Issued[Bank Name],'M_Facility Space'!B55,FacilitySpace_Issued[Facility Space],'M_Facility Space'!C55,FacilitySpace_Issued[Project],'M_Facility Space'!G55)</f>
        <v>42000000</v>
      </c>
      <c r="I55" s="44"/>
      <c r="J55" s="43"/>
      <c r="K55" s="43"/>
    </row>
    <row r="56" spans="2:11" ht="15.75" thickBot="1" x14ac:dyDescent="0.3">
      <c r="D56" s="92"/>
      <c r="E56" s="108"/>
      <c r="F56" s="94"/>
      <c r="G56" s="95" t="s">
        <v>62</v>
      </c>
      <c r="H56" s="96">
        <f>SUM(H54:H55)</f>
        <v>86032425.629999995</v>
      </c>
      <c r="I56" s="97">
        <v>0</v>
      </c>
      <c r="J56" s="98">
        <f>F54-H56-I56</f>
        <v>163967574.37</v>
      </c>
      <c r="K56" s="99"/>
    </row>
    <row r="58" spans="2:11" ht="15.75" thickBot="1" x14ac:dyDescent="0.3">
      <c r="G58" s="100"/>
      <c r="H58" s="101"/>
      <c r="I58" s="102"/>
      <c r="J58" s="103"/>
    </row>
    <row r="59" spans="2:11" ht="16.5" thickBot="1" x14ac:dyDescent="0.3">
      <c r="D59" s="105" t="s">
        <v>14</v>
      </c>
      <c r="E59" s="105" t="s">
        <v>120</v>
      </c>
      <c r="F59" s="88" t="s">
        <v>143</v>
      </c>
      <c r="G59" s="105" t="s">
        <v>122</v>
      </c>
      <c r="H59" s="105" t="s">
        <v>11</v>
      </c>
      <c r="I59" s="105" t="s">
        <v>123</v>
      </c>
      <c r="J59" s="105" t="s">
        <v>124</v>
      </c>
      <c r="K59" s="105" t="s">
        <v>125</v>
      </c>
    </row>
    <row r="60" spans="2:11" ht="15.75" thickBot="1" x14ac:dyDescent="0.3">
      <c r="B60" s="37" t="s">
        <v>68</v>
      </c>
      <c r="C60" s="37" t="s">
        <v>267</v>
      </c>
      <c r="D60" s="210" t="s">
        <v>68</v>
      </c>
      <c r="E60" s="206" t="s">
        <v>267</v>
      </c>
      <c r="F60" s="207">
        <v>30000000</v>
      </c>
      <c r="G60" s="91" t="s">
        <v>267</v>
      </c>
      <c r="H60" s="40">
        <f>SUMIFS(FacilitySpace_Issued[Subtraction],FacilitySpace_Issued[Bank Name],'M_Facility Space'!B60,FacilitySpace_Issued[Facility Space],'M_Facility Space'!C60,FacilitySpace_Issued[Project],'M_Facility Space'!G60)</f>
        <v>2292730.5</v>
      </c>
      <c r="I60" s="44"/>
      <c r="J60" s="43"/>
      <c r="K60" s="43"/>
    </row>
    <row r="61" spans="2:11" ht="15.75" thickBot="1" x14ac:dyDescent="0.3">
      <c r="D61" s="92"/>
      <c r="E61" s="108"/>
      <c r="F61" s="94"/>
      <c r="G61" s="95" t="s">
        <v>62</v>
      </c>
      <c r="H61" s="96">
        <f>SUM(H60:H60)</f>
        <v>2292730.5</v>
      </c>
      <c r="I61" s="97">
        <v>0</v>
      </c>
      <c r="J61" s="98">
        <f>F60-H61-I61</f>
        <v>27707269.5</v>
      </c>
      <c r="K61" s="99"/>
    </row>
  </sheetData>
  <mergeCells count="23">
    <mergeCell ref="D3:K3"/>
    <mergeCell ref="D15:D23"/>
    <mergeCell ref="E15:E17"/>
    <mergeCell ref="E20:E23"/>
    <mergeCell ref="F15:F17"/>
    <mergeCell ref="F20:F23"/>
    <mergeCell ref="D6:D11"/>
    <mergeCell ref="E6:E11"/>
    <mergeCell ref="F6:F11"/>
    <mergeCell ref="E27:E28"/>
    <mergeCell ref="F27:F28"/>
    <mergeCell ref="E38:E39"/>
    <mergeCell ref="D35:D43"/>
    <mergeCell ref="F38:F39"/>
    <mergeCell ref="D27:D32"/>
    <mergeCell ref="E42:E43"/>
    <mergeCell ref="F42:F43"/>
    <mergeCell ref="D54:D55"/>
    <mergeCell ref="E54:E55"/>
    <mergeCell ref="F54:F55"/>
    <mergeCell ref="F47:F50"/>
    <mergeCell ref="E47:E50"/>
    <mergeCell ref="D47:D50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69BF9-307A-48E4-B0C0-D1D106D057AC}">
  <sheetPr codeName="Sheet5"/>
  <dimension ref="A1:R21"/>
  <sheetViews>
    <sheetView workbookViewId="0">
      <selection activeCell="G30" sqref="G30"/>
    </sheetView>
  </sheetViews>
  <sheetFormatPr defaultRowHeight="15" x14ac:dyDescent="0.25"/>
  <cols>
    <col min="1" max="1" width="13.140625" bestFit="1" customWidth="1"/>
    <col min="2" max="2" width="14.28515625" bestFit="1" customWidth="1"/>
    <col min="7" max="7" width="13.140625" bestFit="1" customWidth="1"/>
    <col min="8" max="8" width="18.85546875" bestFit="1" customWidth="1"/>
    <col min="10" max="10" width="7.140625" bestFit="1" customWidth="1"/>
    <col min="11" max="11" width="13.7109375" bestFit="1" customWidth="1"/>
    <col min="12" max="12" width="14.85546875" bestFit="1" customWidth="1"/>
    <col min="13" max="13" width="13.85546875" bestFit="1" customWidth="1"/>
    <col min="15" max="15" width="12.85546875" bestFit="1" customWidth="1"/>
    <col min="16" max="16" width="14.7109375" bestFit="1" customWidth="1"/>
    <col min="17" max="17" width="18.42578125" bestFit="1" customWidth="1"/>
    <col min="18" max="18" width="18.85546875" bestFit="1" customWidth="1"/>
  </cols>
  <sheetData>
    <row r="1" spans="1:18" x14ac:dyDescent="0.25">
      <c r="A1" s="2" t="s">
        <v>4</v>
      </c>
      <c r="B1" s="2" t="s">
        <v>8</v>
      </c>
    </row>
    <row r="2" spans="1:18" x14ac:dyDescent="0.25">
      <c r="A2" t="s">
        <v>117</v>
      </c>
      <c r="B2" s="15">
        <v>270865.19</v>
      </c>
    </row>
    <row r="3" spans="1:18" x14ac:dyDescent="0.25">
      <c r="A3" t="s">
        <v>117</v>
      </c>
      <c r="B3" s="15">
        <v>500000</v>
      </c>
      <c r="G3" s="3" t="s">
        <v>4</v>
      </c>
      <c r="H3" t="s">
        <v>118</v>
      </c>
      <c r="O3" s="3" t="s">
        <v>14</v>
      </c>
      <c r="P3" s="3" t="s">
        <v>111</v>
      </c>
      <c r="Q3" s="3" t="s">
        <v>4</v>
      </c>
      <c r="R3" t="s">
        <v>118</v>
      </c>
    </row>
    <row r="4" spans="1:18" x14ac:dyDescent="0.25">
      <c r="A4" t="s">
        <v>117</v>
      </c>
      <c r="B4" s="15">
        <v>150000</v>
      </c>
      <c r="G4" t="s">
        <v>31</v>
      </c>
      <c r="H4" s="4">
        <v>13000000</v>
      </c>
      <c r="O4" t="s">
        <v>69</v>
      </c>
      <c r="P4" t="s">
        <v>75</v>
      </c>
      <c r="Q4" t="s">
        <v>75</v>
      </c>
      <c r="R4" s="4">
        <v>3422137.8</v>
      </c>
    </row>
    <row r="5" spans="1:18" x14ac:dyDescent="0.25">
      <c r="A5" t="s">
        <v>117</v>
      </c>
      <c r="B5" s="15">
        <v>200000</v>
      </c>
      <c r="G5" t="s">
        <v>151</v>
      </c>
      <c r="H5" s="4">
        <v>8200000</v>
      </c>
      <c r="O5" t="s">
        <v>22</v>
      </c>
      <c r="P5" t="s">
        <v>114</v>
      </c>
      <c r="Q5" t="s">
        <v>106</v>
      </c>
      <c r="R5" s="4">
        <v>1017646</v>
      </c>
    </row>
    <row r="6" spans="1:18" x14ac:dyDescent="0.25">
      <c r="A6" t="s">
        <v>117</v>
      </c>
      <c r="B6" s="15">
        <v>400000</v>
      </c>
      <c r="G6" t="s">
        <v>152</v>
      </c>
      <c r="H6" s="4">
        <v>24490379</v>
      </c>
      <c r="O6" t="s">
        <v>25</v>
      </c>
      <c r="P6" t="s">
        <v>117</v>
      </c>
      <c r="Q6" t="s">
        <v>117</v>
      </c>
      <c r="R6" s="4">
        <v>3000000</v>
      </c>
    </row>
    <row r="7" spans="1:18" x14ac:dyDescent="0.25">
      <c r="A7" t="s">
        <v>117</v>
      </c>
      <c r="B7" s="15">
        <v>500000</v>
      </c>
      <c r="G7" t="s">
        <v>117</v>
      </c>
      <c r="H7" s="4">
        <v>19178491.640000001</v>
      </c>
      <c r="O7" t="s">
        <v>457</v>
      </c>
      <c r="P7" t="s">
        <v>436</v>
      </c>
      <c r="Q7" t="s">
        <v>436</v>
      </c>
      <c r="R7" s="4">
        <v>286671836.5</v>
      </c>
    </row>
    <row r="8" spans="1:18" x14ac:dyDescent="0.25">
      <c r="A8" t="s">
        <v>117</v>
      </c>
      <c r="B8" s="15">
        <v>500000</v>
      </c>
      <c r="G8" t="s">
        <v>267</v>
      </c>
      <c r="H8" s="4">
        <v>12500000</v>
      </c>
    </row>
    <row r="9" spans="1:18" x14ac:dyDescent="0.25">
      <c r="A9" t="s">
        <v>117</v>
      </c>
      <c r="B9" s="15">
        <v>300000</v>
      </c>
    </row>
    <row r="10" spans="1:18" ht="15.75" thickBot="1" x14ac:dyDescent="0.3">
      <c r="A10" t="s">
        <v>117</v>
      </c>
      <c r="B10" s="15">
        <v>300000</v>
      </c>
    </row>
    <row r="11" spans="1:18" ht="15.75" thickBot="1" x14ac:dyDescent="0.3">
      <c r="A11" t="s">
        <v>117</v>
      </c>
      <c r="B11" s="15">
        <v>257626.45</v>
      </c>
      <c r="J11" s="120" t="s">
        <v>52</v>
      </c>
      <c r="K11" s="121" t="s">
        <v>120</v>
      </c>
      <c r="L11" s="122" t="s">
        <v>111</v>
      </c>
      <c r="M11" s="123" t="s">
        <v>134</v>
      </c>
    </row>
    <row r="12" spans="1:18" ht="15.75" thickBot="1" x14ac:dyDescent="0.3">
      <c r="A12" t="s">
        <v>117</v>
      </c>
      <c r="B12" s="15">
        <v>200000</v>
      </c>
      <c r="J12" s="124" t="s">
        <v>18</v>
      </c>
      <c r="K12" s="125" t="s">
        <v>17</v>
      </c>
      <c r="L12" s="126">
        <f>'M_Facility Space'!J12</f>
        <v>249398293.06999999</v>
      </c>
      <c r="M12" s="126">
        <f>SUMIFS(R:R,O:O,J12,P:P,K12)</f>
        <v>0</v>
      </c>
    </row>
    <row r="13" spans="1:18" ht="15.75" thickBot="1" x14ac:dyDescent="0.3">
      <c r="A13" t="s">
        <v>152</v>
      </c>
      <c r="B13" s="15">
        <v>24490379</v>
      </c>
      <c r="J13" s="124" t="s">
        <v>26</v>
      </c>
      <c r="K13" s="127" t="s">
        <v>116</v>
      </c>
      <c r="L13" s="128">
        <f>'M_Facility Space'!J18</f>
        <v>116290381</v>
      </c>
      <c r="M13" s="126">
        <f t="shared" ref="M13:M16" si="0">SUMIFS(R:R,O:O,J13,P:P,K13)</f>
        <v>0</v>
      </c>
    </row>
    <row r="14" spans="1:18" ht="15.75" thickBot="1" x14ac:dyDescent="0.3">
      <c r="A14" t="s">
        <v>151</v>
      </c>
      <c r="B14" s="15">
        <v>8200000</v>
      </c>
      <c r="J14" s="124" t="s">
        <v>26</v>
      </c>
      <c r="K14" s="129" t="s">
        <v>117</v>
      </c>
      <c r="L14" s="130">
        <f>'M_Facility Space'!J24</f>
        <v>93000000</v>
      </c>
      <c r="M14" s="126">
        <f t="shared" si="0"/>
        <v>0</v>
      </c>
    </row>
    <row r="15" spans="1:18" ht="15.75" thickBot="1" x14ac:dyDescent="0.3">
      <c r="A15" t="s">
        <v>31</v>
      </c>
      <c r="B15" s="15">
        <v>10000000</v>
      </c>
      <c r="J15" s="124" t="s">
        <v>25</v>
      </c>
      <c r="K15" s="125" t="s">
        <v>116</v>
      </c>
      <c r="L15" s="126">
        <f>'M_Facility Space'!J29</f>
        <v>145062534</v>
      </c>
      <c r="M15" s="126">
        <f t="shared" si="0"/>
        <v>0</v>
      </c>
    </row>
    <row r="16" spans="1:18" ht="15.75" thickBot="1" x14ac:dyDescent="0.3">
      <c r="A16" t="s">
        <v>31</v>
      </c>
      <c r="B16" s="15">
        <v>3000000</v>
      </c>
      <c r="J16" s="124" t="s">
        <v>28</v>
      </c>
      <c r="K16" s="125" t="s">
        <v>27</v>
      </c>
      <c r="L16" s="126">
        <f>'M_Facility Space'!J36</f>
        <v>319516794.60000002</v>
      </c>
      <c r="M16" s="126">
        <f t="shared" si="0"/>
        <v>0</v>
      </c>
    </row>
    <row r="17" spans="1:13" ht="15.75" thickBot="1" x14ac:dyDescent="0.3">
      <c r="A17" t="s">
        <v>117</v>
      </c>
      <c r="B17" s="15">
        <v>15600000</v>
      </c>
      <c r="J17" s="124" t="s">
        <v>28</v>
      </c>
      <c r="K17" s="125" t="s">
        <v>152</v>
      </c>
      <c r="L17" s="126">
        <f>'M_Facility Space'!J40</f>
        <v>6810047.5399999991</v>
      </c>
      <c r="M17" s="126">
        <f t="shared" ref="M17" si="1">SUMIFS(R:R,O:O,J17,P:P,K17)</f>
        <v>0</v>
      </c>
    </row>
    <row r="18" spans="1:13" ht="15.75" thickBot="1" x14ac:dyDescent="0.3">
      <c r="A18" t="s">
        <v>267</v>
      </c>
      <c r="B18" s="15">
        <v>1500000</v>
      </c>
      <c r="J18" s="124" t="s">
        <v>22</v>
      </c>
      <c r="K18" s="125" t="s">
        <v>114</v>
      </c>
      <c r="L18" s="126">
        <f>'M_Facility Space'!J51</f>
        <v>118348822.01999998</v>
      </c>
      <c r="M18" s="126">
        <f>SUMIFS(R:R,O:O,J18,P:P,K18)</f>
        <v>1017646</v>
      </c>
    </row>
    <row r="19" spans="1:13" ht="15.75" thickBot="1" x14ac:dyDescent="0.3">
      <c r="A19" t="s">
        <v>267</v>
      </c>
      <c r="B19" s="15">
        <v>2000000</v>
      </c>
      <c r="J19" s="124" t="s">
        <v>69</v>
      </c>
      <c r="K19" s="125" t="s">
        <v>75</v>
      </c>
      <c r="L19" s="126">
        <f>'M_Facility Space'!$J$56</f>
        <v>163967574.37</v>
      </c>
      <c r="M19" s="126">
        <f>SUMIFS(R:R,O:O,J19,P:P,K19)</f>
        <v>3422137.8</v>
      </c>
    </row>
    <row r="20" spans="1:13" x14ac:dyDescent="0.25">
      <c r="A20" t="s">
        <v>267</v>
      </c>
      <c r="B20" s="15">
        <v>2000000</v>
      </c>
    </row>
    <row r="21" spans="1:13" x14ac:dyDescent="0.25">
      <c r="A21" t="s">
        <v>267</v>
      </c>
      <c r="B21" s="15">
        <v>7000000</v>
      </c>
    </row>
  </sheetData>
  <pageMargins left="0.7" right="0.7" top="0.75" bottom="0.75" header="0.3" footer="0.3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A28B7-E2BA-4983-973C-2A73E9CD88DE}">
  <sheetPr codeName="Sheet9"/>
  <dimension ref="A1:T154"/>
  <sheetViews>
    <sheetView workbookViewId="0"/>
  </sheetViews>
  <sheetFormatPr defaultRowHeight="15" x14ac:dyDescent="0.25"/>
  <cols>
    <col min="1" max="1" width="15.85546875" bestFit="1" customWidth="1"/>
    <col min="2" max="2" width="13" bestFit="1" customWidth="1"/>
    <col min="3" max="3" width="65.7109375" bestFit="1" customWidth="1"/>
    <col min="4" max="4" width="15.140625" bestFit="1" customWidth="1"/>
    <col min="5" max="5" width="29.140625" bestFit="1" customWidth="1"/>
    <col min="6" max="6" width="18.42578125" bestFit="1" customWidth="1"/>
    <col min="7" max="7" width="7" bestFit="1" customWidth="1"/>
    <col min="8" max="8" width="14" bestFit="1" customWidth="1"/>
    <col min="9" max="9" width="7.28515625" bestFit="1" customWidth="1"/>
    <col min="10" max="10" width="14.28515625" bestFit="1" customWidth="1"/>
    <col min="11" max="11" width="12.140625" bestFit="1" customWidth="1"/>
    <col min="12" max="12" width="13.42578125" bestFit="1" customWidth="1"/>
    <col min="13" max="13" width="21.28515625" bestFit="1" customWidth="1"/>
    <col min="14" max="14" width="12.5703125" bestFit="1" customWidth="1"/>
    <col min="15" max="15" width="13.28515625" bestFit="1" customWidth="1"/>
    <col min="16" max="16" width="15.7109375" bestFit="1" customWidth="1"/>
    <col min="17" max="17" width="13.28515625" bestFit="1" customWidth="1"/>
    <col min="18" max="18" width="7.85546875" bestFit="1" customWidth="1"/>
    <col min="19" max="19" width="50.7109375" bestFit="1" customWidth="1"/>
    <col min="20" max="20" width="18.5703125" bestFit="1" customWidth="1"/>
    <col min="21" max="21" width="19.28515625" bestFit="1" customWidth="1"/>
    <col min="22" max="22" width="17" bestFit="1" customWidth="1"/>
    <col min="23" max="23" width="23.7109375" bestFit="1" customWidth="1"/>
    <col min="24" max="24" width="80.7109375" bestFit="1" customWidth="1"/>
    <col min="25" max="25" width="15.140625" bestFit="1" customWidth="1"/>
    <col min="26" max="26" width="12.7109375" bestFit="1" customWidth="1"/>
    <col min="27" max="27" width="7.7109375" bestFit="1" customWidth="1"/>
    <col min="28" max="28" width="29" bestFit="1" customWidth="1"/>
    <col min="29" max="29" width="17.7109375" customWidth="1"/>
  </cols>
  <sheetData>
    <row r="1" spans="1:20" x14ac:dyDescent="0.25">
      <c r="A1" s="2" t="s">
        <v>0</v>
      </c>
      <c r="B1" s="2" t="s">
        <v>1</v>
      </c>
      <c r="C1" s="2" t="s">
        <v>2</v>
      </c>
      <c r="D1" s="2" t="s">
        <v>111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112</v>
      </c>
      <c r="M1" s="2" t="s">
        <v>10</v>
      </c>
      <c r="N1" s="2" t="s">
        <v>11</v>
      </c>
      <c r="O1" s="2" t="s">
        <v>12</v>
      </c>
      <c r="P1" s="2" t="s">
        <v>13</v>
      </c>
      <c r="Q1" s="2" t="s">
        <v>14</v>
      </c>
      <c r="R1" s="2" t="s">
        <v>15</v>
      </c>
      <c r="S1" s="2" t="s">
        <v>16</v>
      </c>
      <c r="T1" s="2" t="s">
        <v>113</v>
      </c>
    </row>
    <row r="2" spans="1:20" x14ac:dyDescent="0.25">
      <c r="A2" t="s">
        <v>508</v>
      </c>
      <c r="B2" s="219">
        <v>46177</v>
      </c>
      <c r="C2" t="s">
        <v>502</v>
      </c>
      <c r="D2" t="s">
        <v>152</v>
      </c>
      <c r="E2" t="s">
        <v>20</v>
      </c>
      <c r="F2" t="s">
        <v>152</v>
      </c>
      <c r="G2" t="s">
        <v>21</v>
      </c>
      <c r="H2">
        <v>200000</v>
      </c>
      <c r="I2">
        <v>1</v>
      </c>
      <c r="J2">
        <v>200000</v>
      </c>
      <c r="K2">
        <v>0</v>
      </c>
      <c r="L2">
        <v>200000</v>
      </c>
      <c r="M2">
        <v>0</v>
      </c>
      <c r="N2">
        <v>200000</v>
      </c>
      <c r="O2" s="219">
        <v>46265</v>
      </c>
      <c r="P2" s="219">
        <v>46265</v>
      </c>
      <c r="Q2" t="s">
        <v>28</v>
      </c>
      <c r="R2" t="s">
        <v>19</v>
      </c>
      <c r="S2" t="s">
        <v>472</v>
      </c>
      <c r="T2" t="s">
        <v>115</v>
      </c>
    </row>
    <row r="3" spans="1:20" x14ac:dyDescent="0.25">
      <c r="A3" t="s">
        <v>258</v>
      </c>
      <c r="B3" s="219">
        <v>45973</v>
      </c>
      <c r="C3" t="s">
        <v>255</v>
      </c>
      <c r="D3" t="s">
        <v>17</v>
      </c>
      <c r="E3" t="s">
        <v>20</v>
      </c>
      <c r="F3" t="s">
        <v>17</v>
      </c>
      <c r="G3" t="s">
        <v>21</v>
      </c>
      <c r="H3">
        <v>3487033.23</v>
      </c>
      <c r="I3">
        <v>1</v>
      </c>
      <c r="J3">
        <v>3487033.23</v>
      </c>
      <c r="K3">
        <v>1989866.83</v>
      </c>
      <c r="L3">
        <v>1497166.4</v>
      </c>
      <c r="M3">
        <v>0</v>
      </c>
      <c r="N3">
        <v>1497166.4</v>
      </c>
      <c r="O3" s="219">
        <v>46203</v>
      </c>
      <c r="P3" s="219">
        <v>46203</v>
      </c>
      <c r="Q3" t="s">
        <v>18</v>
      </c>
      <c r="R3" t="s">
        <v>19</v>
      </c>
      <c r="S3" t="s">
        <v>244</v>
      </c>
      <c r="T3" t="s">
        <v>115</v>
      </c>
    </row>
    <row r="4" spans="1:20" x14ac:dyDescent="0.25">
      <c r="A4" t="s">
        <v>362</v>
      </c>
      <c r="B4" s="219">
        <v>46086</v>
      </c>
      <c r="C4" t="s">
        <v>176</v>
      </c>
      <c r="D4" t="s">
        <v>152</v>
      </c>
      <c r="E4" t="s">
        <v>20</v>
      </c>
      <c r="F4" t="s">
        <v>152</v>
      </c>
      <c r="G4" t="s">
        <v>21</v>
      </c>
      <c r="H4">
        <v>600000</v>
      </c>
      <c r="I4">
        <v>1</v>
      </c>
      <c r="J4">
        <v>600000</v>
      </c>
      <c r="K4">
        <v>0</v>
      </c>
      <c r="L4">
        <v>600000</v>
      </c>
      <c r="M4">
        <v>511689.33</v>
      </c>
      <c r="N4">
        <v>88310.67</v>
      </c>
      <c r="O4" s="219">
        <v>46265</v>
      </c>
      <c r="P4" s="219">
        <v>46265</v>
      </c>
      <c r="Q4" t="s">
        <v>28</v>
      </c>
      <c r="R4" t="s">
        <v>19</v>
      </c>
      <c r="S4" t="s">
        <v>244</v>
      </c>
      <c r="T4" t="s">
        <v>115</v>
      </c>
    </row>
    <row r="5" spans="1:20" x14ac:dyDescent="0.25">
      <c r="A5" t="s">
        <v>398</v>
      </c>
      <c r="B5" s="219">
        <v>46118</v>
      </c>
      <c r="C5" t="s">
        <v>380</v>
      </c>
      <c r="D5" t="s">
        <v>152</v>
      </c>
      <c r="E5" t="s">
        <v>20</v>
      </c>
      <c r="F5" t="s">
        <v>152</v>
      </c>
      <c r="G5" t="s">
        <v>21</v>
      </c>
      <c r="H5">
        <v>175000</v>
      </c>
      <c r="I5">
        <v>1</v>
      </c>
      <c r="J5">
        <v>175000</v>
      </c>
      <c r="K5">
        <v>0</v>
      </c>
      <c r="L5">
        <v>175000</v>
      </c>
      <c r="M5">
        <v>0</v>
      </c>
      <c r="N5">
        <v>175000</v>
      </c>
      <c r="O5" s="219">
        <v>46203</v>
      </c>
      <c r="P5" s="219">
        <v>46203</v>
      </c>
      <c r="Q5" t="s">
        <v>28</v>
      </c>
      <c r="R5" t="s">
        <v>19</v>
      </c>
      <c r="S5" t="s">
        <v>381</v>
      </c>
      <c r="T5" t="s">
        <v>115</v>
      </c>
    </row>
    <row r="6" spans="1:20" x14ac:dyDescent="0.25">
      <c r="A6" t="s">
        <v>399</v>
      </c>
      <c r="B6" s="219">
        <v>46118</v>
      </c>
      <c r="C6" t="s">
        <v>382</v>
      </c>
      <c r="D6" t="s">
        <v>152</v>
      </c>
      <c r="E6" t="s">
        <v>20</v>
      </c>
      <c r="F6" t="s">
        <v>152</v>
      </c>
      <c r="G6" t="s">
        <v>21</v>
      </c>
      <c r="H6">
        <v>125000</v>
      </c>
      <c r="I6">
        <v>1</v>
      </c>
      <c r="J6">
        <v>125000</v>
      </c>
      <c r="K6">
        <v>0</v>
      </c>
      <c r="L6">
        <v>125000</v>
      </c>
      <c r="M6">
        <v>125000</v>
      </c>
      <c r="N6">
        <v>0</v>
      </c>
      <c r="O6" s="219">
        <v>46203</v>
      </c>
      <c r="P6" s="219">
        <v>46203</v>
      </c>
      <c r="Q6" t="s">
        <v>28</v>
      </c>
      <c r="R6" t="s">
        <v>19</v>
      </c>
      <c r="S6" t="s">
        <v>381</v>
      </c>
      <c r="T6" t="s">
        <v>115</v>
      </c>
    </row>
    <row r="7" spans="1:20" x14ac:dyDescent="0.25">
      <c r="A7" t="s">
        <v>216</v>
      </c>
      <c r="B7" s="219">
        <v>45887</v>
      </c>
      <c r="C7" t="s">
        <v>181</v>
      </c>
      <c r="D7" t="s">
        <v>17</v>
      </c>
      <c r="E7" t="s">
        <v>24</v>
      </c>
      <c r="F7" t="s">
        <v>106</v>
      </c>
      <c r="G7" t="s">
        <v>21</v>
      </c>
      <c r="H7">
        <v>3009600</v>
      </c>
      <c r="I7">
        <v>1</v>
      </c>
      <c r="J7">
        <v>3009600</v>
      </c>
      <c r="K7">
        <v>1850554.97</v>
      </c>
      <c r="L7">
        <v>1159045.03</v>
      </c>
      <c r="M7">
        <v>0</v>
      </c>
      <c r="N7">
        <v>1159045.03</v>
      </c>
      <c r="O7" s="219">
        <v>46252</v>
      </c>
      <c r="P7" s="219">
        <v>46252</v>
      </c>
      <c r="Q7" t="s">
        <v>18</v>
      </c>
      <c r="R7" t="s">
        <v>19</v>
      </c>
      <c r="S7" t="s">
        <v>182</v>
      </c>
      <c r="T7" t="s">
        <v>115</v>
      </c>
    </row>
    <row r="8" spans="1:20" x14ac:dyDescent="0.25">
      <c r="A8" t="s">
        <v>445</v>
      </c>
      <c r="B8" s="219">
        <v>46140</v>
      </c>
      <c r="C8" t="s">
        <v>438</v>
      </c>
      <c r="D8" t="s">
        <v>114</v>
      </c>
      <c r="E8" t="s">
        <v>219</v>
      </c>
      <c r="F8" t="s">
        <v>151</v>
      </c>
      <c r="G8" t="s">
        <v>21</v>
      </c>
      <c r="H8">
        <v>6000000</v>
      </c>
      <c r="I8">
        <v>1</v>
      </c>
      <c r="J8">
        <v>6000000</v>
      </c>
      <c r="K8">
        <v>0</v>
      </c>
      <c r="L8">
        <v>6000000</v>
      </c>
      <c r="M8">
        <v>0</v>
      </c>
      <c r="N8">
        <v>6000000</v>
      </c>
      <c r="O8" s="219">
        <v>46325</v>
      </c>
      <c r="P8" s="219">
        <v>46325</v>
      </c>
      <c r="Q8" t="s">
        <v>22</v>
      </c>
      <c r="R8" t="s">
        <v>19</v>
      </c>
      <c r="S8" t="s">
        <v>323</v>
      </c>
      <c r="T8" t="s">
        <v>115</v>
      </c>
    </row>
    <row r="9" spans="1:20" x14ac:dyDescent="0.25">
      <c r="A9" t="s">
        <v>220</v>
      </c>
      <c r="B9" s="219">
        <v>45895</v>
      </c>
      <c r="C9" t="s">
        <v>212</v>
      </c>
      <c r="D9" t="s">
        <v>75</v>
      </c>
      <c r="E9" t="s">
        <v>24</v>
      </c>
      <c r="F9" t="s">
        <v>75</v>
      </c>
      <c r="G9" t="s">
        <v>21</v>
      </c>
      <c r="H9">
        <v>10000000</v>
      </c>
      <c r="I9">
        <v>1</v>
      </c>
      <c r="J9">
        <v>10000000</v>
      </c>
      <c r="K9">
        <v>2924152.4000000004</v>
      </c>
      <c r="L9">
        <v>7075847.5999999996</v>
      </c>
      <c r="M9">
        <v>0</v>
      </c>
      <c r="N9">
        <v>7075847.5999999996</v>
      </c>
      <c r="O9" s="219">
        <v>46387</v>
      </c>
      <c r="P9" s="219">
        <v>46387</v>
      </c>
      <c r="Q9" t="s">
        <v>69</v>
      </c>
      <c r="R9" t="s">
        <v>19</v>
      </c>
      <c r="S9" t="s">
        <v>30</v>
      </c>
      <c r="T9" t="s">
        <v>115</v>
      </c>
    </row>
    <row r="10" spans="1:20" x14ac:dyDescent="0.25">
      <c r="A10" t="s">
        <v>400</v>
      </c>
      <c r="B10" s="219">
        <v>46118</v>
      </c>
      <c r="C10" t="s">
        <v>383</v>
      </c>
      <c r="D10" t="s">
        <v>152</v>
      </c>
      <c r="E10" t="s">
        <v>20</v>
      </c>
      <c r="F10" t="s">
        <v>152</v>
      </c>
      <c r="G10" t="s">
        <v>21</v>
      </c>
      <c r="H10">
        <v>500000</v>
      </c>
      <c r="I10">
        <v>1</v>
      </c>
      <c r="J10">
        <v>500000</v>
      </c>
      <c r="K10">
        <v>0</v>
      </c>
      <c r="L10">
        <v>500000</v>
      </c>
      <c r="M10">
        <v>500000</v>
      </c>
      <c r="N10">
        <v>0</v>
      </c>
      <c r="O10" s="219">
        <v>46203</v>
      </c>
      <c r="P10" s="219">
        <v>46203</v>
      </c>
      <c r="Q10" t="s">
        <v>28</v>
      </c>
      <c r="R10" t="s">
        <v>19</v>
      </c>
      <c r="S10" t="s">
        <v>381</v>
      </c>
      <c r="T10" t="s">
        <v>115</v>
      </c>
    </row>
    <row r="11" spans="1:20" x14ac:dyDescent="0.25">
      <c r="A11" t="s">
        <v>363</v>
      </c>
      <c r="B11" s="219">
        <v>46086</v>
      </c>
      <c r="C11" t="s">
        <v>357</v>
      </c>
      <c r="D11" t="s">
        <v>152</v>
      </c>
      <c r="E11" t="s">
        <v>20</v>
      </c>
      <c r="F11" t="s">
        <v>152</v>
      </c>
      <c r="G11" t="s">
        <v>21</v>
      </c>
      <c r="H11">
        <v>1870380.07</v>
      </c>
      <c r="I11">
        <v>1</v>
      </c>
      <c r="J11">
        <v>1870380.07</v>
      </c>
      <c r="K11">
        <v>0</v>
      </c>
      <c r="L11">
        <v>1870380.07</v>
      </c>
      <c r="M11">
        <v>1309266</v>
      </c>
      <c r="N11">
        <v>561114.06999999995</v>
      </c>
      <c r="O11" s="219">
        <v>46265</v>
      </c>
      <c r="P11" s="219">
        <v>46265</v>
      </c>
      <c r="Q11" t="s">
        <v>28</v>
      </c>
      <c r="R11" t="s">
        <v>19</v>
      </c>
      <c r="S11" t="s">
        <v>244</v>
      </c>
      <c r="T11" t="s">
        <v>115</v>
      </c>
    </row>
    <row r="12" spans="1:20" x14ac:dyDescent="0.25">
      <c r="A12" t="s">
        <v>563</v>
      </c>
      <c r="B12" s="219">
        <v>46196</v>
      </c>
      <c r="C12" t="s">
        <v>550</v>
      </c>
      <c r="D12" t="s">
        <v>152</v>
      </c>
      <c r="E12" t="s">
        <v>24</v>
      </c>
      <c r="F12" t="s">
        <v>31</v>
      </c>
      <c r="G12" t="s">
        <v>21</v>
      </c>
      <c r="H12">
        <v>2000000</v>
      </c>
      <c r="I12">
        <v>1</v>
      </c>
      <c r="J12">
        <v>2000000</v>
      </c>
      <c r="K12">
        <v>0</v>
      </c>
      <c r="L12">
        <v>2000000</v>
      </c>
      <c r="M12">
        <v>0</v>
      </c>
      <c r="N12">
        <v>2000000</v>
      </c>
      <c r="O12" s="219">
        <v>46346</v>
      </c>
      <c r="P12" s="219">
        <v>46346</v>
      </c>
      <c r="Q12" t="s">
        <v>28</v>
      </c>
      <c r="R12" t="s">
        <v>19</v>
      </c>
      <c r="S12" t="s">
        <v>30</v>
      </c>
      <c r="T12" t="s">
        <v>115</v>
      </c>
    </row>
    <row r="13" spans="1:20" x14ac:dyDescent="0.25">
      <c r="A13" t="s">
        <v>325</v>
      </c>
      <c r="B13" s="219">
        <v>46042</v>
      </c>
      <c r="C13" t="s">
        <v>322</v>
      </c>
      <c r="D13" t="s">
        <v>114</v>
      </c>
      <c r="E13" t="s">
        <v>219</v>
      </c>
      <c r="F13" t="s">
        <v>151</v>
      </c>
      <c r="G13" t="s">
        <v>21</v>
      </c>
      <c r="H13">
        <v>400000</v>
      </c>
      <c r="I13">
        <v>1</v>
      </c>
      <c r="J13">
        <v>400000</v>
      </c>
      <c r="K13">
        <v>0</v>
      </c>
      <c r="L13">
        <v>400000</v>
      </c>
      <c r="M13">
        <v>0</v>
      </c>
      <c r="N13">
        <v>400000</v>
      </c>
      <c r="O13" s="219">
        <v>46173</v>
      </c>
      <c r="P13" s="219">
        <v>46163</v>
      </c>
      <c r="Q13" t="s">
        <v>22</v>
      </c>
      <c r="R13" t="s">
        <v>19</v>
      </c>
      <c r="S13" t="s">
        <v>323</v>
      </c>
      <c r="T13" t="s">
        <v>115</v>
      </c>
    </row>
    <row r="14" spans="1:20" x14ac:dyDescent="0.25">
      <c r="A14" t="s">
        <v>292</v>
      </c>
      <c r="B14" s="219">
        <v>46023</v>
      </c>
      <c r="C14" t="s">
        <v>29</v>
      </c>
      <c r="D14" t="s">
        <v>117</v>
      </c>
      <c r="E14" t="s">
        <v>20</v>
      </c>
      <c r="F14" t="s">
        <v>117</v>
      </c>
      <c r="G14" t="s">
        <v>21</v>
      </c>
      <c r="H14">
        <v>1044853.45</v>
      </c>
      <c r="I14">
        <v>1</v>
      </c>
      <c r="J14">
        <v>1044853.45</v>
      </c>
      <c r="K14">
        <v>0</v>
      </c>
      <c r="L14">
        <v>1044853.45</v>
      </c>
      <c r="M14">
        <v>567743.27</v>
      </c>
      <c r="N14">
        <v>477110.18</v>
      </c>
      <c r="O14" s="219">
        <v>46296</v>
      </c>
      <c r="P14" s="219">
        <v>46296</v>
      </c>
      <c r="Q14" t="s">
        <v>25</v>
      </c>
      <c r="R14" t="s">
        <v>19</v>
      </c>
      <c r="S14" t="s">
        <v>282</v>
      </c>
      <c r="T14" t="s">
        <v>115</v>
      </c>
    </row>
    <row r="15" spans="1:20" x14ac:dyDescent="0.25">
      <c r="A15" t="s">
        <v>307</v>
      </c>
      <c r="B15" s="219">
        <v>46033</v>
      </c>
      <c r="C15" t="s">
        <v>305</v>
      </c>
      <c r="D15" t="s">
        <v>75</v>
      </c>
      <c r="E15" t="s">
        <v>20</v>
      </c>
      <c r="F15" t="s">
        <v>75</v>
      </c>
      <c r="G15" t="s">
        <v>21</v>
      </c>
      <c r="H15">
        <v>1500000</v>
      </c>
      <c r="I15">
        <v>1</v>
      </c>
      <c r="J15">
        <v>1500000</v>
      </c>
      <c r="K15">
        <v>1478254.88</v>
      </c>
      <c r="L15">
        <v>21745.119999999999</v>
      </c>
      <c r="M15">
        <v>0</v>
      </c>
      <c r="N15">
        <v>21745.119999999999</v>
      </c>
      <c r="O15" s="219">
        <v>46173</v>
      </c>
      <c r="P15" s="219">
        <v>46173</v>
      </c>
      <c r="Q15" t="s">
        <v>69</v>
      </c>
      <c r="R15" t="s">
        <v>19</v>
      </c>
      <c r="S15" t="s">
        <v>244</v>
      </c>
      <c r="T15" t="s">
        <v>115</v>
      </c>
    </row>
    <row r="16" spans="1:20" x14ac:dyDescent="0.25">
      <c r="A16" t="s">
        <v>509</v>
      </c>
      <c r="B16" s="219">
        <v>46177</v>
      </c>
      <c r="C16" t="s">
        <v>505</v>
      </c>
      <c r="D16" t="s">
        <v>152</v>
      </c>
      <c r="E16" t="s">
        <v>20</v>
      </c>
      <c r="F16" t="s">
        <v>152</v>
      </c>
      <c r="G16" t="s">
        <v>21</v>
      </c>
      <c r="H16">
        <v>350000</v>
      </c>
      <c r="I16">
        <v>1</v>
      </c>
      <c r="J16">
        <v>350000</v>
      </c>
      <c r="K16">
        <v>0</v>
      </c>
      <c r="L16">
        <v>350000</v>
      </c>
      <c r="M16">
        <v>0</v>
      </c>
      <c r="N16">
        <v>350000</v>
      </c>
      <c r="O16" s="219">
        <v>46265</v>
      </c>
      <c r="P16" s="219">
        <v>46265</v>
      </c>
      <c r="Q16" t="s">
        <v>28</v>
      </c>
      <c r="R16" t="s">
        <v>19</v>
      </c>
      <c r="S16" t="s">
        <v>472</v>
      </c>
      <c r="T16" t="s">
        <v>115</v>
      </c>
    </row>
    <row r="17" spans="1:20" x14ac:dyDescent="0.25">
      <c r="A17" t="s">
        <v>401</v>
      </c>
      <c r="B17" s="219">
        <v>46118</v>
      </c>
      <c r="C17" t="s">
        <v>384</v>
      </c>
      <c r="D17" t="s">
        <v>152</v>
      </c>
      <c r="E17" t="s">
        <v>20</v>
      </c>
      <c r="F17" t="s">
        <v>152</v>
      </c>
      <c r="G17" t="s">
        <v>21</v>
      </c>
      <c r="H17">
        <v>450000</v>
      </c>
      <c r="I17">
        <v>1</v>
      </c>
      <c r="J17">
        <v>450000</v>
      </c>
      <c r="K17">
        <v>0</v>
      </c>
      <c r="L17">
        <v>450000</v>
      </c>
      <c r="M17">
        <v>0</v>
      </c>
      <c r="N17">
        <v>450000</v>
      </c>
      <c r="O17" s="219">
        <v>46203</v>
      </c>
      <c r="P17" s="219">
        <v>46203</v>
      </c>
      <c r="Q17" t="s">
        <v>28</v>
      </c>
      <c r="R17" t="s">
        <v>19</v>
      </c>
      <c r="S17" t="s">
        <v>381</v>
      </c>
      <c r="T17" t="s">
        <v>115</v>
      </c>
    </row>
    <row r="18" spans="1:20" x14ac:dyDescent="0.25">
      <c r="A18" t="s">
        <v>510</v>
      </c>
      <c r="B18" s="219">
        <v>46177</v>
      </c>
      <c r="C18" t="s">
        <v>485</v>
      </c>
      <c r="D18" t="s">
        <v>152</v>
      </c>
      <c r="E18" t="s">
        <v>20</v>
      </c>
      <c r="F18" t="s">
        <v>152</v>
      </c>
      <c r="G18" t="s">
        <v>21</v>
      </c>
      <c r="H18">
        <v>200000</v>
      </c>
      <c r="I18">
        <v>1</v>
      </c>
      <c r="J18">
        <v>200000</v>
      </c>
      <c r="K18">
        <v>0</v>
      </c>
      <c r="L18">
        <v>200000</v>
      </c>
      <c r="M18">
        <v>0</v>
      </c>
      <c r="N18">
        <v>200000</v>
      </c>
      <c r="O18" s="219">
        <v>46265</v>
      </c>
      <c r="P18" s="219">
        <v>46265</v>
      </c>
      <c r="Q18" t="s">
        <v>28</v>
      </c>
      <c r="R18" t="s">
        <v>19</v>
      </c>
      <c r="S18" t="s">
        <v>472</v>
      </c>
      <c r="T18" t="s">
        <v>115</v>
      </c>
    </row>
    <row r="19" spans="1:20" x14ac:dyDescent="0.25">
      <c r="A19" t="s">
        <v>320</v>
      </c>
      <c r="B19" s="219">
        <v>46040</v>
      </c>
      <c r="C19" t="s">
        <v>289</v>
      </c>
      <c r="D19" t="s">
        <v>281</v>
      </c>
      <c r="E19" t="s">
        <v>326</v>
      </c>
      <c r="F19" t="s">
        <v>27</v>
      </c>
      <c r="G19" t="s">
        <v>21</v>
      </c>
      <c r="H19">
        <v>1269458.03</v>
      </c>
      <c r="I19">
        <v>1</v>
      </c>
      <c r="J19">
        <v>1269458.03</v>
      </c>
      <c r="K19">
        <v>0</v>
      </c>
      <c r="L19">
        <v>1269458.03</v>
      </c>
      <c r="M19">
        <v>0</v>
      </c>
      <c r="N19">
        <v>1269458.03</v>
      </c>
      <c r="O19" s="219">
        <v>46174</v>
      </c>
      <c r="P19" s="219">
        <v>46152</v>
      </c>
      <c r="Q19" t="s">
        <v>28</v>
      </c>
      <c r="R19" t="s">
        <v>19</v>
      </c>
      <c r="S19" t="s">
        <v>38</v>
      </c>
      <c r="T19" t="s">
        <v>115</v>
      </c>
    </row>
    <row r="20" spans="1:20" x14ac:dyDescent="0.25">
      <c r="A20" t="s">
        <v>254</v>
      </c>
      <c r="B20" s="219">
        <v>45967</v>
      </c>
      <c r="C20" t="s">
        <v>253</v>
      </c>
      <c r="D20" t="s">
        <v>114</v>
      </c>
      <c r="E20" t="s">
        <v>275</v>
      </c>
      <c r="F20" t="s">
        <v>151</v>
      </c>
      <c r="G20" t="s">
        <v>21</v>
      </c>
      <c r="H20">
        <v>18703391.850000001</v>
      </c>
      <c r="I20">
        <v>1</v>
      </c>
      <c r="J20">
        <v>18703391.850000001</v>
      </c>
      <c r="K20">
        <v>17787660.100000001</v>
      </c>
      <c r="L20">
        <v>915731.75</v>
      </c>
      <c r="M20">
        <v>0</v>
      </c>
      <c r="N20">
        <v>915731.75</v>
      </c>
      <c r="O20" s="219">
        <v>46265</v>
      </c>
      <c r="P20" s="219">
        <v>46265</v>
      </c>
      <c r="Q20" t="s">
        <v>22</v>
      </c>
      <c r="R20" t="s">
        <v>19</v>
      </c>
      <c r="S20" t="s">
        <v>23</v>
      </c>
      <c r="T20" t="s">
        <v>115</v>
      </c>
    </row>
    <row r="21" spans="1:20" x14ac:dyDescent="0.25">
      <c r="A21" t="s">
        <v>422</v>
      </c>
      <c r="B21" s="219">
        <v>46124</v>
      </c>
      <c r="C21" t="s">
        <v>253</v>
      </c>
      <c r="D21" t="s">
        <v>114</v>
      </c>
      <c r="E21" t="s">
        <v>453</v>
      </c>
      <c r="F21" t="s">
        <v>151</v>
      </c>
      <c r="G21" t="s">
        <v>21</v>
      </c>
      <c r="H21">
        <v>7446132.75</v>
      </c>
      <c r="I21">
        <v>1</v>
      </c>
      <c r="J21">
        <v>7446132.75</v>
      </c>
      <c r="K21">
        <v>2500000</v>
      </c>
      <c r="L21">
        <v>4946132.75</v>
      </c>
      <c r="M21">
        <v>0</v>
      </c>
      <c r="N21">
        <v>4946132.75</v>
      </c>
      <c r="O21" s="219">
        <v>46295</v>
      </c>
      <c r="P21" s="219">
        <v>46265</v>
      </c>
      <c r="Q21" t="s">
        <v>22</v>
      </c>
      <c r="R21" t="s">
        <v>19</v>
      </c>
      <c r="S21" t="s">
        <v>280</v>
      </c>
      <c r="T21" t="s">
        <v>115</v>
      </c>
    </row>
    <row r="22" spans="1:20" x14ac:dyDescent="0.25">
      <c r="A22" t="s">
        <v>250</v>
      </c>
      <c r="B22" s="219">
        <v>45951</v>
      </c>
      <c r="C22" t="s">
        <v>246</v>
      </c>
      <c r="D22" t="s">
        <v>75</v>
      </c>
      <c r="E22" t="s">
        <v>24</v>
      </c>
      <c r="F22" t="s">
        <v>75</v>
      </c>
      <c r="G22" t="s">
        <v>21</v>
      </c>
      <c r="H22">
        <v>16731764</v>
      </c>
      <c r="I22">
        <v>1</v>
      </c>
      <c r="J22">
        <v>16731764</v>
      </c>
      <c r="K22">
        <v>5732513.5999999996</v>
      </c>
      <c r="L22">
        <v>10999250.4</v>
      </c>
      <c r="M22">
        <v>0</v>
      </c>
      <c r="N22">
        <v>10999250.4</v>
      </c>
      <c r="O22" s="219">
        <v>46199</v>
      </c>
      <c r="P22" s="219">
        <v>46199</v>
      </c>
      <c r="Q22" t="s">
        <v>69</v>
      </c>
      <c r="R22" t="s">
        <v>19</v>
      </c>
      <c r="S22" t="s">
        <v>260</v>
      </c>
      <c r="T22" t="s">
        <v>115</v>
      </c>
    </row>
    <row r="23" spans="1:20" x14ac:dyDescent="0.25">
      <c r="A23" t="s">
        <v>511</v>
      </c>
      <c r="B23" s="219">
        <v>46177</v>
      </c>
      <c r="C23" t="s">
        <v>484</v>
      </c>
      <c r="D23" t="s">
        <v>152</v>
      </c>
      <c r="E23" t="s">
        <v>20</v>
      </c>
      <c r="F23" t="s">
        <v>152</v>
      </c>
      <c r="G23" t="s">
        <v>21</v>
      </c>
      <c r="H23">
        <v>200000</v>
      </c>
      <c r="I23">
        <v>1</v>
      </c>
      <c r="J23">
        <v>200000</v>
      </c>
      <c r="K23">
        <v>0</v>
      </c>
      <c r="L23">
        <v>200000</v>
      </c>
      <c r="M23">
        <v>0</v>
      </c>
      <c r="N23">
        <v>200000</v>
      </c>
      <c r="O23" s="219">
        <v>46265</v>
      </c>
      <c r="P23" s="219">
        <v>46265</v>
      </c>
      <c r="Q23" t="s">
        <v>28</v>
      </c>
      <c r="R23" t="s">
        <v>19</v>
      </c>
      <c r="S23" t="s">
        <v>472</v>
      </c>
      <c r="T23" t="s">
        <v>115</v>
      </c>
    </row>
    <row r="24" spans="1:20" x14ac:dyDescent="0.25">
      <c r="A24" t="s">
        <v>207</v>
      </c>
      <c r="B24" s="219">
        <v>45874</v>
      </c>
      <c r="C24" t="s">
        <v>201</v>
      </c>
      <c r="D24" t="s">
        <v>27</v>
      </c>
      <c r="E24" t="s">
        <v>20</v>
      </c>
      <c r="F24" t="s">
        <v>27</v>
      </c>
      <c r="G24" t="s">
        <v>21</v>
      </c>
      <c r="H24">
        <v>500000</v>
      </c>
      <c r="I24">
        <v>1</v>
      </c>
      <c r="J24">
        <v>500000</v>
      </c>
      <c r="K24">
        <v>98871.6</v>
      </c>
      <c r="L24">
        <v>401128.4</v>
      </c>
      <c r="M24">
        <v>0</v>
      </c>
      <c r="N24">
        <v>401128.4</v>
      </c>
      <c r="O24" s="219">
        <v>46203</v>
      </c>
      <c r="P24" s="219">
        <v>46203</v>
      </c>
      <c r="Q24" t="s">
        <v>28</v>
      </c>
      <c r="R24" t="s">
        <v>19</v>
      </c>
      <c r="S24" t="s">
        <v>198</v>
      </c>
      <c r="T24" t="s">
        <v>115</v>
      </c>
    </row>
    <row r="25" spans="1:20" x14ac:dyDescent="0.25">
      <c r="A25" t="s">
        <v>466</v>
      </c>
      <c r="B25" s="219">
        <v>46149</v>
      </c>
      <c r="C25" t="s">
        <v>451</v>
      </c>
      <c r="D25" t="s">
        <v>75</v>
      </c>
      <c r="E25" t="s">
        <v>24</v>
      </c>
      <c r="F25" t="s">
        <v>75</v>
      </c>
      <c r="G25" t="s">
        <v>21</v>
      </c>
      <c r="H25">
        <v>600000</v>
      </c>
      <c r="I25">
        <v>1</v>
      </c>
      <c r="J25">
        <v>600000</v>
      </c>
      <c r="K25">
        <v>0</v>
      </c>
      <c r="L25">
        <v>600000</v>
      </c>
      <c r="M25">
        <v>0</v>
      </c>
      <c r="N25">
        <v>600000</v>
      </c>
      <c r="O25" s="219">
        <v>46234</v>
      </c>
      <c r="P25" s="219">
        <v>46234</v>
      </c>
      <c r="Q25" t="s">
        <v>69</v>
      </c>
      <c r="R25" t="s">
        <v>19</v>
      </c>
      <c r="S25" t="s">
        <v>452</v>
      </c>
      <c r="T25" t="s">
        <v>115</v>
      </c>
    </row>
    <row r="26" spans="1:20" x14ac:dyDescent="0.25">
      <c r="A26" t="s">
        <v>432</v>
      </c>
      <c r="B26" s="219">
        <v>46127</v>
      </c>
      <c r="C26" t="s">
        <v>429</v>
      </c>
      <c r="D26" t="s">
        <v>17</v>
      </c>
      <c r="E26" t="s">
        <v>183</v>
      </c>
      <c r="F26" t="s">
        <v>105</v>
      </c>
      <c r="G26" t="s">
        <v>21</v>
      </c>
      <c r="H26">
        <v>5693645.4199999999</v>
      </c>
      <c r="I26">
        <v>1</v>
      </c>
      <c r="J26">
        <v>5693645.4199999999</v>
      </c>
      <c r="K26">
        <v>0</v>
      </c>
      <c r="L26">
        <v>5693645.4199999999</v>
      </c>
      <c r="M26">
        <v>0</v>
      </c>
      <c r="N26">
        <v>5693645.4199999999</v>
      </c>
      <c r="O26" s="219">
        <v>46193</v>
      </c>
      <c r="P26" s="219">
        <v>46193</v>
      </c>
      <c r="Q26" t="s">
        <v>18</v>
      </c>
      <c r="R26" t="s">
        <v>19</v>
      </c>
      <c r="S26" t="s">
        <v>30</v>
      </c>
      <c r="T26" t="s">
        <v>115</v>
      </c>
    </row>
    <row r="27" spans="1:20" x14ac:dyDescent="0.25">
      <c r="A27" t="s">
        <v>543</v>
      </c>
      <c r="B27" s="219">
        <v>46184</v>
      </c>
      <c r="C27" t="s">
        <v>449</v>
      </c>
      <c r="D27" t="s">
        <v>114</v>
      </c>
      <c r="E27" t="s">
        <v>450</v>
      </c>
      <c r="F27" t="s">
        <v>151</v>
      </c>
      <c r="G27" t="s">
        <v>33</v>
      </c>
      <c r="H27">
        <v>6040641.79</v>
      </c>
      <c r="I27">
        <v>4.3899999999999997</v>
      </c>
      <c r="J27">
        <v>26518417.458099999</v>
      </c>
      <c r="K27">
        <v>0</v>
      </c>
      <c r="L27">
        <v>26518417.460000001</v>
      </c>
      <c r="M27">
        <v>0</v>
      </c>
      <c r="N27">
        <v>26518417.460000001</v>
      </c>
      <c r="O27" s="219">
        <v>46387</v>
      </c>
      <c r="P27" s="219">
        <v>46387</v>
      </c>
      <c r="Q27" t="s">
        <v>22</v>
      </c>
      <c r="R27" t="s">
        <v>19</v>
      </c>
      <c r="S27" t="s">
        <v>23</v>
      </c>
      <c r="T27" t="s">
        <v>115</v>
      </c>
    </row>
    <row r="28" spans="1:20" x14ac:dyDescent="0.25">
      <c r="A28" t="s">
        <v>272</v>
      </c>
      <c r="B28" s="219">
        <v>46009</v>
      </c>
      <c r="C28" t="s">
        <v>271</v>
      </c>
      <c r="D28" t="s">
        <v>114</v>
      </c>
      <c r="E28" t="s">
        <v>275</v>
      </c>
      <c r="F28" t="s">
        <v>151</v>
      </c>
      <c r="G28" t="s">
        <v>21</v>
      </c>
      <c r="H28">
        <v>2072033.2</v>
      </c>
      <c r="I28">
        <v>1</v>
      </c>
      <c r="J28">
        <v>2072033.2</v>
      </c>
      <c r="K28">
        <v>463730.6</v>
      </c>
      <c r="L28">
        <v>1608302.6</v>
      </c>
      <c r="M28">
        <v>652505.4</v>
      </c>
      <c r="N28">
        <v>955797.2</v>
      </c>
      <c r="O28" s="219">
        <v>46295</v>
      </c>
      <c r="P28" s="219">
        <v>46295</v>
      </c>
      <c r="Q28" t="s">
        <v>22</v>
      </c>
      <c r="R28" t="s">
        <v>19</v>
      </c>
      <c r="S28" t="s">
        <v>30</v>
      </c>
      <c r="T28" t="s">
        <v>115</v>
      </c>
    </row>
    <row r="29" spans="1:20" x14ac:dyDescent="0.25">
      <c r="A29" t="s">
        <v>433</v>
      </c>
      <c r="B29" s="219">
        <v>46127</v>
      </c>
      <c r="C29" t="s">
        <v>427</v>
      </c>
      <c r="D29" t="s">
        <v>17</v>
      </c>
      <c r="E29" t="s">
        <v>183</v>
      </c>
      <c r="F29" t="s">
        <v>105</v>
      </c>
      <c r="G29" t="s">
        <v>21</v>
      </c>
      <c r="H29">
        <v>5120131</v>
      </c>
      <c r="I29">
        <v>1</v>
      </c>
      <c r="J29">
        <v>5120131</v>
      </c>
      <c r="K29">
        <v>0</v>
      </c>
      <c r="L29">
        <v>5120131</v>
      </c>
      <c r="M29">
        <v>0</v>
      </c>
      <c r="N29">
        <v>5120131</v>
      </c>
      <c r="O29" s="219">
        <v>46265</v>
      </c>
      <c r="P29" s="219">
        <v>45955</v>
      </c>
      <c r="Q29" t="s">
        <v>18</v>
      </c>
      <c r="R29" t="s">
        <v>19</v>
      </c>
      <c r="S29" t="s">
        <v>30</v>
      </c>
      <c r="T29" t="s">
        <v>115</v>
      </c>
    </row>
    <row r="30" spans="1:20" x14ac:dyDescent="0.25">
      <c r="A30" t="s">
        <v>314</v>
      </c>
      <c r="B30" s="219">
        <v>46036</v>
      </c>
      <c r="C30" t="s">
        <v>177</v>
      </c>
      <c r="D30" t="s">
        <v>152</v>
      </c>
      <c r="E30" t="s">
        <v>20</v>
      </c>
      <c r="F30" t="s">
        <v>152</v>
      </c>
      <c r="G30" t="s">
        <v>21</v>
      </c>
      <c r="H30">
        <v>900000</v>
      </c>
      <c r="I30">
        <v>1</v>
      </c>
      <c r="J30">
        <v>900000</v>
      </c>
      <c r="K30">
        <v>0</v>
      </c>
      <c r="L30">
        <v>900000</v>
      </c>
      <c r="M30">
        <v>900000</v>
      </c>
      <c r="N30">
        <v>0</v>
      </c>
      <c r="O30" s="219">
        <v>46203</v>
      </c>
      <c r="P30" s="219">
        <v>46203</v>
      </c>
      <c r="Q30" t="s">
        <v>28</v>
      </c>
      <c r="R30" t="s">
        <v>19</v>
      </c>
      <c r="S30" t="s">
        <v>244</v>
      </c>
      <c r="T30" t="s">
        <v>115</v>
      </c>
    </row>
    <row r="31" spans="1:20" x14ac:dyDescent="0.25">
      <c r="A31" t="s">
        <v>512</v>
      </c>
      <c r="B31" s="219">
        <v>46177</v>
      </c>
      <c r="C31" t="s">
        <v>177</v>
      </c>
      <c r="D31" t="s">
        <v>152</v>
      </c>
      <c r="E31" t="s">
        <v>20</v>
      </c>
      <c r="F31" t="s">
        <v>152</v>
      </c>
      <c r="G31" t="s">
        <v>21</v>
      </c>
      <c r="H31">
        <v>500000</v>
      </c>
      <c r="I31">
        <v>1</v>
      </c>
      <c r="J31">
        <v>500000</v>
      </c>
      <c r="K31">
        <v>0</v>
      </c>
      <c r="L31">
        <v>500000</v>
      </c>
      <c r="M31">
        <v>0</v>
      </c>
      <c r="N31">
        <v>500000</v>
      </c>
      <c r="O31" s="219">
        <v>46265</v>
      </c>
      <c r="P31" s="219">
        <v>46265</v>
      </c>
      <c r="Q31" t="s">
        <v>28</v>
      </c>
      <c r="R31" t="s">
        <v>19</v>
      </c>
      <c r="S31" t="s">
        <v>472</v>
      </c>
      <c r="T31" t="s">
        <v>115</v>
      </c>
    </row>
    <row r="32" spans="1:20" x14ac:dyDescent="0.25">
      <c r="A32" t="s">
        <v>402</v>
      </c>
      <c r="B32" s="219">
        <v>46118</v>
      </c>
      <c r="C32" t="s">
        <v>393</v>
      </c>
      <c r="D32" t="s">
        <v>152</v>
      </c>
      <c r="E32" t="s">
        <v>20</v>
      </c>
      <c r="F32" t="s">
        <v>152</v>
      </c>
      <c r="G32" t="s">
        <v>21</v>
      </c>
      <c r="H32">
        <v>150000</v>
      </c>
      <c r="I32">
        <v>1</v>
      </c>
      <c r="J32">
        <v>150000</v>
      </c>
      <c r="K32">
        <v>0</v>
      </c>
      <c r="L32">
        <v>150000</v>
      </c>
      <c r="M32">
        <v>93855.09</v>
      </c>
      <c r="N32">
        <v>56144.91</v>
      </c>
      <c r="O32" s="219">
        <v>46203</v>
      </c>
      <c r="P32" s="219">
        <v>46203</v>
      </c>
      <c r="Q32" t="s">
        <v>28</v>
      </c>
      <c r="R32" t="s">
        <v>19</v>
      </c>
      <c r="S32" t="s">
        <v>381</v>
      </c>
      <c r="T32" t="s">
        <v>115</v>
      </c>
    </row>
    <row r="33" spans="1:20" x14ac:dyDescent="0.25">
      <c r="A33" t="s">
        <v>360</v>
      </c>
      <c r="B33" s="219">
        <v>46085</v>
      </c>
      <c r="C33" t="s">
        <v>355</v>
      </c>
      <c r="D33" t="s">
        <v>17</v>
      </c>
      <c r="E33" t="s">
        <v>24</v>
      </c>
      <c r="F33" t="s">
        <v>106</v>
      </c>
      <c r="G33" t="s">
        <v>21</v>
      </c>
      <c r="H33">
        <v>2495972.17</v>
      </c>
      <c r="I33">
        <v>1</v>
      </c>
      <c r="J33">
        <v>2495972.17</v>
      </c>
      <c r="K33">
        <v>1548792.03</v>
      </c>
      <c r="L33">
        <v>947180.14</v>
      </c>
      <c r="M33">
        <v>0</v>
      </c>
      <c r="N33">
        <v>947180.14</v>
      </c>
      <c r="O33" s="219">
        <v>46235</v>
      </c>
      <c r="P33" s="219">
        <v>46235</v>
      </c>
      <c r="Q33" t="s">
        <v>18</v>
      </c>
      <c r="R33" t="s">
        <v>19</v>
      </c>
      <c r="S33" t="s">
        <v>38</v>
      </c>
      <c r="T33" t="s">
        <v>115</v>
      </c>
    </row>
    <row r="34" spans="1:20" x14ac:dyDescent="0.25">
      <c r="A34" t="s">
        <v>373</v>
      </c>
      <c r="B34" s="219">
        <v>45804</v>
      </c>
      <c r="C34" t="s">
        <v>179</v>
      </c>
      <c r="D34" t="s">
        <v>75</v>
      </c>
      <c r="E34" t="s">
        <v>20</v>
      </c>
      <c r="F34" t="s">
        <v>75</v>
      </c>
      <c r="G34" t="s">
        <v>21</v>
      </c>
      <c r="H34">
        <v>312828.75</v>
      </c>
      <c r="I34">
        <v>1</v>
      </c>
      <c r="J34">
        <v>312828.75</v>
      </c>
      <c r="K34">
        <v>262776.15000000002</v>
      </c>
      <c r="L34">
        <v>50052.6</v>
      </c>
      <c r="M34">
        <v>0</v>
      </c>
      <c r="N34">
        <v>50052.6</v>
      </c>
      <c r="O34" s="219">
        <v>46203</v>
      </c>
      <c r="P34" s="219">
        <v>46203</v>
      </c>
      <c r="Q34" t="s">
        <v>69</v>
      </c>
      <c r="R34" t="s">
        <v>19</v>
      </c>
      <c r="S34" t="s">
        <v>23</v>
      </c>
      <c r="T34" t="s">
        <v>115</v>
      </c>
    </row>
    <row r="35" spans="1:20" x14ac:dyDescent="0.25">
      <c r="A35" t="s">
        <v>403</v>
      </c>
      <c r="B35" s="219">
        <v>46118</v>
      </c>
      <c r="C35" t="s">
        <v>391</v>
      </c>
      <c r="D35" t="s">
        <v>152</v>
      </c>
      <c r="E35" t="s">
        <v>20</v>
      </c>
      <c r="F35" t="s">
        <v>152</v>
      </c>
      <c r="G35" t="s">
        <v>21</v>
      </c>
      <c r="H35">
        <v>1000000</v>
      </c>
      <c r="I35">
        <v>1</v>
      </c>
      <c r="J35">
        <v>1000000</v>
      </c>
      <c r="K35">
        <v>0</v>
      </c>
      <c r="L35">
        <v>1000000</v>
      </c>
      <c r="M35">
        <v>0</v>
      </c>
      <c r="N35">
        <v>1000000</v>
      </c>
      <c r="O35" s="219">
        <v>46203</v>
      </c>
      <c r="P35" s="219">
        <v>46203</v>
      </c>
      <c r="Q35" t="s">
        <v>28</v>
      </c>
      <c r="R35" t="s">
        <v>19</v>
      </c>
      <c r="S35" t="s">
        <v>381</v>
      </c>
      <c r="T35" t="s">
        <v>115</v>
      </c>
    </row>
    <row r="36" spans="1:20" x14ac:dyDescent="0.25">
      <c r="A36" t="s">
        <v>317</v>
      </c>
      <c r="B36" s="219">
        <v>46037</v>
      </c>
      <c r="C36" t="s">
        <v>302</v>
      </c>
      <c r="D36" t="s">
        <v>152</v>
      </c>
      <c r="E36" t="s">
        <v>20</v>
      </c>
      <c r="F36" t="s">
        <v>152</v>
      </c>
      <c r="G36" t="s">
        <v>21</v>
      </c>
      <c r="H36">
        <v>1500000</v>
      </c>
      <c r="I36">
        <v>1</v>
      </c>
      <c r="J36">
        <v>1500000</v>
      </c>
      <c r="K36">
        <v>0</v>
      </c>
      <c r="L36">
        <v>1500000</v>
      </c>
      <c r="M36">
        <v>1377731.72</v>
      </c>
      <c r="N36">
        <v>122268.28</v>
      </c>
      <c r="O36" s="219">
        <v>46203</v>
      </c>
      <c r="P36" s="219">
        <v>46203</v>
      </c>
      <c r="Q36" t="s">
        <v>28</v>
      </c>
      <c r="R36" t="s">
        <v>19</v>
      </c>
      <c r="S36" t="s">
        <v>244</v>
      </c>
      <c r="T36" t="s">
        <v>115</v>
      </c>
    </row>
    <row r="37" spans="1:20" x14ac:dyDescent="0.25">
      <c r="A37" t="s">
        <v>228</v>
      </c>
      <c r="B37" s="219">
        <v>45914</v>
      </c>
      <c r="C37" t="s">
        <v>225</v>
      </c>
      <c r="D37" t="s">
        <v>152</v>
      </c>
      <c r="E37" t="s">
        <v>20</v>
      </c>
      <c r="F37" t="s">
        <v>152</v>
      </c>
      <c r="G37" t="s">
        <v>21</v>
      </c>
      <c r="H37">
        <v>1500000</v>
      </c>
      <c r="I37">
        <v>1</v>
      </c>
      <c r="J37">
        <v>1500000</v>
      </c>
      <c r="K37">
        <v>1071489.43</v>
      </c>
      <c r="L37">
        <v>428510.57</v>
      </c>
      <c r="M37">
        <v>427806.8</v>
      </c>
      <c r="N37">
        <v>703.77</v>
      </c>
      <c r="O37" s="219">
        <v>46203</v>
      </c>
      <c r="P37" s="219">
        <v>46203</v>
      </c>
      <c r="Q37" t="s">
        <v>28</v>
      </c>
      <c r="R37" t="s">
        <v>19</v>
      </c>
      <c r="S37" t="s">
        <v>142</v>
      </c>
      <c r="T37" t="s">
        <v>115</v>
      </c>
    </row>
    <row r="38" spans="1:20" x14ac:dyDescent="0.25">
      <c r="A38" t="s">
        <v>145</v>
      </c>
      <c r="B38" s="219">
        <v>45684</v>
      </c>
      <c r="C38" t="s">
        <v>144</v>
      </c>
      <c r="D38" t="s">
        <v>114</v>
      </c>
      <c r="E38" t="s">
        <v>20</v>
      </c>
      <c r="F38" t="s">
        <v>103</v>
      </c>
      <c r="G38" t="s">
        <v>21</v>
      </c>
      <c r="H38">
        <v>900000</v>
      </c>
      <c r="I38">
        <v>1</v>
      </c>
      <c r="J38">
        <v>900000</v>
      </c>
      <c r="K38">
        <v>781791.28</v>
      </c>
      <c r="L38">
        <v>118208.72</v>
      </c>
      <c r="M38">
        <v>0</v>
      </c>
      <c r="N38">
        <v>118208.72</v>
      </c>
      <c r="O38" s="219">
        <v>46203</v>
      </c>
      <c r="P38" s="219">
        <v>46203</v>
      </c>
      <c r="Q38" t="s">
        <v>22</v>
      </c>
      <c r="R38" t="s">
        <v>19</v>
      </c>
      <c r="S38" t="s">
        <v>23</v>
      </c>
      <c r="T38" t="s">
        <v>115</v>
      </c>
    </row>
    <row r="39" spans="1:20" x14ac:dyDescent="0.25">
      <c r="A39" t="s">
        <v>159</v>
      </c>
      <c r="B39" s="219">
        <v>45727</v>
      </c>
      <c r="C39" t="s">
        <v>310</v>
      </c>
      <c r="D39" t="s">
        <v>114</v>
      </c>
      <c r="E39" t="s">
        <v>219</v>
      </c>
      <c r="F39" t="s">
        <v>151</v>
      </c>
      <c r="G39" t="s">
        <v>33</v>
      </c>
      <c r="H39">
        <v>10500000</v>
      </c>
      <c r="I39">
        <v>4.056</v>
      </c>
      <c r="J39">
        <v>42588000</v>
      </c>
      <c r="K39">
        <v>12335918.542009998</v>
      </c>
      <c r="L39">
        <v>30252081.460000001</v>
      </c>
      <c r="M39">
        <v>9527337.3100000005</v>
      </c>
      <c r="N39">
        <v>20724744.149999999</v>
      </c>
      <c r="O39" s="219">
        <v>46408</v>
      </c>
      <c r="P39" s="219">
        <v>46365</v>
      </c>
      <c r="Q39" t="s">
        <v>22</v>
      </c>
      <c r="R39" t="s">
        <v>19</v>
      </c>
      <c r="S39" t="s">
        <v>102</v>
      </c>
      <c r="T39" t="s">
        <v>115</v>
      </c>
    </row>
    <row r="40" spans="1:20" x14ac:dyDescent="0.25">
      <c r="A40" t="s">
        <v>276</v>
      </c>
      <c r="B40" s="219">
        <v>46016</v>
      </c>
      <c r="C40" t="s">
        <v>310</v>
      </c>
      <c r="D40" t="s">
        <v>17</v>
      </c>
      <c r="E40" t="s">
        <v>183</v>
      </c>
      <c r="F40" t="s">
        <v>17</v>
      </c>
      <c r="G40" t="s">
        <v>33</v>
      </c>
      <c r="H40">
        <v>1687320.39</v>
      </c>
      <c r="I40">
        <v>4.5</v>
      </c>
      <c r="J40">
        <v>7592941.7549999999</v>
      </c>
      <c r="K40">
        <v>703586.90607999999</v>
      </c>
      <c r="L40">
        <v>6889354.8499999996</v>
      </c>
      <c r="M40">
        <v>0</v>
      </c>
      <c r="N40">
        <v>6889354.8499999996</v>
      </c>
      <c r="O40" s="219">
        <v>46381</v>
      </c>
      <c r="P40" s="219">
        <v>46381</v>
      </c>
      <c r="Q40" t="s">
        <v>18</v>
      </c>
      <c r="R40" t="s">
        <v>19</v>
      </c>
      <c r="S40" t="s">
        <v>30</v>
      </c>
      <c r="T40" t="s">
        <v>115</v>
      </c>
    </row>
    <row r="41" spans="1:20" x14ac:dyDescent="0.25">
      <c r="A41" t="s">
        <v>239</v>
      </c>
      <c r="B41" s="219">
        <v>45928</v>
      </c>
      <c r="C41" t="s">
        <v>174</v>
      </c>
      <c r="D41" t="s">
        <v>17</v>
      </c>
      <c r="E41" t="s">
        <v>24</v>
      </c>
      <c r="F41" t="s">
        <v>106</v>
      </c>
      <c r="G41" t="s">
        <v>21</v>
      </c>
      <c r="H41">
        <v>2074312.5</v>
      </c>
      <c r="I41">
        <v>1</v>
      </c>
      <c r="J41">
        <v>2074312.5</v>
      </c>
      <c r="K41">
        <v>1365320.5099999998</v>
      </c>
      <c r="L41">
        <v>708991.99</v>
      </c>
      <c r="M41">
        <v>0</v>
      </c>
      <c r="N41">
        <v>708991.99</v>
      </c>
      <c r="O41" s="219">
        <v>46201</v>
      </c>
      <c r="P41" s="219">
        <v>46201</v>
      </c>
      <c r="Q41" t="s">
        <v>18</v>
      </c>
      <c r="R41" t="s">
        <v>19</v>
      </c>
      <c r="S41" t="s">
        <v>142</v>
      </c>
      <c r="T41" t="s">
        <v>115</v>
      </c>
    </row>
    <row r="42" spans="1:20" x14ac:dyDescent="0.25">
      <c r="A42" t="s">
        <v>194</v>
      </c>
      <c r="B42" s="219">
        <v>45862</v>
      </c>
      <c r="C42" t="s">
        <v>192</v>
      </c>
      <c r="D42" t="s">
        <v>152</v>
      </c>
      <c r="E42" t="s">
        <v>20</v>
      </c>
      <c r="F42" t="s">
        <v>152</v>
      </c>
      <c r="G42" t="s">
        <v>21</v>
      </c>
      <c r="H42">
        <v>300000.01</v>
      </c>
      <c r="I42">
        <v>1</v>
      </c>
      <c r="J42">
        <v>300000.01</v>
      </c>
      <c r="K42">
        <v>137792.10999999999</v>
      </c>
      <c r="L42">
        <v>162207.9</v>
      </c>
      <c r="M42">
        <v>0</v>
      </c>
      <c r="N42">
        <v>162207.9</v>
      </c>
      <c r="O42" s="219">
        <v>46203</v>
      </c>
      <c r="P42" s="219">
        <v>46203</v>
      </c>
      <c r="Q42" t="s">
        <v>28</v>
      </c>
      <c r="R42" t="s">
        <v>19</v>
      </c>
      <c r="S42" t="s">
        <v>142</v>
      </c>
      <c r="T42" t="s">
        <v>115</v>
      </c>
    </row>
    <row r="43" spans="1:20" x14ac:dyDescent="0.25">
      <c r="A43" t="s">
        <v>241</v>
      </c>
      <c r="B43" s="219">
        <v>45929</v>
      </c>
      <c r="C43" t="s">
        <v>192</v>
      </c>
      <c r="D43" t="s">
        <v>152</v>
      </c>
      <c r="E43" t="s">
        <v>20</v>
      </c>
      <c r="F43" t="s">
        <v>152</v>
      </c>
      <c r="G43" t="s">
        <v>21</v>
      </c>
      <c r="H43">
        <v>400000</v>
      </c>
      <c r="I43">
        <v>1</v>
      </c>
      <c r="J43">
        <v>400000</v>
      </c>
      <c r="K43">
        <v>347240.48</v>
      </c>
      <c r="L43">
        <v>52759.519999999997</v>
      </c>
      <c r="M43">
        <v>52759.519999999997</v>
      </c>
      <c r="N43">
        <v>0</v>
      </c>
      <c r="O43" s="219">
        <v>46142</v>
      </c>
      <c r="P43" s="219">
        <v>46142</v>
      </c>
      <c r="Q43" t="s">
        <v>28</v>
      </c>
      <c r="R43" t="s">
        <v>19</v>
      </c>
      <c r="S43" t="s">
        <v>142</v>
      </c>
      <c r="T43" t="s">
        <v>115</v>
      </c>
    </row>
    <row r="44" spans="1:20" x14ac:dyDescent="0.25">
      <c r="A44" t="s">
        <v>315</v>
      </c>
      <c r="B44" s="219">
        <v>46036</v>
      </c>
      <c r="C44" t="s">
        <v>192</v>
      </c>
      <c r="D44" t="s">
        <v>152</v>
      </c>
      <c r="E44" t="s">
        <v>20</v>
      </c>
      <c r="F44" t="s">
        <v>152</v>
      </c>
      <c r="G44" t="s">
        <v>21</v>
      </c>
      <c r="H44">
        <v>500000</v>
      </c>
      <c r="I44">
        <v>1</v>
      </c>
      <c r="J44">
        <v>500000</v>
      </c>
      <c r="K44">
        <v>0</v>
      </c>
      <c r="L44">
        <v>500000</v>
      </c>
      <c r="M44">
        <v>365011.38</v>
      </c>
      <c r="N44">
        <v>134988.62</v>
      </c>
      <c r="O44" s="219">
        <v>46203</v>
      </c>
      <c r="P44" s="219">
        <v>46203</v>
      </c>
      <c r="Q44" t="s">
        <v>28</v>
      </c>
      <c r="R44" t="s">
        <v>19</v>
      </c>
      <c r="S44" t="s">
        <v>244</v>
      </c>
      <c r="T44" t="s">
        <v>115</v>
      </c>
    </row>
    <row r="45" spans="1:20" x14ac:dyDescent="0.25">
      <c r="A45" t="s">
        <v>352</v>
      </c>
      <c r="B45" s="219">
        <v>46079</v>
      </c>
      <c r="C45" t="s">
        <v>349</v>
      </c>
      <c r="D45" t="s">
        <v>114</v>
      </c>
      <c r="E45" t="s">
        <v>219</v>
      </c>
      <c r="F45" t="s">
        <v>151</v>
      </c>
      <c r="G45" t="s">
        <v>21</v>
      </c>
      <c r="H45">
        <v>274384</v>
      </c>
      <c r="I45">
        <v>1</v>
      </c>
      <c r="J45">
        <v>274384</v>
      </c>
      <c r="K45">
        <v>0</v>
      </c>
      <c r="L45">
        <v>274384</v>
      </c>
      <c r="M45">
        <v>0</v>
      </c>
      <c r="N45">
        <v>274384</v>
      </c>
      <c r="O45" s="219">
        <v>46174</v>
      </c>
      <c r="P45" s="219">
        <v>46157</v>
      </c>
      <c r="Q45" t="s">
        <v>22</v>
      </c>
      <c r="R45" t="s">
        <v>19</v>
      </c>
      <c r="S45" t="s">
        <v>234</v>
      </c>
      <c r="T45" t="s">
        <v>115</v>
      </c>
    </row>
    <row r="46" spans="1:20" x14ac:dyDescent="0.25">
      <c r="A46" t="s">
        <v>247</v>
      </c>
      <c r="B46" s="219">
        <v>45946</v>
      </c>
      <c r="C46" t="s">
        <v>242</v>
      </c>
      <c r="D46" t="s">
        <v>152</v>
      </c>
      <c r="E46" t="s">
        <v>20</v>
      </c>
      <c r="F46" t="s">
        <v>152</v>
      </c>
      <c r="G46" t="s">
        <v>21</v>
      </c>
      <c r="H46">
        <v>558949</v>
      </c>
      <c r="I46">
        <v>1</v>
      </c>
      <c r="J46">
        <v>558949</v>
      </c>
      <c r="K46">
        <v>300966.99</v>
      </c>
      <c r="L46">
        <v>257982.01</v>
      </c>
      <c r="M46">
        <v>106205.87</v>
      </c>
      <c r="N46">
        <v>151776.14000000001</v>
      </c>
      <c r="O46" s="219">
        <v>46203</v>
      </c>
      <c r="P46" s="219">
        <v>46203</v>
      </c>
      <c r="Q46" t="s">
        <v>28</v>
      </c>
      <c r="R46" t="s">
        <v>19</v>
      </c>
      <c r="S46" t="s">
        <v>142</v>
      </c>
      <c r="T46" t="s">
        <v>115</v>
      </c>
    </row>
    <row r="47" spans="1:20" x14ac:dyDescent="0.25">
      <c r="A47" t="s">
        <v>264</v>
      </c>
      <c r="B47" s="219">
        <v>45992</v>
      </c>
      <c r="C47" t="s">
        <v>178</v>
      </c>
      <c r="D47" t="s">
        <v>152</v>
      </c>
      <c r="E47" t="s">
        <v>20</v>
      </c>
      <c r="F47" t="s">
        <v>152</v>
      </c>
      <c r="G47" t="s">
        <v>21</v>
      </c>
      <c r="H47">
        <v>628258.81000000006</v>
      </c>
      <c r="I47">
        <v>1</v>
      </c>
      <c r="J47">
        <v>628258.81000000006</v>
      </c>
      <c r="K47">
        <v>0</v>
      </c>
      <c r="L47">
        <v>628258.81000000006</v>
      </c>
      <c r="M47">
        <v>487718.69</v>
      </c>
      <c r="N47">
        <v>140540.12</v>
      </c>
      <c r="O47" s="219">
        <v>46203</v>
      </c>
      <c r="P47" s="219">
        <v>46203</v>
      </c>
      <c r="Q47" t="s">
        <v>28</v>
      </c>
      <c r="R47" t="s">
        <v>19</v>
      </c>
      <c r="S47" t="s">
        <v>142</v>
      </c>
      <c r="T47" t="s">
        <v>115</v>
      </c>
    </row>
    <row r="48" spans="1:20" x14ac:dyDescent="0.25">
      <c r="A48" t="s">
        <v>468</v>
      </c>
      <c r="B48" s="219">
        <v>46152</v>
      </c>
      <c r="C48" t="s">
        <v>461</v>
      </c>
      <c r="D48" t="s">
        <v>152</v>
      </c>
      <c r="E48" t="s">
        <v>219</v>
      </c>
      <c r="F48" t="s">
        <v>31</v>
      </c>
      <c r="G48" t="s">
        <v>21</v>
      </c>
      <c r="H48">
        <v>735855</v>
      </c>
      <c r="I48">
        <v>1</v>
      </c>
      <c r="J48">
        <v>735855</v>
      </c>
      <c r="K48">
        <v>0</v>
      </c>
      <c r="L48">
        <v>735855</v>
      </c>
      <c r="M48">
        <v>0</v>
      </c>
      <c r="N48">
        <v>735855</v>
      </c>
      <c r="O48" s="219">
        <v>46203</v>
      </c>
      <c r="P48" s="219">
        <v>46203</v>
      </c>
      <c r="Q48" t="s">
        <v>28</v>
      </c>
      <c r="R48" t="s">
        <v>19</v>
      </c>
      <c r="S48" t="s">
        <v>282</v>
      </c>
      <c r="T48" t="s">
        <v>115</v>
      </c>
    </row>
    <row r="49" spans="1:20" x14ac:dyDescent="0.25">
      <c r="A49" t="s">
        <v>513</v>
      </c>
      <c r="B49" s="219">
        <v>46177</v>
      </c>
      <c r="C49" t="s">
        <v>461</v>
      </c>
      <c r="D49" t="s">
        <v>152</v>
      </c>
      <c r="E49" t="s">
        <v>20</v>
      </c>
      <c r="F49" t="s">
        <v>152</v>
      </c>
      <c r="G49" t="s">
        <v>21</v>
      </c>
      <c r="H49">
        <v>1000000</v>
      </c>
      <c r="I49">
        <v>1</v>
      </c>
      <c r="J49">
        <v>1000000</v>
      </c>
      <c r="K49">
        <v>0</v>
      </c>
      <c r="L49">
        <v>1000000</v>
      </c>
      <c r="M49">
        <v>0</v>
      </c>
      <c r="N49">
        <v>1000000</v>
      </c>
      <c r="O49" s="219">
        <v>46265</v>
      </c>
      <c r="P49" s="219">
        <v>46265</v>
      </c>
      <c r="Q49" t="s">
        <v>28</v>
      </c>
      <c r="R49" t="s">
        <v>19</v>
      </c>
      <c r="S49" t="s">
        <v>472</v>
      </c>
      <c r="T49" t="s">
        <v>115</v>
      </c>
    </row>
    <row r="50" spans="1:20" x14ac:dyDescent="0.25">
      <c r="A50" t="s">
        <v>421</v>
      </c>
      <c r="B50" s="219">
        <v>46121</v>
      </c>
      <c r="C50" t="s">
        <v>418</v>
      </c>
      <c r="D50" t="s">
        <v>17</v>
      </c>
      <c r="E50" t="s">
        <v>24</v>
      </c>
      <c r="F50" t="s">
        <v>17</v>
      </c>
      <c r="G50" t="s">
        <v>21</v>
      </c>
      <c r="H50">
        <v>20000000</v>
      </c>
      <c r="I50">
        <v>1</v>
      </c>
      <c r="J50">
        <v>20000000</v>
      </c>
      <c r="K50">
        <v>0</v>
      </c>
      <c r="L50">
        <v>20000000</v>
      </c>
      <c r="M50">
        <v>8237108.9800000004</v>
      </c>
      <c r="N50">
        <v>11762891.02</v>
      </c>
      <c r="O50" s="219">
        <v>46326</v>
      </c>
      <c r="P50" s="219">
        <v>46326</v>
      </c>
      <c r="Q50" t="s">
        <v>18</v>
      </c>
      <c r="R50" t="s">
        <v>19</v>
      </c>
      <c r="S50" t="s">
        <v>23</v>
      </c>
      <c r="T50" t="s">
        <v>115</v>
      </c>
    </row>
    <row r="51" spans="1:20" x14ac:dyDescent="0.25">
      <c r="A51" t="s">
        <v>190</v>
      </c>
      <c r="B51" s="219">
        <v>45855</v>
      </c>
      <c r="C51" t="s">
        <v>188</v>
      </c>
      <c r="D51" t="s">
        <v>75</v>
      </c>
      <c r="E51" t="s">
        <v>20</v>
      </c>
      <c r="F51" t="s">
        <v>75</v>
      </c>
      <c r="G51" t="s">
        <v>21</v>
      </c>
      <c r="H51">
        <v>101623.2</v>
      </c>
      <c r="I51">
        <v>1</v>
      </c>
      <c r="J51">
        <v>101623.2</v>
      </c>
      <c r="K51">
        <v>0</v>
      </c>
      <c r="L51">
        <v>101623.2</v>
      </c>
      <c r="M51">
        <v>0</v>
      </c>
      <c r="N51">
        <v>101623.2</v>
      </c>
      <c r="O51" s="219">
        <v>46203</v>
      </c>
      <c r="P51" s="219">
        <v>46203</v>
      </c>
      <c r="Q51" t="s">
        <v>69</v>
      </c>
      <c r="R51" t="s">
        <v>19</v>
      </c>
      <c r="S51" t="s">
        <v>23</v>
      </c>
      <c r="T51" t="s">
        <v>115</v>
      </c>
    </row>
    <row r="52" spans="1:20" x14ac:dyDescent="0.25">
      <c r="A52" t="s">
        <v>404</v>
      </c>
      <c r="B52" s="219">
        <v>46118</v>
      </c>
      <c r="C52" t="s">
        <v>107</v>
      </c>
      <c r="D52" t="s">
        <v>152</v>
      </c>
      <c r="E52" t="s">
        <v>20</v>
      </c>
      <c r="F52" t="s">
        <v>152</v>
      </c>
      <c r="G52" t="s">
        <v>21</v>
      </c>
      <c r="H52">
        <v>1000000</v>
      </c>
      <c r="I52">
        <v>1</v>
      </c>
      <c r="J52">
        <v>1000000</v>
      </c>
      <c r="K52">
        <v>0</v>
      </c>
      <c r="L52">
        <v>1000000</v>
      </c>
      <c r="M52">
        <v>0</v>
      </c>
      <c r="N52">
        <v>1000000</v>
      </c>
      <c r="O52" s="219">
        <v>46203</v>
      </c>
      <c r="P52" s="219">
        <v>46203</v>
      </c>
      <c r="Q52" t="s">
        <v>28</v>
      </c>
      <c r="R52" t="s">
        <v>19</v>
      </c>
      <c r="S52" t="s">
        <v>381</v>
      </c>
      <c r="T52" t="s">
        <v>115</v>
      </c>
    </row>
    <row r="53" spans="1:20" x14ac:dyDescent="0.25">
      <c r="A53" t="s">
        <v>423</v>
      </c>
      <c r="B53" s="219">
        <v>46124</v>
      </c>
      <c r="C53" t="s">
        <v>107</v>
      </c>
      <c r="D53" t="s">
        <v>114</v>
      </c>
      <c r="E53" t="s">
        <v>219</v>
      </c>
      <c r="F53" t="s">
        <v>151</v>
      </c>
      <c r="G53" t="s">
        <v>21</v>
      </c>
      <c r="H53">
        <v>2193076</v>
      </c>
      <c r="I53">
        <v>1</v>
      </c>
      <c r="J53">
        <v>2193076</v>
      </c>
      <c r="K53">
        <v>0</v>
      </c>
      <c r="L53">
        <v>2193076</v>
      </c>
      <c r="M53">
        <v>2193076</v>
      </c>
      <c r="N53">
        <v>0</v>
      </c>
      <c r="O53" s="219">
        <v>46172</v>
      </c>
      <c r="P53" s="219">
        <v>46172</v>
      </c>
      <c r="Q53" t="s">
        <v>22</v>
      </c>
      <c r="R53" t="s">
        <v>19</v>
      </c>
      <c r="S53" t="s">
        <v>311</v>
      </c>
      <c r="T53" t="s">
        <v>115</v>
      </c>
    </row>
    <row r="54" spans="1:20" x14ac:dyDescent="0.25">
      <c r="A54" t="s">
        <v>514</v>
      </c>
      <c r="B54" s="219">
        <v>46177</v>
      </c>
      <c r="C54" t="s">
        <v>499</v>
      </c>
      <c r="D54" t="s">
        <v>152</v>
      </c>
      <c r="E54" t="s">
        <v>20</v>
      </c>
      <c r="F54" t="s">
        <v>152</v>
      </c>
      <c r="G54" t="s">
        <v>21</v>
      </c>
      <c r="H54">
        <v>1000000</v>
      </c>
      <c r="I54">
        <v>1</v>
      </c>
      <c r="J54">
        <v>1000000</v>
      </c>
      <c r="K54">
        <v>0</v>
      </c>
      <c r="L54">
        <v>1000000</v>
      </c>
      <c r="M54">
        <v>0</v>
      </c>
      <c r="N54">
        <v>1000000</v>
      </c>
      <c r="O54" s="219">
        <v>46265</v>
      </c>
      <c r="P54" s="219">
        <v>46265</v>
      </c>
      <c r="Q54" t="s">
        <v>28</v>
      </c>
      <c r="R54" t="s">
        <v>19</v>
      </c>
      <c r="S54" t="s">
        <v>472</v>
      </c>
      <c r="T54" t="s">
        <v>115</v>
      </c>
    </row>
    <row r="55" spans="1:20" x14ac:dyDescent="0.25">
      <c r="A55" t="s">
        <v>321</v>
      </c>
      <c r="B55" s="219">
        <v>46040</v>
      </c>
      <c r="C55" t="s">
        <v>312</v>
      </c>
      <c r="D55" t="s">
        <v>114</v>
      </c>
      <c r="E55" t="s">
        <v>219</v>
      </c>
      <c r="F55" t="s">
        <v>151</v>
      </c>
      <c r="G55" t="s">
        <v>21</v>
      </c>
      <c r="H55">
        <v>400000</v>
      </c>
      <c r="I55">
        <v>1</v>
      </c>
      <c r="J55">
        <v>400000</v>
      </c>
      <c r="K55">
        <v>400000</v>
      </c>
      <c r="L55">
        <v>0</v>
      </c>
      <c r="M55">
        <v>0</v>
      </c>
      <c r="N55">
        <v>0</v>
      </c>
      <c r="O55" s="219">
        <v>46172</v>
      </c>
      <c r="P55" s="219">
        <v>46157</v>
      </c>
      <c r="Q55" t="s">
        <v>22</v>
      </c>
      <c r="R55" t="s">
        <v>19</v>
      </c>
      <c r="S55" t="s">
        <v>311</v>
      </c>
      <c r="T55" t="s">
        <v>115</v>
      </c>
    </row>
    <row r="56" spans="1:20" x14ac:dyDescent="0.25">
      <c r="A56" t="s">
        <v>405</v>
      </c>
      <c r="B56" s="219">
        <v>46118</v>
      </c>
      <c r="C56" t="s">
        <v>395</v>
      </c>
      <c r="D56" t="s">
        <v>152</v>
      </c>
      <c r="E56" t="s">
        <v>20</v>
      </c>
      <c r="F56" t="s">
        <v>152</v>
      </c>
      <c r="G56" t="s">
        <v>21</v>
      </c>
      <c r="H56">
        <v>150000</v>
      </c>
      <c r="I56">
        <v>1</v>
      </c>
      <c r="J56">
        <v>150000</v>
      </c>
      <c r="K56">
        <v>0</v>
      </c>
      <c r="L56">
        <v>150000</v>
      </c>
      <c r="M56">
        <v>0</v>
      </c>
      <c r="N56">
        <v>150000</v>
      </c>
      <c r="O56" s="219">
        <v>46203</v>
      </c>
      <c r="P56" s="219">
        <v>46203</v>
      </c>
      <c r="Q56" t="s">
        <v>28</v>
      </c>
      <c r="R56" t="s">
        <v>19</v>
      </c>
      <c r="S56" t="s">
        <v>381</v>
      </c>
      <c r="T56" t="s">
        <v>115</v>
      </c>
    </row>
    <row r="57" spans="1:20" x14ac:dyDescent="0.25">
      <c r="A57" t="s">
        <v>406</v>
      </c>
      <c r="B57" s="219">
        <v>46118</v>
      </c>
      <c r="C57" t="s">
        <v>389</v>
      </c>
      <c r="D57" t="s">
        <v>152</v>
      </c>
      <c r="E57" t="s">
        <v>20</v>
      </c>
      <c r="F57" t="s">
        <v>152</v>
      </c>
      <c r="G57" t="s">
        <v>21</v>
      </c>
      <c r="H57">
        <v>1000000</v>
      </c>
      <c r="I57">
        <v>1</v>
      </c>
      <c r="J57">
        <v>1000000</v>
      </c>
      <c r="K57">
        <v>0</v>
      </c>
      <c r="L57">
        <v>1000000</v>
      </c>
      <c r="M57">
        <v>995984.82</v>
      </c>
      <c r="N57">
        <v>4015.18</v>
      </c>
      <c r="O57" s="219">
        <v>46203</v>
      </c>
      <c r="P57" s="219">
        <v>46203</v>
      </c>
      <c r="Q57" t="s">
        <v>28</v>
      </c>
      <c r="R57" t="s">
        <v>19</v>
      </c>
      <c r="S57" t="s">
        <v>381</v>
      </c>
      <c r="T57" t="s">
        <v>115</v>
      </c>
    </row>
    <row r="58" spans="1:20" x14ac:dyDescent="0.25">
      <c r="A58" t="s">
        <v>515</v>
      </c>
      <c r="B58" s="219">
        <v>46177</v>
      </c>
      <c r="C58" t="s">
        <v>261</v>
      </c>
      <c r="D58" t="s">
        <v>152</v>
      </c>
      <c r="E58" t="s">
        <v>20</v>
      </c>
      <c r="F58" t="s">
        <v>152</v>
      </c>
      <c r="G58" t="s">
        <v>21</v>
      </c>
      <c r="H58">
        <v>1000000</v>
      </c>
      <c r="I58">
        <v>1</v>
      </c>
      <c r="J58">
        <v>1000000</v>
      </c>
      <c r="K58">
        <v>0</v>
      </c>
      <c r="L58">
        <v>1000000</v>
      </c>
      <c r="M58">
        <v>0</v>
      </c>
      <c r="N58">
        <v>1000000</v>
      </c>
      <c r="O58" s="219">
        <v>46265</v>
      </c>
      <c r="P58" s="219">
        <v>46265</v>
      </c>
      <c r="Q58" t="s">
        <v>28</v>
      </c>
      <c r="R58" t="s">
        <v>19</v>
      </c>
      <c r="S58" t="s">
        <v>472</v>
      </c>
      <c r="T58" t="s">
        <v>115</v>
      </c>
    </row>
    <row r="59" spans="1:20" x14ac:dyDescent="0.25">
      <c r="A59" t="s">
        <v>516</v>
      </c>
      <c r="B59" s="219">
        <v>46177</v>
      </c>
      <c r="C59" t="s">
        <v>489</v>
      </c>
      <c r="D59" t="s">
        <v>152</v>
      </c>
      <c r="E59" t="s">
        <v>20</v>
      </c>
      <c r="F59" t="s">
        <v>152</v>
      </c>
      <c r="G59" t="s">
        <v>21</v>
      </c>
      <c r="H59">
        <v>200000</v>
      </c>
      <c r="I59">
        <v>1</v>
      </c>
      <c r="J59">
        <v>200000</v>
      </c>
      <c r="K59">
        <v>0</v>
      </c>
      <c r="L59">
        <v>200000</v>
      </c>
      <c r="M59">
        <v>0</v>
      </c>
      <c r="N59">
        <v>200000</v>
      </c>
      <c r="O59" s="219">
        <v>46265</v>
      </c>
      <c r="P59" s="219">
        <v>46265</v>
      </c>
      <c r="Q59" t="s">
        <v>28</v>
      </c>
      <c r="R59" t="s">
        <v>19</v>
      </c>
      <c r="S59" t="s">
        <v>472</v>
      </c>
      <c r="T59" t="s">
        <v>115</v>
      </c>
    </row>
    <row r="60" spans="1:20" x14ac:dyDescent="0.25">
      <c r="A60" t="s">
        <v>208</v>
      </c>
      <c r="B60" s="219">
        <v>45875</v>
      </c>
      <c r="C60" t="s">
        <v>204</v>
      </c>
      <c r="D60" t="s">
        <v>27</v>
      </c>
      <c r="E60" t="s">
        <v>20</v>
      </c>
      <c r="F60" t="s">
        <v>27</v>
      </c>
      <c r="G60" t="s">
        <v>21</v>
      </c>
      <c r="H60">
        <v>550000.15</v>
      </c>
      <c r="I60">
        <v>1</v>
      </c>
      <c r="J60">
        <v>550000.15</v>
      </c>
      <c r="K60">
        <v>482497.13</v>
      </c>
      <c r="L60">
        <v>67503.02</v>
      </c>
      <c r="M60">
        <v>0</v>
      </c>
      <c r="N60">
        <v>67503.02</v>
      </c>
      <c r="O60" s="219">
        <v>46203</v>
      </c>
      <c r="P60" s="219">
        <v>46203</v>
      </c>
      <c r="Q60" t="s">
        <v>28</v>
      </c>
      <c r="R60" t="s">
        <v>19</v>
      </c>
      <c r="S60" t="s">
        <v>205</v>
      </c>
      <c r="T60" t="s">
        <v>115</v>
      </c>
    </row>
    <row r="61" spans="1:20" x14ac:dyDescent="0.25">
      <c r="A61" t="s">
        <v>237</v>
      </c>
      <c r="B61" s="219">
        <v>45924</v>
      </c>
      <c r="C61" t="s">
        <v>227</v>
      </c>
      <c r="D61" t="s">
        <v>17</v>
      </c>
      <c r="E61" t="s">
        <v>24</v>
      </c>
      <c r="F61" t="s">
        <v>106</v>
      </c>
      <c r="G61" t="s">
        <v>21</v>
      </c>
      <c r="H61">
        <v>5308039.3600000003</v>
      </c>
      <c r="I61">
        <v>1</v>
      </c>
      <c r="J61">
        <v>5308039.3600000003</v>
      </c>
      <c r="K61">
        <v>5072714.3</v>
      </c>
      <c r="L61">
        <v>235325.06</v>
      </c>
      <c r="M61">
        <v>0</v>
      </c>
      <c r="N61">
        <v>235325.06</v>
      </c>
      <c r="O61" s="219">
        <v>46194</v>
      </c>
      <c r="P61" s="219">
        <v>46173</v>
      </c>
      <c r="Q61" t="s">
        <v>18</v>
      </c>
      <c r="R61" t="s">
        <v>19</v>
      </c>
      <c r="S61" t="s">
        <v>234</v>
      </c>
      <c r="T61" t="s">
        <v>115</v>
      </c>
    </row>
    <row r="62" spans="1:20" x14ac:dyDescent="0.25">
      <c r="A62" t="s">
        <v>517</v>
      </c>
      <c r="B62" s="219">
        <v>46177</v>
      </c>
      <c r="C62" t="s">
        <v>486</v>
      </c>
      <c r="D62" t="s">
        <v>152</v>
      </c>
      <c r="E62" t="s">
        <v>20</v>
      </c>
      <c r="F62" t="s">
        <v>152</v>
      </c>
      <c r="G62" t="s">
        <v>21</v>
      </c>
      <c r="H62">
        <v>300000.01</v>
      </c>
      <c r="I62">
        <v>1</v>
      </c>
      <c r="J62">
        <v>300000.01</v>
      </c>
      <c r="K62">
        <v>0</v>
      </c>
      <c r="L62">
        <v>300000.01</v>
      </c>
      <c r="M62">
        <v>0</v>
      </c>
      <c r="N62">
        <v>300000.01</v>
      </c>
      <c r="O62" s="219">
        <v>46265</v>
      </c>
      <c r="P62" s="219">
        <v>46265</v>
      </c>
      <c r="Q62" t="s">
        <v>28</v>
      </c>
      <c r="R62" t="s">
        <v>19</v>
      </c>
      <c r="S62" t="s">
        <v>472</v>
      </c>
      <c r="T62" t="s">
        <v>115</v>
      </c>
    </row>
    <row r="63" spans="1:20" x14ac:dyDescent="0.25">
      <c r="A63" t="s">
        <v>180</v>
      </c>
      <c r="B63" s="219">
        <v>45804</v>
      </c>
      <c r="C63" t="s">
        <v>175</v>
      </c>
      <c r="D63" t="s">
        <v>17</v>
      </c>
      <c r="E63" t="s">
        <v>20</v>
      </c>
      <c r="F63" t="s">
        <v>17</v>
      </c>
      <c r="G63" t="s">
        <v>21</v>
      </c>
      <c r="H63">
        <v>381276.62</v>
      </c>
      <c r="I63">
        <v>1</v>
      </c>
      <c r="J63">
        <v>381276.62</v>
      </c>
      <c r="K63">
        <v>140641.01</v>
      </c>
      <c r="L63">
        <v>240635.61</v>
      </c>
      <c r="M63">
        <v>0</v>
      </c>
      <c r="N63">
        <v>240635.61</v>
      </c>
      <c r="O63" s="219">
        <v>46169</v>
      </c>
      <c r="P63" s="219">
        <v>46169</v>
      </c>
      <c r="Q63" t="s">
        <v>18</v>
      </c>
      <c r="R63" t="s">
        <v>19</v>
      </c>
      <c r="S63" t="s">
        <v>142</v>
      </c>
      <c r="T63" t="s">
        <v>115</v>
      </c>
    </row>
    <row r="64" spans="1:20" x14ac:dyDescent="0.25">
      <c r="A64" t="s">
        <v>293</v>
      </c>
      <c r="B64" s="219">
        <v>46023</v>
      </c>
      <c r="C64" t="s">
        <v>279</v>
      </c>
      <c r="D64" t="s">
        <v>75</v>
      </c>
      <c r="E64" t="s">
        <v>24</v>
      </c>
      <c r="F64" t="s">
        <v>75</v>
      </c>
      <c r="G64" t="s">
        <v>21</v>
      </c>
      <c r="H64">
        <v>5802900</v>
      </c>
      <c r="I64">
        <v>1</v>
      </c>
      <c r="J64">
        <v>5802900</v>
      </c>
      <c r="K64">
        <v>495832.85</v>
      </c>
      <c r="L64">
        <v>5307067.1500000004</v>
      </c>
      <c r="M64">
        <v>112200.9</v>
      </c>
      <c r="N64">
        <v>5194866.25</v>
      </c>
      <c r="O64" s="219">
        <v>46387</v>
      </c>
      <c r="P64" s="219">
        <v>46387</v>
      </c>
      <c r="Q64" t="s">
        <v>69</v>
      </c>
      <c r="R64" t="s">
        <v>19</v>
      </c>
      <c r="S64" t="s">
        <v>280</v>
      </c>
      <c r="T64" t="s">
        <v>115</v>
      </c>
    </row>
    <row r="65" spans="1:20" x14ac:dyDescent="0.25">
      <c r="A65" t="s">
        <v>480</v>
      </c>
      <c r="B65" s="219">
        <v>46160</v>
      </c>
      <c r="C65" t="s">
        <v>279</v>
      </c>
      <c r="D65" t="s">
        <v>17</v>
      </c>
      <c r="E65" t="s">
        <v>24</v>
      </c>
      <c r="F65" t="s">
        <v>105</v>
      </c>
      <c r="G65" t="s">
        <v>21</v>
      </c>
      <c r="H65">
        <v>2000000</v>
      </c>
      <c r="I65">
        <v>1</v>
      </c>
      <c r="J65">
        <v>2000000</v>
      </c>
      <c r="K65">
        <v>0</v>
      </c>
      <c r="L65">
        <v>2000000</v>
      </c>
      <c r="M65">
        <v>0</v>
      </c>
      <c r="N65">
        <v>2000000</v>
      </c>
      <c r="O65" s="219">
        <v>46265</v>
      </c>
      <c r="P65" s="219">
        <v>46265</v>
      </c>
      <c r="Q65" t="s">
        <v>18</v>
      </c>
      <c r="R65" t="s">
        <v>19</v>
      </c>
      <c r="S65" t="s">
        <v>431</v>
      </c>
      <c r="T65" t="s">
        <v>115</v>
      </c>
    </row>
    <row r="66" spans="1:20" x14ac:dyDescent="0.25">
      <c r="A66" t="s">
        <v>564</v>
      </c>
      <c r="B66" s="219">
        <v>46195</v>
      </c>
      <c r="C66" t="s">
        <v>557</v>
      </c>
      <c r="D66" t="s">
        <v>114</v>
      </c>
      <c r="E66" t="s">
        <v>219</v>
      </c>
      <c r="F66" t="s">
        <v>151</v>
      </c>
      <c r="G66" t="s">
        <v>21</v>
      </c>
      <c r="H66">
        <v>11188186.699999999</v>
      </c>
      <c r="I66">
        <v>1</v>
      </c>
      <c r="J66">
        <v>11188186.699999999</v>
      </c>
      <c r="K66">
        <v>0</v>
      </c>
      <c r="L66">
        <v>11188186.699999999</v>
      </c>
      <c r="M66">
        <v>0</v>
      </c>
      <c r="N66">
        <v>11188186.699999999</v>
      </c>
      <c r="O66" s="219">
        <v>46244</v>
      </c>
      <c r="P66" s="219">
        <v>46244</v>
      </c>
      <c r="Q66" t="s">
        <v>22</v>
      </c>
      <c r="R66" t="s">
        <v>19</v>
      </c>
      <c r="S66" t="s">
        <v>23</v>
      </c>
      <c r="T66" t="s">
        <v>115</v>
      </c>
    </row>
    <row r="67" spans="1:20" x14ac:dyDescent="0.25">
      <c r="A67" t="s">
        <v>407</v>
      </c>
      <c r="B67" s="219">
        <v>46118</v>
      </c>
      <c r="C67" t="s">
        <v>386</v>
      </c>
      <c r="D67" t="s">
        <v>152</v>
      </c>
      <c r="E67" t="s">
        <v>20</v>
      </c>
      <c r="F67" t="s">
        <v>152</v>
      </c>
      <c r="G67" t="s">
        <v>21</v>
      </c>
      <c r="H67">
        <v>500000</v>
      </c>
      <c r="I67">
        <v>1</v>
      </c>
      <c r="J67">
        <v>500000</v>
      </c>
      <c r="K67">
        <v>0</v>
      </c>
      <c r="L67">
        <v>500000</v>
      </c>
      <c r="M67">
        <v>0</v>
      </c>
      <c r="N67">
        <v>500000</v>
      </c>
      <c r="O67" s="219">
        <v>46203</v>
      </c>
      <c r="P67" s="219">
        <v>46203</v>
      </c>
      <c r="Q67" t="s">
        <v>28</v>
      </c>
      <c r="R67" t="s">
        <v>19</v>
      </c>
      <c r="S67" t="s">
        <v>381</v>
      </c>
      <c r="T67" t="s">
        <v>115</v>
      </c>
    </row>
    <row r="68" spans="1:20" x14ac:dyDescent="0.25">
      <c r="A68" t="s">
        <v>518</v>
      </c>
      <c r="B68" s="219">
        <v>46177</v>
      </c>
      <c r="C68" t="s">
        <v>386</v>
      </c>
      <c r="D68" t="s">
        <v>152</v>
      </c>
      <c r="E68" t="s">
        <v>20</v>
      </c>
      <c r="F68" t="s">
        <v>152</v>
      </c>
      <c r="G68" t="s">
        <v>21</v>
      </c>
      <c r="H68">
        <v>400000</v>
      </c>
      <c r="I68">
        <v>1</v>
      </c>
      <c r="J68">
        <v>400000</v>
      </c>
      <c r="K68">
        <v>0</v>
      </c>
      <c r="L68">
        <v>400000</v>
      </c>
      <c r="M68">
        <v>0</v>
      </c>
      <c r="N68">
        <v>400000</v>
      </c>
      <c r="O68" s="219">
        <v>46265</v>
      </c>
      <c r="P68" s="219">
        <v>46265</v>
      </c>
      <c r="Q68" t="s">
        <v>28</v>
      </c>
      <c r="R68" t="s">
        <v>19</v>
      </c>
      <c r="S68" t="s">
        <v>472</v>
      </c>
      <c r="T68" t="s">
        <v>115</v>
      </c>
    </row>
    <row r="69" spans="1:20" x14ac:dyDescent="0.25">
      <c r="A69" t="s">
        <v>353</v>
      </c>
      <c r="B69" s="219">
        <v>46082</v>
      </c>
      <c r="C69" t="s">
        <v>350</v>
      </c>
      <c r="D69" t="s">
        <v>114</v>
      </c>
      <c r="E69" t="s">
        <v>24</v>
      </c>
      <c r="F69" t="s">
        <v>106</v>
      </c>
      <c r="G69" t="s">
        <v>21</v>
      </c>
      <c r="H69">
        <v>2140124.1600000001</v>
      </c>
      <c r="I69">
        <v>1</v>
      </c>
      <c r="J69">
        <v>2140124.1600000001</v>
      </c>
      <c r="K69">
        <v>1696396.49</v>
      </c>
      <c r="L69">
        <v>443727.67</v>
      </c>
      <c r="M69">
        <v>0</v>
      </c>
      <c r="N69">
        <v>443727.67</v>
      </c>
      <c r="O69" s="219">
        <v>46235</v>
      </c>
      <c r="P69" s="219">
        <v>46235</v>
      </c>
      <c r="Q69" t="s">
        <v>22</v>
      </c>
      <c r="R69" t="s">
        <v>19</v>
      </c>
      <c r="S69" t="s">
        <v>38</v>
      </c>
      <c r="T69" t="s">
        <v>115</v>
      </c>
    </row>
    <row r="70" spans="1:20" x14ac:dyDescent="0.25">
      <c r="A70" t="s">
        <v>268</v>
      </c>
      <c r="B70" s="219">
        <v>45993</v>
      </c>
      <c r="C70" t="s">
        <v>263</v>
      </c>
      <c r="D70" t="s">
        <v>117</v>
      </c>
      <c r="E70" t="s">
        <v>358</v>
      </c>
      <c r="F70" t="s">
        <v>117</v>
      </c>
      <c r="G70" t="s">
        <v>33</v>
      </c>
      <c r="H70">
        <v>695184.62200000009</v>
      </c>
      <c r="I70">
        <v>4.32</v>
      </c>
      <c r="J70">
        <v>3003197.5670400006</v>
      </c>
      <c r="K70">
        <v>992843.09680000006</v>
      </c>
      <c r="L70">
        <v>2010354.47</v>
      </c>
      <c r="M70">
        <v>0</v>
      </c>
      <c r="N70">
        <v>2010354.47</v>
      </c>
      <c r="O70" s="219">
        <v>46371</v>
      </c>
      <c r="P70" s="219">
        <v>46341</v>
      </c>
      <c r="Q70" t="s">
        <v>25</v>
      </c>
      <c r="R70" t="s">
        <v>19</v>
      </c>
      <c r="S70" t="s">
        <v>153</v>
      </c>
      <c r="T70" t="s">
        <v>115</v>
      </c>
    </row>
    <row r="71" spans="1:20" x14ac:dyDescent="0.25">
      <c r="A71" t="s">
        <v>265</v>
      </c>
      <c r="B71" s="219">
        <v>45992</v>
      </c>
      <c r="C71" t="s">
        <v>263</v>
      </c>
      <c r="D71" t="s">
        <v>117</v>
      </c>
      <c r="E71" t="s">
        <v>358</v>
      </c>
      <c r="F71" t="s">
        <v>117</v>
      </c>
      <c r="G71" t="s">
        <v>173</v>
      </c>
      <c r="H71">
        <v>430873.13500000001</v>
      </c>
      <c r="I71">
        <v>3.75</v>
      </c>
      <c r="J71">
        <v>1615774.2562500001</v>
      </c>
      <c r="K71">
        <v>386882.11667999998</v>
      </c>
      <c r="L71">
        <v>1228892.1399999999</v>
      </c>
      <c r="M71">
        <v>0</v>
      </c>
      <c r="N71">
        <v>1228892.1399999999</v>
      </c>
      <c r="O71" s="219">
        <v>46371</v>
      </c>
      <c r="P71" s="219">
        <v>46341</v>
      </c>
      <c r="Q71" t="s">
        <v>25</v>
      </c>
      <c r="R71" t="s">
        <v>19</v>
      </c>
      <c r="S71" t="s">
        <v>153</v>
      </c>
      <c r="T71" t="s">
        <v>115</v>
      </c>
    </row>
    <row r="72" spans="1:20" x14ac:dyDescent="0.25">
      <c r="A72" t="s">
        <v>408</v>
      </c>
      <c r="B72" s="219">
        <v>46118</v>
      </c>
      <c r="C72" t="s">
        <v>329</v>
      </c>
      <c r="D72" t="s">
        <v>152</v>
      </c>
      <c r="E72" t="s">
        <v>20</v>
      </c>
      <c r="F72" t="s">
        <v>152</v>
      </c>
      <c r="G72" t="s">
        <v>21</v>
      </c>
      <c r="H72">
        <v>150000</v>
      </c>
      <c r="I72">
        <v>1</v>
      </c>
      <c r="J72">
        <v>150000</v>
      </c>
      <c r="K72">
        <v>0</v>
      </c>
      <c r="L72">
        <v>150000</v>
      </c>
      <c r="M72">
        <v>150000</v>
      </c>
      <c r="N72">
        <v>0</v>
      </c>
      <c r="O72" s="219">
        <v>46203</v>
      </c>
      <c r="P72" s="219">
        <v>46203</v>
      </c>
      <c r="Q72" t="s">
        <v>28</v>
      </c>
      <c r="R72" t="s">
        <v>19</v>
      </c>
      <c r="S72" t="s">
        <v>381</v>
      </c>
      <c r="T72" t="s">
        <v>115</v>
      </c>
    </row>
    <row r="73" spans="1:20" x14ac:dyDescent="0.25">
      <c r="A73" t="s">
        <v>519</v>
      </c>
      <c r="B73" s="219">
        <v>46177</v>
      </c>
      <c r="C73" t="s">
        <v>487</v>
      </c>
      <c r="D73" t="s">
        <v>152</v>
      </c>
      <c r="E73" t="s">
        <v>20</v>
      </c>
      <c r="F73" t="s">
        <v>152</v>
      </c>
      <c r="G73" t="s">
        <v>21</v>
      </c>
      <c r="H73">
        <v>300000</v>
      </c>
      <c r="I73">
        <v>1</v>
      </c>
      <c r="J73">
        <v>300000</v>
      </c>
      <c r="K73">
        <v>0</v>
      </c>
      <c r="L73">
        <v>300000</v>
      </c>
      <c r="M73">
        <v>0</v>
      </c>
      <c r="N73">
        <v>300000</v>
      </c>
      <c r="O73" s="219">
        <v>46265</v>
      </c>
      <c r="P73" s="219">
        <v>46265</v>
      </c>
      <c r="Q73" t="s">
        <v>28</v>
      </c>
      <c r="R73" t="s">
        <v>19</v>
      </c>
      <c r="S73" t="s">
        <v>472</v>
      </c>
      <c r="T73" t="s">
        <v>115</v>
      </c>
    </row>
    <row r="74" spans="1:20" x14ac:dyDescent="0.25">
      <c r="A74" t="s">
        <v>376</v>
      </c>
      <c r="B74" s="219">
        <v>46097</v>
      </c>
      <c r="C74" t="s">
        <v>374</v>
      </c>
      <c r="D74" t="s">
        <v>281</v>
      </c>
      <c r="E74" t="s">
        <v>24</v>
      </c>
      <c r="F74" t="s">
        <v>27</v>
      </c>
      <c r="G74" t="s">
        <v>21</v>
      </c>
      <c r="H74">
        <v>10000000</v>
      </c>
      <c r="I74">
        <v>1</v>
      </c>
      <c r="J74">
        <v>10000000</v>
      </c>
      <c r="K74">
        <v>0</v>
      </c>
      <c r="L74">
        <v>10000000</v>
      </c>
      <c r="M74">
        <v>10000000</v>
      </c>
      <c r="N74">
        <v>0</v>
      </c>
      <c r="O74" s="219">
        <v>46203</v>
      </c>
      <c r="P74" s="219">
        <v>46203</v>
      </c>
      <c r="Q74" t="s">
        <v>28</v>
      </c>
      <c r="R74" t="s">
        <v>19</v>
      </c>
      <c r="S74" t="s">
        <v>375</v>
      </c>
      <c r="T74" t="s">
        <v>115</v>
      </c>
    </row>
    <row r="75" spans="1:20" x14ac:dyDescent="0.25">
      <c r="A75" t="s">
        <v>420</v>
      </c>
      <c r="B75" s="219">
        <v>46120</v>
      </c>
      <c r="C75" t="s">
        <v>374</v>
      </c>
      <c r="D75" t="s">
        <v>17</v>
      </c>
      <c r="E75" t="s">
        <v>24</v>
      </c>
      <c r="F75" t="s">
        <v>27</v>
      </c>
      <c r="G75" t="s">
        <v>21</v>
      </c>
      <c r="H75">
        <v>21481033</v>
      </c>
      <c r="I75">
        <v>1</v>
      </c>
      <c r="J75">
        <v>21481033</v>
      </c>
      <c r="K75">
        <v>0</v>
      </c>
      <c r="L75">
        <v>21481033</v>
      </c>
      <c r="M75">
        <v>21481033</v>
      </c>
      <c r="N75">
        <v>0</v>
      </c>
      <c r="O75" s="219">
        <v>46203</v>
      </c>
      <c r="P75" s="219">
        <v>46203</v>
      </c>
      <c r="Q75" t="s">
        <v>18</v>
      </c>
      <c r="R75" t="s">
        <v>19</v>
      </c>
      <c r="S75" t="s">
        <v>142</v>
      </c>
      <c r="T75" t="s">
        <v>115</v>
      </c>
    </row>
    <row r="76" spans="1:20" x14ac:dyDescent="0.25">
      <c r="A76" t="s">
        <v>434</v>
      </c>
      <c r="B76" s="219">
        <v>46127</v>
      </c>
      <c r="C76" t="s">
        <v>428</v>
      </c>
      <c r="D76" t="s">
        <v>17</v>
      </c>
      <c r="E76" t="s">
        <v>183</v>
      </c>
      <c r="F76" t="s">
        <v>105</v>
      </c>
      <c r="G76" t="s">
        <v>21</v>
      </c>
      <c r="H76">
        <v>15724333.939999999</v>
      </c>
      <c r="I76">
        <v>1</v>
      </c>
      <c r="J76">
        <v>15724333.939999999</v>
      </c>
      <c r="K76">
        <v>0</v>
      </c>
      <c r="L76">
        <v>15724333.939999999</v>
      </c>
      <c r="M76">
        <v>15724333.939999999</v>
      </c>
      <c r="N76">
        <v>0</v>
      </c>
      <c r="O76" s="219">
        <v>46203</v>
      </c>
      <c r="P76" s="219">
        <v>46193</v>
      </c>
      <c r="Q76" t="s">
        <v>18</v>
      </c>
      <c r="R76" t="s">
        <v>19</v>
      </c>
      <c r="S76" t="s">
        <v>244</v>
      </c>
      <c r="T76" t="s">
        <v>115</v>
      </c>
    </row>
    <row r="77" spans="1:20" x14ac:dyDescent="0.25">
      <c r="A77" t="s">
        <v>327</v>
      </c>
      <c r="B77" s="219">
        <v>46050</v>
      </c>
      <c r="C77" t="s">
        <v>306</v>
      </c>
      <c r="D77" t="s">
        <v>152</v>
      </c>
      <c r="E77" t="s">
        <v>20</v>
      </c>
      <c r="F77" t="s">
        <v>152</v>
      </c>
      <c r="G77" t="s">
        <v>21</v>
      </c>
      <c r="H77">
        <v>397090</v>
      </c>
      <c r="I77">
        <v>1</v>
      </c>
      <c r="J77">
        <v>397090</v>
      </c>
      <c r="K77">
        <v>0</v>
      </c>
      <c r="L77">
        <v>397090</v>
      </c>
      <c r="M77">
        <v>397090</v>
      </c>
      <c r="N77">
        <v>0</v>
      </c>
      <c r="O77" s="219">
        <v>46142</v>
      </c>
      <c r="P77" s="219">
        <v>46142</v>
      </c>
      <c r="Q77" t="s">
        <v>28</v>
      </c>
      <c r="R77" t="s">
        <v>19</v>
      </c>
      <c r="S77" t="s">
        <v>244</v>
      </c>
      <c r="T77" t="s">
        <v>115</v>
      </c>
    </row>
    <row r="78" spans="1:20" x14ac:dyDescent="0.25">
      <c r="A78" t="s">
        <v>308</v>
      </c>
      <c r="B78" s="219">
        <v>46033</v>
      </c>
      <c r="C78" t="s">
        <v>304</v>
      </c>
      <c r="D78" t="s">
        <v>75</v>
      </c>
      <c r="E78" t="s">
        <v>20</v>
      </c>
      <c r="F78" t="s">
        <v>75</v>
      </c>
      <c r="G78" t="s">
        <v>21</v>
      </c>
      <c r="H78">
        <v>739450</v>
      </c>
      <c r="I78">
        <v>1</v>
      </c>
      <c r="J78">
        <v>739450</v>
      </c>
      <c r="K78">
        <v>0</v>
      </c>
      <c r="L78">
        <v>739450</v>
      </c>
      <c r="M78">
        <v>0</v>
      </c>
      <c r="N78">
        <v>739450</v>
      </c>
      <c r="O78" s="219">
        <v>46265</v>
      </c>
      <c r="P78" s="219">
        <v>46265</v>
      </c>
      <c r="Q78" t="s">
        <v>69</v>
      </c>
      <c r="R78" t="s">
        <v>19</v>
      </c>
      <c r="S78" t="s">
        <v>244</v>
      </c>
      <c r="T78" t="s">
        <v>115</v>
      </c>
    </row>
    <row r="79" spans="1:20" x14ac:dyDescent="0.25">
      <c r="A79" t="s">
        <v>469</v>
      </c>
      <c r="B79" s="219">
        <v>46153</v>
      </c>
      <c r="C79" t="s">
        <v>463</v>
      </c>
      <c r="D79" t="s">
        <v>152</v>
      </c>
      <c r="E79" t="s">
        <v>24</v>
      </c>
      <c r="F79" t="s">
        <v>31</v>
      </c>
      <c r="G79" t="s">
        <v>21</v>
      </c>
      <c r="H79">
        <v>1325316</v>
      </c>
      <c r="I79">
        <v>1</v>
      </c>
      <c r="J79">
        <v>1325316</v>
      </c>
      <c r="K79">
        <v>0</v>
      </c>
      <c r="L79">
        <v>1325316</v>
      </c>
      <c r="M79">
        <v>0</v>
      </c>
      <c r="N79">
        <v>1325316</v>
      </c>
      <c r="O79" s="219">
        <v>46235</v>
      </c>
      <c r="P79" s="219">
        <v>46235</v>
      </c>
      <c r="Q79" t="s">
        <v>28</v>
      </c>
      <c r="R79" t="s">
        <v>19</v>
      </c>
      <c r="S79" t="s">
        <v>282</v>
      </c>
      <c r="T79" t="s">
        <v>115</v>
      </c>
    </row>
    <row r="80" spans="1:20" x14ac:dyDescent="0.25">
      <c r="A80" t="s">
        <v>294</v>
      </c>
      <c r="B80" s="219">
        <v>46023</v>
      </c>
      <c r="C80" t="s">
        <v>283</v>
      </c>
      <c r="D80" t="s">
        <v>117</v>
      </c>
      <c r="E80" t="s">
        <v>20</v>
      </c>
      <c r="F80" t="s">
        <v>117</v>
      </c>
      <c r="G80" t="s">
        <v>21</v>
      </c>
      <c r="H80">
        <v>500000</v>
      </c>
      <c r="I80">
        <v>1</v>
      </c>
      <c r="J80">
        <v>500000</v>
      </c>
      <c r="K80">
        <v>0</v>
      </c>
      <c r="L80">
        <v>500000</v>
      </c>
      <c r="M80">
        <v>500000</v>
      </c>
      <c r="N80">
        <v>0</v>
      </c>
      <c r="O80" s="219">
        <v>46142</v>
      </c>
      <c r="P80" s="219">
        <v>46142</v>
      </c>
      <c r="Q80" t="s">
        <v>25</v>
      </c>
      <c r="R80" t="s">
        <v>19</v>
      </c>
      <c r="S80" t="s">
        <v>282</v>
      </c>
      <c r="T80" t="s">
        <v>115</v>
      </c>
    </row>
    <row r="81" spans="1:20" x14ac:dyDescent="0.25">
      <c r="A81" t="s">
        <v>202</v>
      </c>
      <c r="B81" s="219">
        <v>45869</v>
      </c>
      <c r="C81" t="s">
        <v>199</v>
      </c>
      <c r="D81" t="s">
        <v>27</v>
      </c>
      <c r="E81" t="s">
        <v>20</v>
      </c>
      <c r="F81" t="s">
        <v>27</v>
      </c>
      <c r="G81" t="s">
        <v>21</v>
      </c>
      <c r="H81">
        <v>1400000</v>
      </c>
      <c r="I81">
        <v>1</v>
      </c>
      <c r="J81">
        <v>1400000</v>
      </c>
      <c r="K81">
        <v>1385426.0200000003</v>
      </c>
      <c r="L81">
        <v>14573.98</v>
      </c>
      <c r="M81">
        <v>0</v>
      </c>
      <c r="N81">
        <v>14573.98</v>
      </c>
      <c r="O81" s="219">
        <v>46203</v>
      </c>
      <c r="P81" s="219">
        <v>46203</v>
      </c>
      <c r="Q81" t="s">
        <v>28</v>
      </c>
      <c r="R81" t="s">
        <v>19</v>
      </c>
      <c r="S81" t="s">
        <v>197</v>
      </c>
      <c r="T81" t="s">
        <v>115</v>
      </c>
    </row>
    <row r="82" spans="1:20" x14ac:dyDescent="0.25">
      <c r="A82" t="s">
        <v>520</v>
      </c>
      <c r="B82" s="219">
        <v>46177</v>
      </c>
      <c r="C82" t="s">
        <v>500</v>
      </c>
      <c r="D82" t="s">
        <v>152</v>
      </c>
      <c r="E82" t="s">
        <v>20</v>
      </c>
      <c r="F82" t="s">
        <v>152</v>
      </c>
      <c r="G82" t="s">
        <v>21</v>
      </c>
      <c r="H82">
        <v>500000</v>
      </c>
      <c r="I82">
        <v>1</v>
      </c>
      <c r="J82">
        <v>500000</v>
      </c>
      <c r="K82">
        <v>0</v>
      </c>
      <c r="L82">
        <v>500000</v>
      </c>
      <c r="M82">
        <v>0</v>
      </c>
      <c r="N82">
        <v>500000</v>
      </c>
      <c r="O82" s="219">
        <v>46265</v>
      </c>
      <c r="P82" s="219">
        <v>46265</v>
      </c>
      <c r="Q82" t="s">
        <v>28</v>
      </c>
      <c r="R82" t="s">
        <v>19</v>
      </c>
      <c r="S82" t="s">
        <v>472</v>
      </c>
      <c r="T82" t="s">
        <v>115</v>
      </c>
    </row>
    <row r="83" spans="1:20" x14ac:dyDescent="0.25">
      <c r="A83" t="s">
        <v>409</v>
      </c>
      <c r="B83" s="219">
        <v>46118</v>
      </c>
      <c r="C83" t="s">
        <v>390</v>
      </c>
      <c r="D83" t="s">
        <v>152</v>
      </c>
      <c r="E83" t="s">
        <v>20</v>
      </c>
      <c r="F83" t="s">
        <v>152</v>
      </c>
      <c r="G83" t="s">
        <v>21</v>
      </c>
      <c r="H83">
        <v>1000000</v>
      </c>
      <c r="I83">
        <v>1</v>
      </c>
      <c r="J83">
        <v>1000000</v>
      </c>
      <c r="K83">
        <v>0</v>
      </c>
      <c r="L83">
        <v>1000000</v>
      </c>
      <c r="M83">
        <v>0</v>
      </c>
      <c r="N83">
        <v>1000000</v>
      </c>
      <c r="O83" s="219">
        <v>46203</v>
      </c>
      <c r="P83" s="219">
        <v>46203</v>
      </c>
      <c r="Q83" t="s">
        <v>28</v>
      </c>
      <c r="R83" t="s">
        <v>19</v>
      </c>
      <c r="S83" t="s">
        <v>381</v>
      </c>
      <c r="T83" t="s">
        <v>115</v>
      </c>
    </row>
    <row r="84" spans="1:20" x14ac:dyDescent="0.25">
      <c r="A84" t="s">
        <v>410</v>
      </c>
      <c r="B84" s="219">
        <v>46118</v>
      </c>
      <c r="C84" t="s">
        <v>387</v>
      </c>
      <c r="D84" t="s">
        <v>152</v>
      </c>
      <c r="E84" t="s">
        <v>20</v>
      </c>
      <c r="F84" t="s">
        <v>152</v>
      </c>
      <c r="G84" t="s">
        <v>21</v>
      </c>
      <c r="H84">
        <v>300000.73</v>
      </c>
      <c r="I84">
        <v>1</v>
      </c>
      <c r="J84">
        <v>300000.73</v>
      </c>
      <c r="K84">
        <v>0</v>
      </c>
      <c r="L84">
        <v>300000.73</v>
      </c>
      <c r="M84">
        <v>299758.8</v>
      </c>
      <c r="N84">
        <v>241.93</v>
      </c>
      <c r="O84" s="219">
        <v>46203</v>
      </c>
      <c r="P84" s="219">
        <v>46203</v>
      </c>
      <c r="Q84" t="s">
        <v>28</v>
      </c>
      <c r="R84" t="s">
        <v>19</v>
      </c>
      <c r="S84" t="s">
        <v>381</v>
      </c>
      <c r="T84" t="s">
        <v>115</v>
      </c>
    </row>
    <row r="85" spans="1:20" x14ac:dyDescent="0.25">
      <c r="A85" t="s">
        <v>521</v>
      </c>
      <c r="B85" s="219">
        <v>46177</v>
      </c>
      <c r="C85" t="s">
        <v>496</v>
      </c>
      <c r="D85" t="s">
        <v>152</v>
      </c>
      <c r="E85" t="s">
        <v>20</v>
      </c>
      <c r="F85" t="s">
        <v>152</v>
      </c>
      <c r="G85" t="s">
        <v>21</v>
      </c>
      <c r="H85">
        <v>250000</v>
      </c>
      <c r="I85">
        <v>1</v>
      </c>
      <c r="J85">
        <v>250000</v>
      </c>
      <c r="K85">
        <v>0</v>
      </c>
      <c r="L85">
        <v>250000</v>
      </c>
      <c r="M85">
        <v>0</v>
      </c>
      <c r="N85">
        <v>250000</v>
      </c>
      <c r="O85" s="219">
        <v>46265</v>
      </c>
      <c r="P85" s="219">
        <v>46265</v>
      </c>
      <c r="Q85" t="s">
        <v>28</v>
      </c>
      <c r="R85" t="s">
        <v>19</v>
      </c>
      <c r="S85" t="s">
        <v>472</v>
      </c>
      <c r="T85" t="s">
        <v>115</v>
      </c>
    </row>
    <row r="86" spans="1:20" x14ac:dyDescent="0.25">
      <c r="A86" t="s">
        <v>334</v>
      </c>
      <c r="B86" s="219">
        <v>46057</v>
      </c>
      <c r="C86" t="s">
        <v>330</v>
      </c>
      <c r="D86" t="s">
        <v>117</v>
      </c>
      <c r="E86" t="s">
        <v>20</v>
      </c>
      <c r="F86" t="s">
        <v>117</v>
      </c>
      <c r="G86" t="s">
        <v>21</v>
      </c>
      <c r="H86">
        <v>1000000</v>
      </c>
      <c r="I86">
        <v>1</v>
      </c>
      <c r="J86">
        <v>1000000</v>
      </c>
      <c r="K86">
        <v>0</v>
      </c>
      <c r="L86">
        <v>1000000</v>
      </c>
      <c r="M86">
        <v>1000000</v>
      </c>
      <c r="N86">
        <v>0</v>
      </c>
      <c r="O86" s="219">
        <v>46142</v>
      </c>
      <c r="P86" s="219">
        <v>46142</v>
      </c>
      <c r="Q86" t="s">
        <v>25</v>
      </c>
      <c r="R86" t="s">
        <v>19</v>
      </c>
      <c r="S86" t="s">
        <v>282</v>
      </c>
      <c r="T86" t="s">
        <v>115</v>
      </c>
    </row>
    <row r="87" spans="1:20" x14ac:dyDescent="0.25">
      <c r="A87" t="s">
        <v>354</v>
      </c>
      <c r="B87" s="219">
        <v>46082</v>
      </c>
      <c r="C87" t="s">
        <v>348</v>
      </c>
      <c r="D87" t="s">
        <v>114</v>
      </c>
      <c r="E87" t="s">
        <v>219</v>
      </c>
      <c r="F87" t="s">
        <v>151</v>
      </c>
      <c r="G87" t="s">
        <v>21</v>
      </c>
      <c r="H87">
        <v>400000</v>
      </c>
      <c r="I87">
        <v>1</v>
      </c>
      <c r="J87">
        <v>400000</v>
      </c>
      <c r="K87">
        <v>0</v>
      </c>
      <c r="L87">
        <v>400000</v>
      </c>
      <c r="M87">
        <v>0</v>
      </c>
      <c r="N87">
        <v>400000</v>
      </c>
      <c r="O87" s="219">
        <v>46204</v>
      </c>
      <c r="P87" s="219">
        <v>46188</v>
      </c>
      <c r="Q87" t="s">
        <v>22</v>
      </c>
      <c r="R87" t="s">
        <v>19</v>
      </c>
      <c r="S87" t="s">
        <v>323</v>
      </c>
      <c r="T87" t="s">
        <v>115</v>
      </c>
    </row>
    <row r="88" spans="1:20" x14ac:dyDescent="0.25">
      <c r="A88" t="s">
        <v>277</v>
      </c>
      <c r="B88" s="219">
        <v>46016</v>
      </c>
      <c r="C88" t="s">
        <v>108</v>
      </c>
      <c r="D88" t="s">
        <v>17</v>
      </c>
      <c r="E88" t="s">
        <v>183</v>
      </c>
      <c r="F88" t="s">
        <v>17</v>
      </c>
      <c r="G88" t="s">
        <v>109</v>
      </c>
      <c r="H88">
        <v>1534181.67</v>
      </c>
      <c r="I88">
        <v>4.6399999999999997</v>
      </c>
      <c r="J88">
        <v>7118602.9487999994</v>
      </c>
      <c r="K88">
        <v>363328.54672888498</v>
      </c>
      <c r="L88">
        <v>6755274.4000000004</v>
      </c>
      <c r="M88">
        <v>0</v>
      </c>
      <c r="N88">
        <v>6755274.4000000004</v>
      </c>
      <c r="O88" s="219">
        <v>46295</v>
      </c>
      <c r="P88" s="219">
        <v>46295</v>
      </c>
      <c r="Q88" t="s">
        <v>18</v>
      </c>
      <c r="R88" t="s">
        <v>19</v>
      </c>
      <c r="S88" t="s">
        <v>23</v>
      </c>
      <c r="T88" t="s">
        <v>115</v>
      </c>
    </row>
    <row r="89" spans="1:20" x14ac:dyDescent="0.25">
      <c r="A89" t="s">
        <v>269</v>
      </c>
      <c r="B89" s="219">
        <v>45995</v>
      </c>
      <c r="C89" t="s">
        <v>108</v>
      </c>
      <c r="D89" t="s">
        <v>17</v>
      </c>
      <c r="E89" t="s">
        <v>183</v>
      </c>
      <c r="F89" t="s">
        <v>17</v>
      </c>
      <c r="G89" t="s">
        <v>109</v>
      </c>
      <c r="H89">
        <v>72830.59</v>
      </c>
      <c r="I89">
        <v>4.6399999999999997</v>
      </c>
      <c r="J89">
        <v>337933.93759999995</v>
      </c>
      <c r="K89">
        <v>0</v>
      </c>
      <c r="L89">
        <v>337933.94</v>
      </c>
      <c r="M89">
        <v>0</v>
      </c>
      <c r="N89">
        <v>337933.94</v>
      </c>
      <c r="O89" s="219">
        <v>46295</v>
      </c>
      <c r="P89" s="219">
        <v>46295</v>
      </c>
      <c r="Q89" t="s">
        <v>18</v>
      </c>
      <c r="R89" t="s">
        <v>19</v>
      </c>
      <c r="S89" t="s">
        <v>153</v>
      </c>
      <c r="T89" t="s">
        <v>115</v>
      </c>
    </row>
    <row r="90" spans="1:20" x14ac:dyDescent="0.25">
      <c r="A90" t="s">
        <v>522</v>
      </c>
      <c r="B90" s="219">
        <v>46177</v>
      </c>
      <c r="C90" t="s">
        <v>488</v>
      </c>
      <c r="D90" t="s">
        <v>152</v>
      </c>
      <c r="E90" t="s">
        <v>20</v>
      </c>
      <c r="F90" t="s">
        <v>152</v>
      </c>
      <c r="G90" t="s">
        <v>21</v>
      </c>
      <c r="H90">
        <v>300000</v>
      </c>
      <c r="I90">
        <v>1</v>
      </c>
      <c r="J90">
        <v>300000</v>
      </c>
      <c r="K90">
        <v>0</v>
      </c>
      <c r="L90">
        <v>300000</v>
      </c>
      <c r="M90">
        <v>0</v>
      </c>
      <c r="N90">
        <v>300000</v>
      </c>
      <c r="O90" s="219">
        <v>46265</v>
      </c>
      <c r="P90" s="219">
        <v>46265</v>
      </c>
      <c r="Q90" t="s">
        <v>28</v>
      </c>
      <c r="R90" t="s">
        <v>19</v>
      </c>
      <c r="S90" t="s">
        <v>472</v>
      </c>
      <c r="T90" t="s">
        <v>115</v>
      </c>
    </row>
    <row r="91" spans="1:20" x14ac:dyDescent="0.25">
      <c r="A91" t="s">
        <v>467</v>
      </c>
      <c r="B91" s="219">
        <v>46149</v>
      </c>
      <c r="C91" t="s">
        <v>460</v>
      </c>
      <c r="D91" t="s">
        <v>114</v>
      </c>
      <c r="E91" t="s">
        <v>24</v>
      </c>
      <c r="F91" t="s">
        <v>151</v>
      </c>
      <c r="G91" t="s">
        <v>21</v>
      </c>
      <c r="H91">
        <v>2896770</v>
      </c>
      <c r="I91">
        <v>1</v>
      </c>
      <c r="J91">
        <v>2896770</v>
      </c>
      <c r="K91">
        <v>0</v>
      </c>
      <c r="L91">
        <v>2896770</v>
      </c>
      <c r="M91">
        <v>386858.95</v>
      </c>
      <c r="N91">
        <v>2509911.0499999998</v>
      </c>
      <c r="O91" s="219">
        <v>46265</v>
      </c>
      <c r="P91" s="219">
        <v>46265</v>
      </c>
      <c r="Q91" t="s">
        <v>22</v>
      </c>
      <c r="R91" t="s">
        <v>19</v>
      </c>
      <c r="S91" t="s">
        <v>23</v>
      </c>
      <c r="T91" t="s">
        <v>115</v>
      </c>
    </row>
    <row r="92" spans="1:20" x14ac:dyDescent="0.25">
      <c r="A92" t="s">
        <v>523</v>
      </c>
      <c r="B92" s="219">
        <v>46177</v>
      </c>
      <c r="C92" t="s">
        <v>501</v>
      </c>
      <c r="D92" t="s">
        <v>152</v>
      </c>
      <c r="E92" t="s">
        <v>20</v>
      </c>
      <c r="F92" t="s">
        <v>152</v>
      </c>
      <c r="G92" t="s">
        <v>21</v>
      </c>
      <c r="H92">
        <v>200000</v>
      </c>
      <c r="I92">
        <v>1</v>
      </c>
      <c r="J92">
        <v>200000</v>
      </c>
      <c r="K92">
        <v>0</v>
      </c>
      <c r="L92">
        <v>200000</v>
      </c>
      <c r="M92">
        <v>0</v>
      </c>
      <c r="N92">
        <v>200000</v>
      </c>
      <c r="O92" s="219">
        <v>46265</v>
      </c>
      <c r="P92" s="219">
        <v>46265</v>
      </c>
      <c r="Q92" t="s">
        <v>28</v>
      </c>
      <c r="R92" t="s">
        <v>19</v>
      </c>
      <c r="S92" t="s">
        <v>472</v>
      </c>
      <c r="T92" t="s">
        <v>115</v>
      </c>
    </row>
    <row r="93" spans="1:20" x14ac:dyDescent="0.25">
      <c r="A93" t="s">
        <v>539</v>
      </c>
      <c r="B93" s="219">
        <v>46180</v>
      </c>
      <c r="C93" t="s">
        <v>483</v>
      </c>
      <c r="D93" t="s">
        <v>114</v>
      </c>
      <c r="E93" t="s">
        <v>219</v>
      </c>
      <c r="F93" t="s">
        <v>151</v>
      </c>
      <c r="G93" t="s">
        <v>21</v>
      </c>
      <c r="H93">
        <v>5000000</v>
      </c>
      <c r="I93">
        <v>1</v>
      </c>
      <c r="J93">
        <v>5000000</v>
      </c>
      <c r="K93">
        <v>0</v>
      </c>
      <c r="L93">
        <v>5000000</v>
      </c>
      <c r="M93">
        <v>0</v>
      </c>
      <c r="N93">
        <v>5000000</v>
      </c>
      <c r="O93" s="219">
        <v>46303</v>
      </c>
      <c r="P93" s="219">
        <v>46303</v>
      </c>
      <c r="Q93" t="s">
        <v>22</v>
      </c>
      <c r="R93" t="s">
        <v>19</v>
      </c>
      <c r="S93" t="s">
        <v>280</v>
      </c>
      <c r="T93" t="s">
        <v>115</v>
      </c>
    </row>
    <row r="94" spans="1:20" x14ac:dyDescent="0.25">
      <c r="A94" t="s">
        <v>316</v>
      </c>
      <c r="B94" s="219">
        <v>46036</v>
      </c>
      <c r="C94" t="s">
        <v>301</v>
      </c>
      <c r="D94" t="s">
        <v>152</v>
      </c>
      <c r="E94" t="s">
        <v>20</v>
      </c>
      <c r="F94" t="s">
        <v>152</v>
      </c>
      <c r="G94" t="s">
        <v>21</v>
      </c>
      <c r="H94">
        <v>500000</v>
      </c>
      <c r="I94">
        <v>1</v>
      </c>
      <c r="J94">
        <v>500000</v>
      </c>
      <c r="K94">
        <v>0</v>
      </c>
      <c r="L94">
        <v>500000</v>
      </c>
      <c r="M94">
        <v>500000</v>
      </c>
      <c r="N94">
        <v>0</v>
      </c>
      <c r="O94" s="219">
        <v>46203</v>
      </c>
      <c r="P94" s="219">
        <v>46203</v>
      </c>
      <c r="Q94" t="s">
        <v>28</v>
      </c>
      <c r="R94" t="s">
        <v>19</v>
      </c>
      <c r="S94" t="s">
        <v>244</v>
      </c>
      <c r="T94" t="s">
        <v>115</v>
      </c>
    </row>
    <row r="95" spans="1:20" x14ac:dyDescent="0.25">
      <c r="A95" t="s">
        <v>411</v>
      </c>
      <c r="B95" s="219">
        <v>46118</v>
      </c>
      <c r="C95" t="s">
        <v>301</v>
      </c>
      <c r="D95" t="s">
        <v>152</v>
      </c>
      <c r="E95" t="s">
        <v>20</v>
      </c>
      <c r="F95" t="s">
        <v>152</v>
      </c>
      <c r="G95" t="s">
        <v>21</v>
      </c>
      <c r="H95">
        <v>200000</v>
      </c>
      <c r="I95">
        <v>1</v>
      </c>
      <c r="J95">
        <v>200000</v>
      </c>
      <c r="K95">
        <v>0</v>
      </c>
      <c r="L95">
        <v>200000</v>
      </c>
      <c r="M95">
        <v>200000</v>
      </c>
      <c r="N95">
        <v>0</v>
      </c>
      <c r="O95" s="219">
        <v>46203</v>
      </c>
      <c r="P95" s="219">
        <v>46203</v>
      </c>
      <c r="Q95" t="s">
        <v>28</v>
      </c>
      <c r="R95" t="s">
        <v>19</v>
      </c>
      <c r="S95" t="s">
        <v>381</v>
      </c>
      <c r="T95" t="s">
        <v>115</v>
      </c>
    </row>
    <row r="96" spans="1:20" x14ac:dyDescent="0.25">
      <c r="A96" t="s">
        <v>524</v>
      </c>
      <c r="B96" s="219">
        <v>46177</v>
      </c>
      <c r="C96" t="s">
        <v>301</v>
      </c>
      <c r="D96" t="s">
        <v>152</v>
      </c>
      <c r="E96" t="s">
        <v>20</v>
      </c>
      <c r="F96" t="s">
        <v>152</v>
      </c>
      <c r="G96" t="s">
        <v>21</v>
      </c>
      <c r="H96">
        <v>300000</v>
      </c>
      <c r="I96">
        <v>1</v>
      </c>
      <c r="J96">
        <v>300000</v>
      </c>
      <c r="K96">
        <v>0</v>
      </c>
      <c r="L96">
        <v>300000</v>
      </c>
      <c r="M96">
        <v>0</v>
      </c>
      <c r="N96">
        <v>300000</v>
      </c>
      <c r="O96" s="219">
        <v>46265</v>
      </c>
      <c r="P96" s="219">
        <v>46265</v>
      </c>
      <c r="Q96" t="s">
        <v>28</v>
      </c>
      <c r="R96" t="s">
        <v>19</v>
      </c>
      <c r="S96" t="s">
        <v>472</v>
      </c>
      <c r="T96" t="s">
        <v>115</v>
      </c>
    </row>
    <row r="97" spans="1:20" x14ac:dyDescent="0.25">
      <c r="A97" t="s">
        <v>318</v>
      </c>
      <c r="B97" s="219">
        <v>46037</v>
      </c>
      <c r="C97" t="s">
        <v>300</v>
      </c>
      <c r="D97" t="s">
        <v>152</v>
      </c>
      <c r="E97" t="s">
        <v>20</v>
      </c>
      <c r="F97" t="s">
        <v>152</v>
      </c>
      <c r="G97" t="s">
        <v>21</v>
      </c>
      <c r="H97">
        <v>500000</v>
      </c>
      <c r="I97">
        <v>1</v>
      </c>
      <c r="J97">
        <v>500000</v>
      </c>
      <c r="K97">
        <v>0</v>
      </c>
      <c r="L97">
        <v>500000</v>
      </c>
      <c r="M97">
        <v>0</v>
      </c>
      <c r="N97">
        <v>500000</v>
      </c>
      <c r="O97" s="219">
        <v>46203</v>
      </c>
      <c r="P97" s="219">
        <v>46203</v>
      </c>
      <c r="Q97" t="s">
        <v>28</v>
      </c>
      <c r="R97" t="s">
        <v>19</v>
      </c>
      <c r="S97" t="s">
        <v>244</v>
      </c>
      <c r="T97" t="s">
        <v>115</v>
      </c>
    </row>
    <row r="98" spans="1:20" x14ac:dyDescent="0.25">
      <c r="A98" t="s">
        <v>278</v>
      </c>
      <c r="B98" s="219">
        <v>46019</v>
      </c>
      <c r="C98" t="s">
        <v>191</v>
      </c>
      <c r="D98" t="s">
        <v>152</v>
      </c>
      <c r="E98" t="s">
        <v>20</v>
      </c>
      <c r="F98" t="s">
        <v>152</v>
      </c>
      <c r="G98" t="s">
        <v>21</v>
      </c>
      <c r="H98">
        <v>8790001.0999999996</v>
      </c>
      <c r="I98">
        <v>1</v>
      </c>
      <c r="J98">
        <v>8790001.0999999996</v>
      </c>
      <c r="K98">
        <v>650518.46</v>
      </c>
      <c r="L98">
        <v>8139482.6399999997</v>
      </c>
      <c r="M98">
        <v>0</v>
      </c>
      <c r="N98">
        <v>8139482.6399999997</v>
      </c>
      <c r="O98" s="219">
        <v>46203</v>
      </c>
      <c r="P98" s="219">
        <v>46203</v>
      </c>
      <c r="Q98" t="s">
        <v>28</v>
      </c>
      <c r="R98" t="s">
        <v>19</v>
      </c>
      <c r="S98" t="s">
        <v>142</v>
      </c>
      <c r="T98" t="s">
        <v>115</v>
      </c>
    </row>
    <row r="99" spans="1:20" x14ac:dyDescent="0.25">
      <c r="A99" t="s">
        <v>245</v>
      </c>
      <c r="B99" s="219">
        <v>45904</v>
      </c>
      <c r="C99" t="s">
        <v>206</v>
      </c>
      <c r="D99" t="s">
        <v>117</v>
      </c>
      <c r="E99" t="s">
        <v>24</v>
      </c>
      <c r="F99" t="s">
        <v>117</v>
      </c>
      <c r="G99" t="s">
        <v>21</v>
      </c>
      <c r="H99">
        <v>25907203.759999998</v>
      </c>
      <c r="I99">
        <v>1</v>
      </c>
      <c r="J99">
        <v>25907203.759999998</v>
      </c>
      <c r="K99">
        <v>16605181.220000001</v>
      </c>
      <c r="L99">
        <v>9302022.5399999991</v>
      </c>
      <c r="M99">
        <v>752616.68</v>
      </c>
      <c r="N99">
        <v>8549405.8599999994</v>
      </c>
      <c r="O99" s="219">
        <v>46310</v>
      </c>
      <c r="P99" s="219">
        <v>46289</v>
      </c>
      <c r="Q99" t="s">
        <v>25</v>
      </c>
      <c r="R99" t="s">
        <v>19</v>
      </c>
      <c r="S99" t="s">
        <v>38</v>
      </c>
      <c r="T99" t="s">
        <v>115</v>
      </c>
    </row>
    <row r="100" spans="1:20" x14ac:dyDescent="0.25">
      <c r="A100" t="s">
        <v>379</v>
      </c>
      <c r="B100" s="219">
        <v>46105</v>
      </c>
      <c r="C100" t="s">
        <v>206</v>
      </c>
      <c r="D100" t="s">
        <v>117</v>
      </c>
      <c r="E100" t="s">
        <v>24</v>
      </c>
      <c r="F100" t="s">
        <v>117</v>
      </c>
      <c r="G100" t="s">
        <v>21</v>
      </c>
      <c r="H100">
        <v>17932603.559999999</v>
      </c>
      <c r="I100">
        <v>1</v>
      </c>
      <c r="J100">
        <v>17932603.559999999</v>
      </c>
      <c r="K100">
        <v>4576500</v>
      </c>
      <c r="L100">
        <v>13356103.560000001</v>
      </c>
      <c r="M100">
        <v>735540</v>
      </c>
      <c r="N100">
        <v>12620563.560000001</v>
      </c>
      <c r="O100" s="219">
        <v>46264</v>
      </c>
      <c r="P100" s="219">
        <v>46243</v>
      </c>
      <c r="Q100" t="s">
        <v>25</v>
      </c>
      <c r="R100" t="s">
        <v>19</v>
      </c>
      <c r="S100" t="s">
        <v>368</v>
      </c>
      <c r="T100" t="s">
        <v>115</v>
      </c>
    </row>
    <row r="101" spans="1:20" x14ac:dyDescent="0.25">
      <c r="A101" t="s">
        <v>193</v>
      </c>
      <c r="B101" s="219">
        <v>45862</v>
      </c>
      <c r="C101" t="s">
        <v>189</v>
      </c>
      <c r="D101" t="s">
        <v>75</v>
      </c>
      <c r="E101" t="s">
        <v>24</v>
      </c>
      <c r="F101" t="s">
        <v>75</v>
      </c>
      <c r="G101" t="s">
        <v>21</v>
      </c>
      <c r="H101">
        <v>12956001.199999999</v>
      </c>
      <c r="I101">
        <v>1</v>
      </c>
      <c r="J101">
        <v>12956001.199999999</v>
      </c>
      <c r="K101">
        <v>1509410.02</v>
      </c>
      <c r="L101">
        <v>11446591.18</v>
      </c>
      <c r="M101">
        <v>0</v>
      </c>
      <c r="N101">
        <v>11446591.18</v>
      </c>
      <c r="O101" s="219">
        <v>46203</v>
      </c>
      <c r="P101" s="219">
        <v>46203</v>
      </c>
      <c r="Q101" t="s">
        <v>69</v>
      </c>
      <c r="R101" t="s">
        <v>19</v>
      </c>
      <c r="S101" t="s">
        <v>30</v>
      </c>
      <c r="T101" t="s">
        <v>115</v>
      </c>
    </row>
    <row r="102" spans="1:20" x14ac:dyDescent="0.25">
      <c r="A102" t="s">
        <v>319</v>
      </c>
      <c r="B102" s="219">
        <v>46037</v>
      </c>
      <c r="C102" t="s">
        <v>299</v>
      </c>
      <c r="D102" t="s">
        <v>152</v>
      </c>
      <c r="E102" t="s">
        <v>20</v>
      </c>
      <c r="F102" t="s">
        <v>152</v>
      </c>
      <c r="G102" t="s">
        <v>21</v>
      </c>
      <c r="H102">
        <v>900000</v>
      </c>
      <c r="I102">
        <v>1</v>
      </c>
      <c r="J102">
        <v>900000</v>
      </c>
      <c r="K102">
        <v>0</v>
      </c>
      <c r="L102">
        <v>900000</v>
      </c>
      <c r="M102">
        <v>900000</v>
      </c>
      <c r="N102">
        <v>0</v>
      </c>
      <c r="O102" s="219">
        <v>46203</v>
      </c>
      <c r="P102" s="219">
        <v>46203</v>
      </c>
      <c r="Q102" t="s">
        <v>28</v>
      </c>
      <c r="R102" t="s">
        <v>19</v>
      </c>
      <c r="S102" t="s">
        <v>244</v>
      </c>
      <c r="T102" t="s">
        <v>115</v>
      </c>
    </row>
    <row r="103" spans="1:20" x14ac:dyDescent="0.25">
      <c r="A103" t="s">
        <v>364</v>
      </c>
      <c r="B103" s="219">
        <v>46086</v>
      </c>
      <c r="C103" t="s">
        <v>356</v>
      </c>
      <c r="D103" t="s">
        <v>152</v>
      </c>
      <c r="E103" t="s">
        <v>20</v>
      </c>
      <c r="F103" t="s">
        <v>152</v>
      </c>
      <c r="G103" t="s">
        <v>21</v>
      </c>
      <c r="H103">
        <v>398652.54</v>
      </c>
      <c r="I103">
        <v>1</v>
      </c>
      <c r="J103">
        <v>398652.54</v>
      </c>
      <c r="K103">
        <v>0</v>
      </c>
      <c r="L103">
        <v>398652.54</v>
      </c>
      <c r="M103">
        <v>0</v>
      </c>
      <c r="N103">
        <v>398652.54</v>
      </c>
      <c r="O103" s="219">
        <v>46265</v>
      </c>
      <c r="P103" s="219">
        <v>46265</v>
      </c>
      <c r="Q103" t="s">
        <v>28</v>
      </c>
      <c r="R103" t="s">
        <v>19</v>
      </c>
      <c r="S103" t="s">
        <v>244</v>
      </c>
      <c r="T103" t="s">
        <v>115</v>
      </c>
    </row>
    <row r="104" spans="1:20" x14ac:dyDescent="0.25">
      <c r="A104" t="s">
        <v>412</v>
      </c>
      <c r="B104" s="219">
        <v>46118</v>
      </c>
      <c r="C104" t="s">
        <v>262</v>
      </c>
      <c r="D104" t="s">
        <v>152</v>
      </c>
      <c r="E104" t="s">
        <v>20</v>
      </c>
      <c r="F104" t="s">
        <v>152</v>
      </c>
      <c r="G104" t="s">
        <v>21</v>
      </c>
      <c r="H104">
        <v>450000</v>
      </c>
      <c r="I104">
        <v>1</v>
      </c>
      <c r="J104">
        <v>450000</v>
      </c>
      <c r="K104">
        <v>0</v>
      </c>
      <c r="L104">
        <v>450000</v>
      </c>
      <c r="M104">
        <v>312768.11</v>
      </c>
      <c r="N104">
        <v>137231.89000000001</v>
      </c>
      <c r="O104" s="219">
        <v>46203</v>
      </c>
      <c r="P104" s="219">
        <v>46203</v>
      </c>
      <c r="Q104" t="s">
        <v>28</v>
      </c>
      <c r="R104" t="s">
        <v>19</v>
      </c>
      <c r="S104" t="s">
        <v>381</v>
      </c>
      <c r="T104" t="s">
        <v>115</v>
      </c>
    </row>
    <row r="105" spans="1:20" x14ac:dyDescent="0.25">
      <c r="A105" t="s">
        <v>259</v>
      </c>
      <c r="B105" s="219">
        <v>45973</v>
      </c>
      <c r="C105" t="s">
        <v>256</v>
      </c>
      <c r="D105" t="s">
        <v>17</v>
      </c>
      <c r="E105" t="s">
        <v>20</v>
      </c>
      <c r="F105" t="s">
        <v>17</v>
      </c>
      <c r="G105" t="s">
        <v>21</v>
      </c>
      <c r="H105">
        <v>565057.47</v>
      </c>
      <c r="I105">
        <v>1</v>
      </c>
      <c r="J105">
        <v>565057.47</v>
      </c>
      <c r="K105">
        <v>332244.19</v>
      </c>
      <c r="L105">
        <v>232813.28</v>
      </c>
      <c r="M105">
        <v>0</v>
      </c>
      <c r="N105">
        <v>232813.28</v>
      </c>
      <c r="O105" s="219">
        <v>46203</v>
      </c>
      <c r="P105" s="219">
        <v>46203</v>
      </c>
      <c r="Q105" t="s">
        <v>18</v>
      </c>
      <c r="R105" t="s">
        <v>19</v>
      </c>
      <c r="S105" t="s">
        <v>244</v>
      </c>
      <c r="T105" t="s">
        <v>115</v>
      </c>
    </row>
    <row r="106" spans="1:20" x14ac:dyDescent="0.25">
      <c r="A106" t="s">
        <v>196</v>
      </c>
      <c r="B106" s="219">
        <v>45867</v>
      </c>
      <c r="C106" t="s">
        <v>195</v>
      </c>
      <c r="D106" t="s">
        <v>114</v>
      </c>
      <c r="E106" t="s">
        <v>24</v>
      </c>
      <c r="F106" t="s">
        <v>106</v>
      </c>
      <c r="G106" t="s">
        <v>21</v>
      </c>
      <c r="H106">
        <v>2826301.05</v>
      </c>
      <c r="I106">
        <v>1</v>
      </c>
      <c r="J106">
        <v>2826301.05</v>
      </c>
      <c r="K106">
        <v>1261168.18</v>
      </c>
      <c r="L106">
        <v>1565132.87</v>
      </c>
      <c r="M106">
        <v>0</v>
      </c>
      <c r="N106">
        <v>1565132.87</v>
      </c>
      <c r="O106" s="219">
        <v>46234</v>
      </c>
      <c r="P106" s="219">
        <v>46234</v>
      </c>
      <c r="Q106" t="s">
        <v>22</v>
      </c>
      <c r="R106" t="s">
        <v>19</v>
      </c>
      <c r="S106" t="s">
        <v>182</v>
      </c>
      <c r="T106" t="s">
        <v>115</v>
      </c>
    </row>
    <row r="107" spans="1:20" x14ac:dyDescent="0.25">
      <c r="A107" t="s">
        <v>309</v>
      </c>
      <c r="B107" s="219">
        <v>46033</v>
      </c>
      <c r="C107" t="s">
        <v>303</v>
      </c>
      <c r="D107" t="s">
        <v>75</v>
      </c>
      <c r="E107" t="s">
        <v>20</v>
      </c>
      <c r="F107" t="s">
        <v>75</v>
      </c>
      <c r="G107" t="s">
        <v>21</v>
      </c>
      <c r="H107">
        <v>424699.6</v>
      </c>
      <c r="I107">
        <v>1</v>
      </c>
      <c r="J107">
        <v>424699.6</v>
      </c>
      <c r="K107">
        <v>212349.8</v>
      </c>
      <c r="L107">
        <v>212349.8</v>
      </c>
      <c r="M107">
        <v>0</v>
      </c>
      <c r="N107">
        <v>212349.8</v>
      </c>
      <c r="O107" s="219">
        <v>46265</v>
      </c>
      <c r="P107" s="219">
        <v>46265</v>
      </c>
      <c r="Q107" t="s">
        <v>69</v>
      </c>
      <c r="R107" t="s">
        <v>19</v>
      </c>
      <c r="S107" t="s">
        <v>244</v>
      </c>
      <c r="T107" t="s">
        <v>115</v>
      </c>
    </row>
    <row r="108" spans="1:20" x14ac:dyDescent="0.25">
      <c r="A108" t="s">
        <v>221</v>
      </c>
      <c r="B108" s="219">
        <v>45895</v>
      </c>
      <c r="C108" t="s">
        <v>214</v>
      </c>
      <c r="D108" t="s">
        <v>75</v>
      </c>
      <c r="E108" t="s">
        <v>20</v>
      </c>
      <c r="F108" t="s">
        <v>75</v>
      </c>
      <c r="G108" t="s">
        <v>21</v>
      </c>
      <c r="H108">
        <v>501144.18</v>
      </c>
      <c r="I108">
        <v>1</v>
      </c>
      <c r="J108">
        <v>501144.18</v>
      </c>
      <c r="K108">
        <v>42591.07</v>
      </c>
      <c r="L108">
        <v>458553.11</v>
      </c>
      <c r="M108">
        <v>199393.9</v>
      </c>
      <c r="N108">
        <v>259159.21</v>
      </c>
      <c r="O108" s="219">
        <v>46265</v>
      </c>
      <c r="P108" s="219">
        <v>46265</v>
      </c>
      <c r="Q108" t="s">
        <v>69</v>
      </c>
      <c r="R108" t="s">
        <v>19</v>
      </c>
      <c r="S108" t="s">
        <v>23</v>
      </c>
      <c r="T108" t="s">
        <v>115</v>
      </c>
    </row>
    <row r="109" spans="1:20" x14ac:dyDescent="0.25">
      <c r="A109" t="s">
        <v>424</v>
      </c>
      <c r="B109" s="219">
        <v>46124</v>
      </c>
      <c r="C109" t="s">
        <v>394</v>
      </c>
      <c r="D109" t="s">
        <v>152</v>
      </c>
      <c r="E109" t="s">
        <v>20</v>
      </c>
      <c r="F109" t="s">
        <v>152</v>
      </c>
      <c r="G109" t="s">
        <v>21</v>
      </c>
      <c r="H109">
        <v>175000</v>
      </c>
      <c r="I109">
        <v>1</v>
      </c>
      <c r="J109">
        <v>175000</v>
      </c>
      <c r="K109">
        <v>0</v>
      </c>
      <c r="L109">
        <v>175000</v>
      </c>
      <c r="M109">
        <v>0</v>
      </c>
      <c r="N109">
        <v>175000</v>
      </c>
      <c r="O109" s="219">
        <v>46203</v>
      </c>
      <c r="P109" s="219">
        <v>46203</v>
      </c>
      <c r="Q109" t="s">
        <v>28</v>
      </c>
      <c r="R109" t="s">
        <v>19</v>
      </c>
      <c r="S109" t="s">
        <v>381</v>
      </c>
      <c r="T109" t="s">
        <v>115</v>
      </c>
    </row>
    <row r="110" spans="1:20" x14ac:dyDescent="0.25">
      <c r="A110" t="s">
        <v>413</v>
      </c>
      <c r="B110" s="219">
        <v>46118</v>
      </c>
      <c r="C110" t="s">
        <v>385</v>
      </c>
      <c r="D110" t="s">
        <v>152</v>
      </c>
      <c r="E110" t="s">
        <v>20</v>
      </c>
      <c r="F110" t="s">
        <v>152</v>
      </c>
      <c r="G110" t="s">
        <v>21</v>
      </c>
      <c r="H110">
        <v>500000</v>
      </c>
      <c r="I110">
        <v>1</v>
      </c>
      <c r="J110">
        <v>500000</v>
      </c>
      <c r="K110">
        <v>0</v>
      </c>
      <c r="L110">
        <v>500000</v>
      </c>
      <c r="M110">
        <v>500000</v>
      </c>
      <c r="N110">
        <v>0</v>
      </c>
      <c r="O110" s="219">
        <v>46203</v>
      </c>
      <c r="P110" s="219">
        <v>46203</v>
      </c>
      <c r="Q110" t="s">
        <v>28</v>
      </c>
      <c r="R110" t="s">
        <v>19</v>
      </c>
      <c r="S110" t="s">
        <v>381</v>
      </c>
      <c r="T110" t="s">
        <v>115</v>
      </c>
    </row>
    <row r="111" spans="1:20" x14ac:dyDescent="0.25">
      <c r="A111" t="s">
        <v>525</v>
      </c>
      <c r="B111" s="219">
        <v>46177</v>
      </c>
      <c r="C111" t="s">
        <v>503</v>
      </c>
      <c r="D111" t="s">
        <v>152</v>
      </c>
      <c r="E111" t="s">
        <v>20</v>
      </c>
      <c r="F111" t="s">
        <v>152</v>
      </c>
      <c r="G111" t="s">
        <v>21</v>
      </c>
      <c r="H111">
        <v>500000</v>
      </c>
      <c r="I111">
        <v>1</v>
      </c>
      <c r="J111">
        <v>500000</v>
      </c>
      <c r="K111">
        <v>0</v>
      </c>
      <c r="L111">
        <v>500000</v>
      </c>
      <c r="M111">
        <v>0</v>
      </c>
      <c r="N111">
        <v>500000</v>
      </c>
      <c r="O111" s="219">
        <v>46265</v>
      </c>
      <c r="P111" s="219">
        <v>46265</v>
      </c>
      <c r="Q111" t="s">
        <v>28</v>
      </c>
      <c r="R111" t="s">
        <v>19</v>
      </c>
      <c r="S111" t="s">
        <v>472</v>
      </c>
      <c r="T111" t="s">
        <v>115</v>
      </c>
    </row>
    <row r="112" spans="1:20" x14ac:dyDescent="0.25">
      <c r="A112" t="s">
        <v>414</v>
      </c>
      <c r="B112" s="219">
        <v>46118</v>
      </c>
      <c r="C112" t="s">
        <v>284</v>
      </c>
      <c r="D112" t="s">
        <v>152</v>
      </c>
      <c r="E112" t="s">
        <v>20</v>
      </c>
      <c r="F112" t="s">
        <v>152</v>
      </c>
      <c r="G112" t="s">
        <v>21</v>
      </c>
      <c r="H112">
        <v>275000</v>
      </c>
      <c r="I112">
        <v>1</v>
      </c>
      <c r="J112">
        <v>275000</v>
      </c>
      <c r="K112">
        <v>0</v>
      </c>
      <c r="L112">
        <v>275000</v>
      </c>
      <c r="M112">
        <v>0</v>
      </c>
      <c r="N112">
        <v>275000</v>
      </c>
      <c r="O112" s="219">
        <v>46203</v>
      </c>
      <c r="P112" s="219">
        <v>46203</v>
      </c>
      <c r="Q112" t="s">
        <v>28</v>
      </c>
      <c r="R112" t="s">
        <v>19</v>
      </c>
      <c r="S112" t="s">
        <v>381</v>
      </c>
      <c r="T112" t="s">
        <v>115</v>
      </c>
    </row>
    <row r="113" spans="1:20" x14ac:dyDescent="0.25">
      <c r="A113" t="s">
        <v>526</v>
      </c>
      <c r="B113" s="219">
        <v>46177</v>
      </c>
      <c r="C113" t="s">
        <v>495</v>
      </c>
      <c r="D113" t="s">
        <v>152</v>
      </c>
      <c r="E113" t="s">
        <v>20</v>
      </c>
      <c r="F113" t="s">
        <v>152</v>
      </c>
      <c r="G113" t="s">
        <v>21</v>
      </c>
      <c r="H113">
        <v>500000</v>
      </c>
      <c r="I113">
        <v>1</v>
      </c>
      <c r="J113">
        <v>500000</v>
      </c>
      <c r="K113">
        <v>0</v>
      </c>
      <c r="L113">
        <v>500000</v>
      </c>
      <c r="M113">
        <v>0</v>
      </c>
      <c r="N113">
        <v>500000</v>
      </c>
      <c r="O113" s="219">
        <v>46265</v>
      </c>
      <c r="P113" s="219">
        <v>46265</v>
      </c>
      <c r="Q113" t="s">
        <v>28</v>
      </c>
      <c r="R113" t="s">
        <v>19</v>
      </c>
      <c r="S113" t="s">
        <v>472</v>
      </c>
      <c r="T113" t="s">
        <v>115</v>
      </c>
    </row>
    <row r="114" spans="1:20" x14ac:dyDescent="0.25">
      <c r="A114" t="s">
        <v>274</v>
      </c>
      <c r="B114" s="219">
        <v>46012</v>
      </c>
      <c r="C114" t="s">
        <v>270</v>
      </c>
      <c r="D114" t="s">
        <v>17</v>
      </c>
      <c r="E114" t="s">
        <v>24</v>
      </c>
      <c r="F114" t="s">
        <v>105</v>
      </c>
      <c r="G114" t="s">
        <v>33</v>
      </c>
      <c r="H114">
        <v>5000000</v>
      </c>
      <c r="I114">
        <v>4.4400000000000004</v>
      </c>
      <c r="J114">
        <v>22200000.000000004</v>
      </c>
      <c r="K114">
        <v>20908277</v>
      </c>
      <c r="L114">
        <v>1291723</v>
      </c>
      <c r="M114">
        <v>1198665</v>
      </c>
      <c r="N114">
        <v>93058</v>
      </c>
      <c r="O114" s="219">
        <v>46286</v>
      </c>
      <c r="P114" s="219">
        <v>46265</v>
      </c>
      <c r="Q114" t="s">
        <v>18</v>
      </c>
      <c r="R114" t="s">
        <v>19</v>
      </c>
      <c r="S114" t="s">
        <v>313</v>
      </c>
      <c r="T114" t="s">
        <v>115</v>
      </c>
    </row>
    <row r="115" spans="1:20" x14ac:dyDescent="0.25">
      <c r="A115" t="s">
        <v>266</v>
      </c>
      <c r="B115" s="219">
        <v>45992</v>
      </c>
      <c r="C115" t="s">
        <v>224</v>
      </c>
      <c r="D115" t="s">
        <v>152</v>
      </c>
      <c r="E115" t="s">
        <v>20</v>
      </c>
      <c r="F115" t="s">
        <v>152</v>
      </c>
      <c r="G115" t="s">
        <v>21</v>
      </c>
      <c r="H115">
        <v>4000000</v>
      </c>
      <c r="I115">
        <v>1</v>
      </c>
      <c r="J115">
        <v>4000000</v>
      </c>
      <c r="K115">
        <v>0</v>
      </c>
      <c r="L115">
        <v>4000000</v>
      </c>
      <c r="M115">
        <v>4000000</v>
      </c>
      <c r="N115">
        <v>0</v>
      </c>
      <c r="O115" s="219">
        <v>46203</v>
      </c>
      <c r="P115" s="219">
        <v>46203</v>
      </c>
      <c r="Q115" t="s">
        <v>28</v>
      </c>
      <c r="R115" t="s">
        <v>19</v>
      </c>
      <c r="S115" t="s">
        <v>142</v>
      </c>
      <c r="T115" t="s">
        <v>115</v>
      </c>
    </row>
    <row r="116" spans="1:20" x14ac:dyDescent="0.25">
      <c r="A116" t="s">
        <v>415</v>
      </c>
      <c r="B116" s="219">
        <v>46118</v>
      </c>
      <c r="C116" t="s">
        <v>392</v>
      </c>
      <c r="D116" t="s">
        <v>152</v>
      </c>
      <c r="E116" t="s">
        <v>20</v>
      </c>
      <c r="F116" t="s">
        <v>152</v>
      </c>
      <c r="G116" t="s">
        <v>21</v>
      </c>
      <c r="H116">
        <v>900000</v>
      </c>
      <c r="I116">
        <v>1</v>
      </c>
      <c r="J116">
        <v>900000</v>
      </c>
      <c r="K116">
        <v>0</v>
      </c>
      <c r="L116">
        <v>900000</v>
      </c>
      <c r="M116">
        <v>0</v>
      </c>
      <c r="N116">
        <v>900000</v>
      </c>
      <c r="O116" s="219">
        <v>46203</v>
      </c>
      <c r="P116" s="219">
        <v>46203</v>
      </c>
      <c r="Q116" t="s">
        <v>28</v>
      </c>
      <c r="R116" t="s">
        <v>19</v>
      </c>
      <c r="S116" t="s">
        <v>381</v>
      </c>
      <c r="T116" t="s">
        <v>115</v>
      </c>
    </row>
    <row r="117" spans="1:20" x14ac:dyDescent="0.25">
      <c r="A117" t="s">
        <v>527</v>
      </c>
      <c r="B117" s="219">
        <v>46177</v>
      </c>
      <c r="C117" t="s">
        <v>498</v>
      </c>
      <c r="D117" t="s">
        <v>152</v>
      </c>
      <c r="E117" t="s">
        <v>20</v>
      </c>
      <c r="F117" t="s">
        <v>152</v>
      </c>
      <c r="G117" t="s">
        <v>21</v>
      </c>
      <c r="H117">
        <v>500000</v>
      </c>
      <c r="I117">
        <v>1</v>
      </c>
      <c r="J117">
        <v>500000</v>
      </c>
      <c r="K117">
        <v>0</v>
      </c>
      <c r="L117">
        <v>500000</v>
      </c>
      <c r="M117">
        <v>0</v>
      </c>
      <c r="N117">
        <v>500000</v>
      </c>
      <c r="O117" s="219">
        <v>46265</v>
      </c>
      <c r="P117" s="219">
        <v>46265</v>
      </c>
      <c r="Q117" t="s">
        <v>28</v>
      </c>
      <c r="R117" t="s">
        <v>19</v>
      </c>
      <c r="S117" t="s">
        <v>472</v>
      </c>
      <c r="T117" t="s">
        <v>115</v>
      </c>
    </row>
    <row r="118" spans="1:20" x14ac:dyDescent="0.25">
      <c r="A118" t="s">
        <v>528</v>
      </c>
      <c r="B118" s="219">
        <v>46177</v>
      </c>
      <c r="C118" t="s">
        <v>491</v>
      </c>
      <c r="D118" t="s">
        <v>152</v>
      </c>
      <c r="E118" t="s">
        <v>20</v>
      </c>
      <c r="F118" t="s">
        <v>152</v>
      </c>
      <c r="G118" t="s">
        <v>21</v>
      </c>
      <c r="H118">
        <v>190080.6</v>
      </c>
      <c r="I118">
        <v>1</v>
      </c>
      <c r="J118">
        <v>190080.6</v>
      </c>
      <c r="K118">
        <v>0</v>
      </c>
      <c r="L118">
        <v>190080.6</v>
      </c>
      <c r="M118">
        <v>0</v>
      </c>
      <c r="N118">
        <v>190080.6</v>
      </c>
      <c r="O118" s="219">
        <v>46265</v>
      </c>
      <c r="P118" s="219">
        <v>46265</v>
      </c>
      <c r="Q118" t="s">
        <v>28</v>
      </c>
      <c r="R118" t="s">
        <v>19</v>
      </c>
      <c r="S118" t="s">
        <v>472</v>
      </c>
      <c r="T118" t="s">
        <v>115</v>
      </c>
    </row>
    <row r="119" spans="1:20" x14ac:dyDescent="0.25">
      <c r="A119" t="s">
        <v>172</v>
      </c>
      <c r="B119" s="219">
        <v>45760</v>
      </c>
      <c r="C119" t="s">
        <v>169</v>
      </c>
      <c r="D119" t="s">
        <v>152</v>
      </c>
      <c r="E119" t="s">
        <v>20</v>
      </c>
      <c r="F119" t="s">
        <v>152</v>
      </c>
      <c r="G119" t="s">
        <v>21</v>
      </c>
      <c r="H119">
        <v>1000000</v>
      </c>
      <c r="I119">
        <v>1</v>
      </c>
      <c r="J119">
        <v>1000000</v>
      </c>
      <c r="K119">
        <v>732234.90999999992</v>
      </c>
      <c r="L119">
        <v>267765.09000000003</v>
      </c>
      <c r="M119">
        <v>0</v>
      </c>
      <c r="N119">
        <v>267765.09000000003</v>
      </c>
      <c r="O119" s="219">
        <v>46203</v>
      </c>
      <c r="P119" s="219">
        <v>46203</v>
      </c>
      <c r="Q119" t="s">
        <v>28</v>
      </c>
      <c r="R119" t="s">
        <v>19</v>
      </c>
      <c r="S119" t="s">
        <v>30</v>
      </c>
      <c r="T119" t="s">
        <v>115</v>
      </c>
    </row>
    <row r="120" spans="1:20" x14ac:dyDescent="0.25">
      <c r="A120" t="s">
        <v>529</v>
      </c>
      <c r="B120" s="219">
        <v>46177</v>
      </c>
      <c r="C120" t="s">
        <v>490</v>
      </c>
      <c r="D120" t="s">
        <v>152</v>
      </c>
      <c r="E120" t="s">
        <v>20</v>
      </c>
      <c r="F120" t="s">
        <v>152</v>
      </c>
      <c r="G120" t="s">
        <v>21</v>
      </c>
      <c r="H120">
        <v>200000</v>
      </c>
      <c r="I120">
        <v>1</v>
      </c>
      <c r="J120">
        <v>200000</v>
      </c>
      <c r="K120">
        <v>0</v>
      </c>
      <c r="L120">
        <v>200000</v>
      </c>
      <c r="M120">
        <v>0</v>
      </c>
      <c r="N120">
        <v>200000</v>
      </c>
      <c r="O120" s="219">
        <v>46265</v>
      </c>
      <c r="P120" s="219">
        <v>46265</v>
      </c>
      <c r="Q120" t="s">
        <v>28</v>
      </c>
      <c r="R120" t="s">
        <v>19</v>
      </c>
      <c r="S120" t="s">
        <v>472</v>
      </c>
      <c r="T120" t="s">
        <v>115</v>
      </c>
    </row>
    <row r="121" spans="1:20" x14ac:dyDescent="0.25">
      <c r="A121" t="s">
        <v>397</v>
      </c>
      <c r="B121" s="219">
        <v>46092</v>
      </c>
      <c r="C121" t="s">
        <v>361</v>
      </c>
      <c r="D121" t="s">
        <v>267</v>
      </c>
      <c r="E121" t="s">
        <v>24</v>
      </c>
      <c r="F121" t="s">
        <v>267</v>
      </c>
      <c r="G121" t="s">
        <v>21</v>
      </c>
      <c r="H121">
        <v>5000000</v>
      </c>
      <c r="I121">
        <v>1</v>
      </c>
      <c r="J121">
        <v>5000000</v>
      </c>
      <c r="K121">
        <v>2707269.5</v>
      </c>
      <c r="L121">
        <v>2292730.5</v>
      </c>
      <c r="M121">
        <v>949900</v>
      </c>
      <c r="N121">
        <v>1342830.5</v>
      </c>
      <c r="O121" s="219">
        <v>46203</v>
      </c>
      <c r="P121" s="219">
        <v>46203</v>
      </c>
      <c r="Q121" t="s">
        <v>68</v>
      </c>
      <c r="R121" t="s">
        <v>19</v>
      </c>
      <c r="S121" t="s">
        <v>30</v>
      </c>
      <c r="T121" t="s">
        <v>115</v>
      </c>
    </row>
    <row r="122" spans="1:20" x14ac:dyDescent="0.25">
      <c r="A122" t="s">
        <v>295</v>
      </c>
      <c r="B122" s="219">
        <v>46023</v>
      </c>
      <c r="C122" t="s">
        <v>200</v>
      </c>
      <c r="D122" t="s">
        <v>117</v>
      </c>
      <c r="E122" t="s">
        <v>20</v>
      </c>
      <c r="F122" t="s">
        <v>117</v>
      </c>
      <c r="G122" t="s">
        <v>21</v>
      </c>
      <c r="H122">
        <v>500000</v>
      </c>
      <c r="I122">
        <v>1</v>
      </c>
      <c r="J122">
        <v>500000</v>
      </c>
      <c r="K122">
        <v>326709.94</v>
      </c>
      <c r="L122">
        <v>173290.06</v>
      </c>
      <c r="M122">
        <v>0</v>
      </c>
      <c r="N122">
        <v>173290.06</v>
      </c>
      <c r="O122" s="219">
        <v>46296</v>
      </c>
      <c r="P122" s="219">
        <v>46296</v>
      </c>
      <c r="Q122" t="s">
        <v>25</v>
      </c>
      <c r="R122" t="s">
        <v>19</v>
      </c>
      <c r="S122" t="s">
        <v>282</v>
      </c>
      <c r="T122" t="s">
        <v>115</v>
      </c>
    </row>
    <row r="123" spans="1:20" x14ac:dyDescent="0.25">
      <c r="A123" t="s">
        <v>367</v>
      </c>
      <c r="B123" s="219">
        <v>46089</v>
      </c>
      <c r="C123" t="s">
        <v>351</v>
      </c>
      <c r="D123" t="s">
        <v>114</v>
      </c>
      <c r="E123" t="s">
        <v>219</v>
      </c>
      <c r="F123" t="s">
        <v>151</v>
      </c>
      <c r="G123" t="s">
        <v>21</v>
      </c>
      <c r="H123">
        <v>500000</v>
      </c>
      <c r="I123">
        <v>1</v>
      </c>
      <c r="J123">
        <v>500000</v>
      </c>
      <c r="K123">
        <v>0</v>
      </c>
      <c r="L123">
        <v>500000</v>
      </c>
      <c r="M123">
        <v>500000</v>
      </c>
      <c r="N123">
        <v>0</v>
      </c>
      <c r="O123" s="219">
        <v>46203</v>
      </c>
      <c r="P123" s="219">
        <v>46193</v>
      </c>
      <c r="Q123" t="s">
        <v>22</v>
      </c>
      <c r="R123" t="s">
        <v>19</v>
      </c>
      <c r="S123" t="s">
        <v>323</v>
      </c>
      <c r="T123" t="s">
        <v>115</v>
      </c>
    </row>
    <row r="124" spans="1:20" x14ac:dyDescent="0.25">
      <c r="A124" t="s">
        <v>548</v>
      </c>
      <c r="B124" s="219">
        <v>46190</v>
      </c>
      <c r="C124" t="s">
        <v>504</v>
      </c>
      <c r="D124" t="s">
        <v>75</v>
      </c>
      <c r="E124" t="s">
        <v>24</v>
      </c>
      <c r="F124" t="s">
        <v>75</v>
      </c>
      <c r="G124" t="s">
        <v>21</v>
      </c>
      <c r="H124">
        <v>5000000</v>
      </c>
      <c r="I124">
        <v>1</v>
      </c>
      <c r="J124">
        <v>5000000</v>
      </c>
      <c r="K124">
        <v>0</v>
      </c>
      <c r="L124">
        <v>5000000</v>
      </c>
      <c r="M124">
        <v>0</v>
      </c>
      <c r="N124">
        <v>5000000</v>
      </c>
      <c r="O124" s="219">
        <v>46326</v>
      </c>
      <c r="P124" s="219">
        <v>46326</v>
      </c>
      <c r="Q124" t="s">
        <v>69</v>
      </c>
      <c r="R124" t="s">
        <v>19</v>
      </c>
      <c r="S124" t="s">
        <v>547</v>
      </c>
      <c r="T124" t="s">
        <v>115</v>
      </c>
    </row>
    <row r="125" spans="1:20" x14ac:dyDescent="0.25">
      <c r="A125" t="s">
        <v>416</v>
      </c>
      <c r="B125" s="219">
        <v>46118</v>
      </c>
      <c r="C125" t="s">
        <v>388</v>
      </c>
      <c r="D125" t="s">
        <v>152</v>
      </c>
      <c r="E125" t="s">
        <v>20</v>
      </c>
      <c r="F125" t="s">
        <v>152</v>
      </c>
      <c r="G125" t="s">
        <v>21</v>
      </c>
      <c r="H125">
        <v>1000000</v>
      </c>
      <c r="I125">
        <v>1</v>
      </c>
      <c r="J125">
        <v>1000000</v>
      </c>
      <c r="K125">
        <v>0</v>
      </c>
      <c r="L125">
        <v>1000000</v>
      </c>
      <c r="M125">
        <v>1000000</v>
      </c>
      <c r="N125">
        <v>0</v>
      </c>
      <c r="O125" s="219">
        <v>46203</v>
      </c>
      <c r="P125" s="219">
        <v>46203</v>
      </c>
      <c r="Q125" t="s">
        <v>28</v>
      </c>
      <c r="R125" t="s">
        <v>19</v>
      </c>
      <c r="S125" t="s">
        <v>381</v>
      </c>
      <c r="T125" t="s">
        <v>115</v>
      </c>
    </row>
    <row r="126" spans="1:20" x14ac:dyDescent="0.25">
      <c r="A126" t="s">
        <v>417</v>
      </c>
      <c r="B126" s="219">
        <v>46119</v>
      </c>
      <c r="C126" t="s">
        <v>396</v>
      </c>
      <c r="D126" t="s">
        <v>114</v>
      </c>
      <c r="E126" t="s">
        <v>219</v>
      </c>
      <c r="F126" t="s">
        <v>151</v>
      </c>
      <c r="G126" t="s">
        <v>21</v>
      </c>
      <c r="H126">
        <v>650000</v>
      </c>
      <c r="I126">
        <v>1</v>
      </c>
      <c r="J126">
        <v>650000</v>
      </c>
      <c r="K126">
        <v>0</v>
      </c>
      <c r="L126">
        <v>650000</v>
      </c>
      <c r="M126">
        <v>0</v>
      </c>
      <c r="N126">
        <v>650000</v>
      </c>
      <c r="O126" s="219">
        <v>46182</v>
      </c>
      <c r="P126" s="219">
        <v>46151</v>
      </c>
      <c r="Q126" t="s">
        <v>22</v>
      </c>
      <c r="R126" t="s">
        <v>19</v>
      </c>
      <c r="S126" t="s">
        <v>323</v>
      </c>
      <c r="T126" t="s">
        <v>115</v>
      </c>
    </row>
    <row r="127" spans="1:20" x14ac:dyDescent="0.25">
      <c r="A127" t="s">
        <v>530</v>
      </c>
      <c r="B127" s="219">
        <v>46177</v>
      </c>
      <c r="C127" t="s">
        <v>492</v>
      </c>
      <c r="D127" t="s">
        <v>152</v>
      </c>
      <c r="E127" t="s">
        <v>20</v>
      </c>
      <c r="F127" t="s">
        <v>152</v>
      </c>
      <c r="G127" t="s">
        <v>21</v>
      </c>
      <c r="H127">
        <v>500000</v>
      </c>
      <c r="I127">
        <v>1</v>
      </c>
      <c r="J127">
        <v>500000</v>
      </c>
      <c r="K127">
        <v>0</v>
      </c>
      <c r="L127">
        <v>500000</v>
      </c>
      <c r="M127">
        <v>0</v>
      </c>
      <c r="N127">
        <v>500000</v>
      </c>
      <c r="O127" s="219">
        <v>46265</v>
      </c>
      <c r="P127" s="219">
        <v>46265</v>
      </c>
      <c r="Q127" t="s">
        <v>28</v>
      </c>
      <c r="R127" t="s">
        <v>19</v>
      </c>
      <c r="S127" t="s">
        <v>472</v>
      </c>
      <c r="T127" t="s">
        <v>115</v>
      </c>
    </row>
    <row r="128" spans="1:20" x14ac:dyDescent="0.25">
      <c r="A128" t="s">
        <v>222</v>
      </c>
      <c r="B128" s="219">
        <v>45895</v>
      </c>
      <c r="C128" t="s">
        <v>213</v>
      </c>
      <c r="D128" t="s">
        <v>75</v>
      </c>
      <c r="E128" t="s">
        <v>20</v>
      </c>
      <c r="F128" t="s">
        <v>75</v>
      </c>
      <c r="G128" t="s">
        <v>21</v>
      </c>
      <c r="H128">
        <v>250000</v>
      </c>
      <c r="I128">
        <v>1</v>
      </c>
      <c r="J128">
        <v>250000</v>
      </c>
      <c r="K128">
        <v>0</v>
      </c>
      <c r="L128">
        <v>250000</v>
      </c>
      <c r="M128">
        <v>0</v>
      </c>
      <c r="N128">
        <v>250000</v>
      </c>
      <c r="O128" s="219">
        <v>46265</v>
      </c>
      <c r="P128" s="219">
        <v>46265</v>
      </c>
      <c r="Q128" t="s">
        <v>69</v>
      </c>
      <c r="R128" t="s">
        <v>19</v>
      </c>
      <c r="S128" t="s">
        <v>23</v>
      </c>
      <c r="T128" t="s">
        <v>115</v>
      </c>
    </row>
    <row r="129" spans="1:20" x14ac:dyDescent="0.25">
      <c r="A129" t="s">
        <v>155</v>
      </c>
      <c r="B129" s="219">
        <v>45715</v>
      </c>
      <c r="C129" t="s">
        <v>150</v>
      </c>
      <c r="D129" t="s">
        <v>75</v>
      </c>
      <c r="E129" t="s">
        <v>20</v>
      </c>
      <c r="F129" t="s">
        <v>75</v>
      </c>
      <c r="G129" t="s">
        <v>21</v>
      </c>
      <c r="H129">
        <v>863693.45</v>
      </c>
      <c r="I129">
        <v>1</v>
      </c>
      <c r="J129">
        <v>863693.45</v>
      </c>
      <c r="K129">
        <v>0</v>
      </c>
      <c r="L129">
        <v>863693.45</v>
      </c>
      <c r="M129">
        <v>0</v>
      </c>
      <c r="N129">
        <v>863693.45</v>
      </c>
      <c r="O129" s="219">
        <v>46203</v>
      </c>
      <c r="P129" s="219">
        <v>46203</v>
      </c>
      <c r="Q129" t="s">
        <v>69</v>
      </c>
      <c r="R129" t="s">
        <v>19</v>
      </c>
      <c r="S129" t="s">
        <v>23</v>
      </c>
      <c r="T129" t="s">
        <v>115</v>
      </c>
    </row>
    <row r="130" spans="1:20" x14ac:dyDescent="0.25">
      <c r="A130" t="s">
        <v>240</v>
      </c>
      <c r="B130" s="219">
        <v>45928</v>
      </c>
      <c r="C130" t="s">
        <v>235</v>
      </c>
      <c r="D130" t="s">
        <v>17</v>
      </c>
      <c r="E130" t="s">
        <v>24</v>
      </c>
      <c r="F130" t="s">
        <v>106</v>
      </c>
      <c r="G130" t="s">
        <v>21</v>
      </c>
      <c r="H130">
        <v>7670500</v>
      </c>
      <c r="I130">
        <v>1</v>
      </c>
      <c r="J130">
        <v>7670500</v>
      </c>
      <c r="K130">
        <v>4347795.32</v>
      </c>
      <c r="L130">
        <v>3322704.68</v>
      </c>
      <c r="M130">
        <v>412500</v>
      </c>
      <c r="N130">
        <v>2910204.68</v>
      </c>
      <c r="O130" s="219">
        <v>46173</v>
      </c>
      <c r="P130" s="219">
        <v>46173</v>
      </c>
      <c r="Q130" t="s">
        <v>18</v>
      </c>
      <c r="R130" t="s">
        <v>19</v>
      </c>
      <c r="S130" t="s">
        <v>236</v>
      </c>
      <c r="T130" t="s">
        <v>115</v>
      </c>
    </row>
    <row r="131" spans="1:20" x14ac:dyDescent="0.25">
      <c r="A131" t="s">
        <v>531</v>
      </c>
      <c r="B131" s="219">
        <v>46177</v>
      </c>
      <c r="C131" t="s">
        <v>471</v>
      </c>
      <c r="D131" t="s">
        <v>114</v>
      </c>
      <c r="E131" t="s">
        <v>219</v>
      </c>
      <c r="F131" t="s">
        <v>151</v>
      </c>
      <c r="G131" t="s">
        <v>21</v>
      </c>
      <c r="H131">
        <v>700000</v>
      </c>
      <c r="I131">
        <v>1</v>
      </c>
      <c r="J131">
        <v>700000</v>
      </c>
      <c r="K131">
        <v>0</v>
      </c>
      <c r="L131">
        <v>700000</v>
      </c>
      <c r="M131">
        <v>0</v>
      </c>
      <c r="N131">
        <v>700000</v>
      </c>
      <c r="O131" s="219">
        <v>46236</v>
      </c>
      <c r="P131" s="219">
        <v>46236</v>
      </c>
      <c r="Q131" t="s">
        <v>22</v>
      </c>
      <c r="R131" t="s">
        <v>19</v>
      </c>
      <c r="S131" t="s">
        <v>472</v>
      </c>
      <c r="T131" t="s">
        <v>115</v>
      </c>
    </row>
    <row r="132" spans="1:20" x14ac:dyDescent="0.25">
      <c r="A132" t="s">
        <v>171</v>
      </c>
      <c r="B132" s="219">
        <v>45756</v>
      </c>
      <c r="C132" t="s">
        <v>170</v>
      </c>
      <c r="D132" t="s">
        <v>75</v>
      </c>
      <c r="E132" t="s">
        <v>20</v>
      </c>
      <c r="F132" t="s">
        <v>75</v>
      </c>
      <c r="G132" t="s">
        <v>21</v>
      </c>
      <c r="H132">
        <v>1033453.25</v>
      </c>
      <c r="I132">
        <v>1</v>
      </c>
      <c r="J132">
        <v>1033453.25</v>
      </c>
      <c r="K132">
        <v>391176.24</v>
      </c>
      <c r="L132">
        <v>642277.01</v>
      </c>
      <c r="M132">
        <v>0</v>
      </c>
      <c r="N132">
        <v>642277.01</v>
      </c>
      <c r="O132" s="219">
        <v>46203</v>
      </c>
      <c r="P132" s="219">
        <v>46203</v>
      </c>
      <c r="Q132" t="s">
        <v>69</v>
      </c>
      <c r="R132" t="s">
        <v>19</v>
      </c>
      <c r="S132" t="s">
        <v>23</v>
      </c>
      <c r="T132" t="s">
        <v>115</v>
      </c>
    </row>
    <row r="133" spans="1:20" x14ac:dyDescent="0.25">
      <c r="A133" t="s">
        <v>296</v>
      </c>
      <c r="B133" s="219">
        <v>46023</v>
      </c>
      <c r="C133" t="s">
        <v>285</v>
      </c>
      <c r="D133" t="s">
        <v>117</v>
      </c>
      <c r="E133" t="s">
        <v>20</v>
      </c>
      <c r="F133" t="s">
        <v>117</v>
      </c>
      <c r="G133" t="s">
        <v>21</v>
      </c>
      <c r="H133">
        <v>1350790.07</v>
      </c>
      <c r="I133">
        <v>1</v>
      </c>
      <c r="J133">
        <v>1350790.07</v>
      </c>
      <c r="K133">
        <v>0</v>
      </c>
      <c r="L133">
        <v>1350790.07</v>
      </c>
      <c r="M133">
        <v>0</v>
      </c>
      <c r="N133">
        <v>1350790.07</v>
      </c>
      <c r="O133" s="219">
        <v>46296</v>
      </c>
      <c r="P133" s="219">
        <v>46296</v>
      </c>
      <c r="Q133" t="s">
        <v>25</v>
      </c>
      <c r="R133" t="s">
        <v>19</v>
      </c>
      <c r="S133" t="s">
        <v>282</v>
      </c>
      <c r="T133" t="s">
        <v>115</v>
      </c>
    </row>
    <row r="134" spans="1:20" x14ac:dyDescent="0.25">
      <c r="A134" t="s">
        <v>335</v>
      </c>
      <c r="B134" s="219">
        <v>46057</v>
      </c>
      <c r="C134" t="s">
        <v>331</v>
      </c>
      <c r="D134" t="s">
        <v>117</v>
      </c>
      <c r="E134" t="s">
        <v>20</v>
      </c>
      <c r="F134" t="s">
        <v>117</v>
      </c>
      <c r="G134" t="s">
        <v>21</v>
      </c>
      <c r="H134">
        <v>750000</v>
      </c>
      <c r="I134">
        <v>1</v>
      </c>
      <c r="J134">
        <v>750000</v>
      </c>
      <c r="K134">
        <v>0</v>
      </c>
      <c r="L134">
        <v>750000</v>
      </c>
      <c r="M134">
        <v>710700</v>
      </c>
      <c r="N134">
        <v>39300</v>
      </c>
      <c r="O134" s="219">
        <v>46142</v>
      </c>
      <c r="P134" s="219">
        <v>46142</v>
      </c>
      <c r="Q134" t="s">
        <v>25</v>
      </c>
      <c r="R134" t="s">
        <v>19</v>
      </c>
      <c r="S134" t="s">
        <v>282</v>
      </c>
      <c r="T134" t="s">
        <v>115</v>
      </c>
    </row>
    <row r="135" spans="1:20" x14ac:dyDescent="0.25">
      <c r="A135" t="s">
        <v>223</v>
      </c>
      <c r="B135" s="219">
        <v>45895</v>
      </c>
      <c r="C135" t="s">
        <v>217</v>
      </c>
      <c r="D135" t="s">
        <v>152</v>
      </c>
      <c r="E135" t="s">
        <v>24</v>
      </c>
      <c r="F135" t="s">
        <v>31</v>
      </c>
      <c r="G135" t="s">
        <v>21</v>
      </c>
      <c r="H135">
        <v>2741025</v>
      </c>
      <c r="I135">
        <v>1</v>
      </c>
      <c r="J135">
        <v>2741025</v>
      </c>
      <c r="K135">
        <v>1641337.5</v>
      </c>
      <c r="L135">
        <v>1099687.5</v>
      </c>
      <c r="M135">
        <v>1099687.5</v>
      </c>
      <c r="N135">
        <v>0</v>
      </c>
      <c r="O135" s="219">
        <v>46203</v>
      </c>
      <c r="P135" s="219">
        <v>46188</v>
      </c>
      <c r="Q135" t="s">
        <v>28</v>
      </c>
      <c r="R135" t="s">
        <v>19</v>
      </c>
      <c r="S135" t="s">
        <v>218</v>
      </c>
      <c r="T135" t="s">
        <v>115</v>
      </c>
    </row>
    <row r="136" spans="1:20" x14ac:dyDescent="0.25">
      <c r="A136" t="s">
        <v>229</v>
      </c>
      <c r="B136" s="219">
        <v>45914</v>
      </c>
      <c r="C136" t="s">
        <v>226</v>
      </c>
      <c r="D136" t="s">
        <v>152</v>
      </c>
      <c r="E136" t="s">
        <v>20</v>
      </c>
      <c r="F136" t="s">
        <v>152</v>
      </c>
      <c r="G136" t="s">
        <v>21</v>
      </c>
      <c r="H136">
        <v>300000</v>
      </c>
      <c r="I136">
        <v>1</v>
      </c>
      <c r="J136">
        <v>300000</v>
      </c>
      <c r="K136">
        <v>0</v>
      </c>
      <c r="L136">
        <v>300000</v>
      </c>
      <c r="M136">
        <v>0</v>
      </c>
      <c r="N136">
        <v>300000</v>
      </c>
      <c r="O136" s="219">
        <v>46203</v>
      </c>
      <c r="P136" s="219">
        <v>46203</v>
      </c>
      <c r="Q136" t="s">
        <v>28</v>
      </c>
      <c r="R136" t="s">
        <v>19</v>
      </c>
      <c r="S136" t="s">
        <v>142</v>
      </c>
      <c r="T136" t="s">
        <v>115</v>
      </c>
    </row>
    <row r="137" spans="1:20" x14ac:dyDescent="0.25">
      <c r="A137" t="s">
        <v>157</v>
      </c>
      <c r="B137" s="219">
        <v>45722</v>
      </c>
      <c r="C137" t="s">
        <v>154</v>
      </c>
      <c r="D137" t="s">
        <v>75</v>
      </c>
      <c r="E137" t="s">
        <v>20</v>
      </c>
      <c r="F137" t="s">
        <v>75</v>
      </c>
      <c r="G137" t="s">
        <v>21</v>
      </c>
      <c r="H137">
        <v>527850.01</v>
      </c>
      <c r="I137">
        <v>1</v>
      </c>
      <c r="J137">
        <v>527850.01</v>
      </c>
      <c r="K137">
        <v>263925</v>
      </c>
      <c r="L137">
        <v>263925.01</v>
      </c>
      <c r="M137">
        <v>0</v>
      </c>
      <c r="N137">
        <v>263925.01</v>
      </c>
      <c r="O137" s="219">
        <v>46203</v>
      </c>
      <c r="P137" s="219">
        <v>46203</v>
      </c>
      <c r="Q137" t="s">
        <v>69</v>
      </c>
      <c r="R137" t="s">
        <v>19</v>
      </c>
      <c r="S137" t="s">
        <v>30</v>
      </c>
      <c r="T137" t="s">
        <v>115</v>
      </c>
    </row>
    <row r="138" spans="1:20" x14ac:dyDescent="0.25">
      <c r="A138" t="s">
        <v>185</v>
      </c>
      <c r="B138" s="219">
        <v>45831</v>
      </c>
      <c r="C138" t="s">
        <v>160</v>
      </c>
      <c r="D138" t="s">
        <v>17</v>
      </c>
      <c r="E138" t="s">
        <v>20</v>
      </c>
      <c r="F138" t="s">
        <v>103</v>
      </c>
      <c r="G138" t="s">
        <v>21</v>
      </c>
      <c r="H138">
        <v>922106.57</v>
      </c>
      <c r="I138">
        <v>1</v>
      </c>
      <c r="J138">
        <v>922106.57</v>
      </c>
      <c r="K138">
        <v>207691.38</v>
      </c>
      <c r="L138">
        <v>714415.19</v>
      </c>
      <c r="M138">
        <v>702587.67</v>
      </c>
      <c r="N138">
        <v>11827.52</v>
      </c>
      <c r="O138" s="219">
        <v>46196</v>
      </c>
      <c r="P138" s="219">
        <v>46196</v>
      </c>
      <c r="Q138" t="s">
        <v>18</v>
      </c>
      <c r="R138" t="s">
        <v>19</v>
      </c>
      <c r="S138" t="s">
        <v>142</v>
      </c>
      <c r="T138" t="s">
        <v>115</v>
      </c>
    </row>
    <row r="139" spans="1:20" x14ac:dyDescent="0.25">
      <c r="A139" t="s">
        <v>297</v>
      </c>
      <c r="B139" s="219">
        <v>46023</v>
      </c>
      <c r="C139" t="s">
        <v>286</v>
      </c>
      <c r="D139" t="s">
        <v>117</v>
      </c>
      <c r="E139" t="s">
        <v>20</v>
      </c>
      <c r="F139" t="s">
        <v>117</v>
      </c>
      <c r="G139" t="s">
        <v>21</v>
      </c>
      <c r="H139">
        <v>500000</v>
      </c>
      <c r="I139">
        <v>1</v>
      </c>
      <c r="J139">
        <v>500000</v>
      </c>
      <c r="K139">
        <v>0</v>
      </c>
      <c r="L139">
        <v>500000</v>
      </c>
      <c r="M139">
        <v>500000</v>
      </c>
      <c r="N139">
        <v>0</v>
      </c>
      <c r="O139" s="219">
        <v>46142</v>
      </c>
      <c r="P139" s="219">
        <v>46142</v>
      </c>
      <c r="Q139" t="s">
        <v>25</v>
      </c>
      <c r="R139" t="s">
        <v>19</v>
      </c>
      <c r="S139" t="s">
        <v>282</v>
      </c>
      <c r="T139" t="s">
        <v>115</v>
      </c>
    </row>
    <row r="140" spans="1:20" x14ac:dyDescent="0.25">
      <c r="A140" t="s">
        <v>336</v>
      </c>
      <c r="B140" s="219">
        <v>46057</v>
      </c>
      <c r="C140" t="s">
        <v>286</v>
      </c>
      <c r="D140" t="s">
        <v>117</v>
      </c>
      <c r="E140" t="s">
        <v>20</v>
      </c>
      <c r="F140" t="s">
        <v>117</v>
      </c>
      <c r="G140" t="s">
        <v>21</v>
      </c>
      <c r="H140">
        <v>500000</v>
      </c>
      <c r="I140">
        <v>1</v>
      </c>
      <c r="J140">
        <v>500000</v>
      </c>
      <c r="K140">
        <v>0</v>
      </c>
      <c r="L140">
        <v>500000</v>
      </c>
      <c r="M140">
        <v>500000</v>
      </c>
      <c r="N140">
        <v>0</v>
      </c>
      <c r="O140" s="219">
        <v>46142</v>
      </c>
      <c r="P140" s="219">
        <v>46142</v>
      </c>
      <c r="Q140" t="s">
        <v>25</v>
      </c>
      <c r="R140" t="s">
        <v>19</v>
      </c>
      <c r="S140" t="s">
        <v>282</v>
      </c>
      <c r="T140" t="s">
        <v>115</v>
      </c>
    </row>
    <row r="141" spans="1:20" x14ac:dyDescent="0.25">
      <c r="A141" t="s">
        <v>532</v>
      </c>
      <c r="B141" s="219">
        <v>46177</v>
      </c>
      <c r="C141" t="s">
        <v>497</v>
      </c>
      <c r="D141" t="s">
        <v>152</v>
      </c>
      <c r="E141" t="s">
        <v>20</v>
      </c>
      <c r="F141" t="s">
        <v>152</v>
      </c>
      <c r="G141" t="s">
        <v>21</v>
      </c>
      <c r="H141">
        <v>250000</v>
      </c>
      <c r="I141">
        <v>1</v>
      </c>
      <c r="J141">
        <v>250000</v>
      </c>
      <c r="K141">
        <v>0</v>
      </c>
      <c r="L141">
        <v>250000</v>
      </c>
      <c r="M141">
        <v>0</v>
      </c>
      <c r="N141">
        <v>250000</v>
      </c>
      <c r="O141" s="219">
        <v>46265</v>
      </c>
      <c r="P141" s="219">
        <v>46265</v>
      </c>
      <c r="Q141" t="s">
        <v>28</v>
      </c>
      <c r="R141" t="s">
        <v>19</v>
      </c>
      <c r="S141" t="s">
        <v>472</v>
      </c>
      <c r="T141" t="s">
        <v>115</v>
      </c>
    </row>
    <row r="142" spans="1:20" x14ac:dyDescent="0.25">
      <c r="A142" t="s">
        <v>186</v>
      </c>
      <c r="B142" s="219">
        <v>45834</v>
      </c>
      <c r="C142" t="s">
        <v>184</v>
      </c>
      <c r="D142" t="s">
        <v>17</v>
      </c>
      <c r="E142" t="s">
        <v>20</v>
      </c>
      <c r="F142" t="s">
        <v>103</v>
      </c>
      <c r="G142" t="s">
        <v>21</v>
      </c>
      <c r="H142">
        <v>250000</v>
      </c>
      <c r="I142">
        <v>1</v>
      </c>
      <c r="J142">
        <v>250000</v>
      </c>
      <c r="K142">
        <v>0</v>
      </c>
      <c r="L142">
        <v>250000</v>
      </c>
      <c r="M142">
        <v>0</v>
      </c>
      <c r="N142">
        <v>250000</v>
      </c>
      <c r="O142" s="219">
        <v>46199</v>
      </c>
      <c r="P142" s="219">
        <v>46199</v>
      </c>
      <c r="Q142" t="s">
        <v>18</v>
      </c>
      <c r="R142" t="s">
        <v>19</v>
      </c>
      <c r="S142" t="s">
        <v>142</v>
      </c>
      <c r="T142" t="s">
        <v>115</v>
      </c>
    </row>
    <row r="143" spans="1:20" x14ac:dyDescent="0.25">
      <c r="A143" t="s">
        <v>337</v>
      </c>
      <c r="B143" s="219">
        <v>46057</v>
      </c>
      <c r="C143" t="s">
        <v>328</v>
      </c>
      <c r="D143" t="s">
        <v>117</v>
      </c>
      <c r="E143" t="s">
        <v>20</v>
      </c>
      <c r="F143" t="s">
        <v>117</v>
      </c>
      <c r="G143" t="s">
        <v>21</v>
      </c>
      <c r="H143">
        <v>500000</v>
      </c>
      <c r="I143">
        <v>1</v>
      </c>
      <c r="J143">
        <v>500000</v>
      </c>
      <c r="K143">
        <v>0</v>
      </c>
      <c r="L143">
        <v>500000</v>
      </c>
      <c r="M143">
        <v>0</v>
      </c>
      <c r="N143">
        <v>500000</v>
      </c>
      <c r="O143" s="219">
        <v>46296</v>
      </c>
      <c r="P143" s="219">
        <v>46296</v>
      </c>
      <c r="Q143" t="s">
        <v>25</v>
      </c>
      <c r="R143" t="s">
        <v>19</v>
      </c>
      <c r="S143" t="s">
        <v>282</v>
      </c>
      <c r="T143" t="s">
        <v>115</v>
      </c>
    </row>
    <row r="144" spans="1:20" x14ac:dyDescent="0.25">
      <c r="A144" t="s">
        <v>533</v>
      </c>
      <c r="B144" s="219">
        <v>46177</v>
      </c>
      <c r="C144" t="s">
        <v>328</v>
      </c>
      <c r="D144" t="s">
        <v>152</v>
      </c>
      <c r="E144" t="s">
        <v>20</v>
      </c>
      <c r="F144" t="s">
        <v>152</v>
      </c>
      <c r="G144" t="s">
        <v>21</v>
      </c>
      <c r="H144">
        <v>300000</v>
      </c>
      <c r="I144">
        <v>1</v>
      </c>
      <c r="J144">
        <v>300000</v>
      </c>
      <c r="K144">
        <v>0</v>
      </c>
      <c r="L144">
        <v>300000</v>
      </c>
      <c r="M144">
        <v>0</v>
      </c>
      <c r="N144">
        <v>300000</v>
      </c>
      <c r="O144" s="219">
        <v>46265</v>
      </c>
      <c r="P144" s="219">
        <v>46265</v>
      </c>
      <c r="Q144" t="s">
        <v>28</v>
      </c>
      <c r="R144" t="s">
        <v>19</v>
      </c>
      <c r="S144" t="s">
        <v>472</v>
      </c>
      <c r="T144" t="s">
        <v>115</v>
      </c>
    </row>
    <row r="145" spans="1:20" x14ac:dyDescent="0.25">
      <c r="A145" t="s">
        <v>248</v>
      </c>
      <c r="B145" s="219">
        <v>45946</v>
      </c>
      <c r="C145" t="s">
        <v>243</v>
      </c>
      <c r="D145" t="s">
        <v>152</v>
      </c>
      <c r="E145" t="s">
        <v>20</v>
      </c>
      <c r="F145" t="s">
        <v>152</v>
      </c>
      <c r="G145" t="s">
        <v>21</v>
      </c>
      <c r="H145">
        <v>500000</v>
      </c>
      <c r="I145">
        <v>1</v>
      </c>
      <c r="J145">
        <v>500000</v>
      </c>
      <c r="K145">
        <v>336122.53</v>
      </c>
      <c r="L145">
        <v>163877.47</v>
      </c>
      <c r="M145">
        <v>99498</v>
      </c>
      <c r="N145">
        <v>64379.47</v>
      </c>
      <c r="O145" s="219">
        <v>46203</v>
      </c>
      <c r="P145" s="219">
        <v>46203</v>
      </c>
      <c r="Q145" t="s">
        <v>28</v>
      </c>
      <c r="R145" t="s">
        <v>19</v>
      </c>
      <c r="S145" t="s">
        <v>142</v>
      </c>
      <c r="T145" t="s">
        <v>115</v>
      </c>
    </row>
    <row r="146" spans="1:20" x14ac:dyDescent="0.25">
      <c r="A146" t="s">
        <v>534</v>
      </c>
      <c r="B146" s="219">
        <v>46177</v>
      </c>
      <c r="C146" t="s">
        <v>493</v>
      </c>
      <c r="D146" t="s">
        <v>152</v>
      </c>
      <c r="E146" t="s">
        <v>20</v>
      </c>
      <c r="F146" t="s">
        <v>152</v>
      </c>
      <c r="G146" t="s">
        <v>21</v>
      </c>
      <c r="H146">
        <v>200000</v>
      </c>
      <c r="I146">
        <v>1</v>
      </c>
      <c r="J146">
        <v>200000</v>
      </c>
      <c r="K146">
        <v>0</v>
      </c>
      <c r="L146">
        <v>200000</v>
      </c>
      <c r="M146">
        <v>0</v>
      </c>
      <c r="N146">
        <v>200000</v>
      </c>
      <c r="O146" s="219">
        <v>46265</v>
      </c>
      <c r="P146" s="219">
        <v>46265</v>
      </c>
      <c r="Q146" t="s">
        <v>28</v>
      </c>
      <c r="R146" t="s">
        <v>19</v>
      </c>
      <c r="S146" t="s">
        <v>472</v>
      </c>
      <c r="T146" t="s">
        <v>115</v>
      </c>
    </row>
    <row r="147" spans="1:20" x14ac:dyDescent="0.25">
      <c r="A147" t="s">
        <v>535</v>
      </c>
      <c r="B147" s="219">
        <v>46177</v>
      </c>
      <c r="C147" t="s">
        <v>494</v>
      </c>
      <c r="D147" t="s">
        <v>152</v>
      </c>
      <c r="E147" t="s">
        <v>20</v>
      </c>
      <c r="F147" t="s">
        <v>152</v>
      </c>
      <c r="G147" t="s">
        <v>21</v>
      </c>
      <c r="H147">
        <v>450000</v>
      </c>
      <c r="I147">
        <v>1</v>
      </c>
      <c r="J147">
        <v>450000</v>
      </c>
      <c r="K147">
        <v>0</v>
      </c>
      <c r="L147">
        <v>450000</v>
      </c>
      <c r="M147">
        <v>0</v>
      </c>
      <c r="N147">
        <v>450000</v>
      </c>
      <c r="O147" s="219">
        <v>46265</v>
      </c>
      <c r="P147" s="219">
        <v>46265</v>
      </c>
      <c r="Q147" t="s">
        <v>28</v>
      </c>
      <c r="R147" t="s">
        <v>19</v>
      </c>
      <c r="S147" t="s">
        <v>472</v>
      </c>
      <c r="T147" t="s">
        <v>115</v>
      </c>
    </row>
    <row r="148" spans="1:20" x14ac:dyDescent="0.25">
      <c r="A148" t="s">
        <v>298</v>
      </c>
      <c r="B148" s="219">
        <v>46023</v>
      </c>
      <c r="C148" t="s">
        <v>287</v>
      </c>
      <c r="D148" t="s">
        <v>117</v>
      </c>
      <c r="E148" t="s">
        <v>20</v>
      </c>
      <c r="F148" t="s">
        <v>117</v>
      </c>
      <c r="G148" t="s">
        <v>21</v>
      </c>
      <c r="H148">
        <v>500000</v>
      </c>
      <c r="I148">
        <v>1</v>
      </c>
      <c r="J148">
        <v>500000</v>
      </c>
      <c r="K148">
        <v>0</v>
      </c>
      <c r="L148">
        <v>500000</v>
      </c>
      <c r="M148">
        <v>489669.97</v>
      </c>
      <c r="N148">
        <v>10330.030000000001</v>
      </c>
      <c r="O148" s="219">
        <v>46203</v>
      </c>
      <c r="P148" s="219">
        <v>46203</v>
      </c>
      <c r="Q148" t="s">
        <v>25</v>
      </c>
      <c r="R148" t="s">
        <v>19</v>
      </c>
      <c r="S148" t="s">
        <v>282</v>
      </c>
      <c r="T148" t="s">
        <v>115</v>
      </c>
    </row>
    <row r="149" spans="1:20" x14ac:dyDescent="0.25">
      <c r="A149" t="s">
        <v>346</v>
      </c>
      <c r="B149" s="219">
        <v>46064</v>
      </c>
      <c r="C149" t="s">
        <v>366</v>
      </c>
      <c r="D149" t="s">
        <v>17</v>
      </c>
      <c r="E149" t="s">
        <v>20</v>
      </c>
      <c r="F149" t="s">
        <v>168</v>
      </c>
      <c r="G149" t="s">
        <v>21</v>
      </c>
      <c r="H149">
        <v>12000000</v>
      </c>
      <c r="I149">
        <v>1</v>
      </c>
      <c r="J149">
        <v>12000000</v>
      </c>
      <c r="K149">
        <v>12000000</v>
      </c>
      <c r="L149">
        <v>0</v>
      </c>
      <c r="M149">
        <v>0</v>
      </c>
      <c r="N149">
        <v>0</v>
      </c>
      <c r="O149" s="219">
        <v>46203</v>
      </c>
      <c r="P149" s="219">
        <v>46203</v>
      </c>
      <c r="Q149" t="s">
        <v>18</v>
      </c>
      <c r="R149" t="s">
        <v>19</v>
      </c>
      <c r="S149" t="s">
        <v>23</v>
      </c>
      <c r="T149" t="s">
        <v>115</v>
      </c>
    </row>
    <row r="150" spans="1:20" x14ac:dyDescent="0.25">
      <c r="A150" t="s">
        <v>347</v>
      </c>
      <c r="B150" s="219">
        <v>46064</v>
      </c>
      <c r="C150" t="s">
        <v>366</v>
      </c>
      <c r="D150" t="s">
        <v>17</v>
      </c>
      <c r="E150" t="s">
        <v>20</v>
      </c>
      <c r="F150" t="s">
        <v>105</v>
      </c>
      <c r="G150" t="s">
        <v>21</v>
      </c>
      <c r="H150">
        <v>19000000</v>
      </c>
      <c r="I150">
        <v>1</v>
      </c>
      <c r="J150">
        <v>19000000</v>
      </c>
      <c r="K150">
        <v>13000000</v>
      </c>
      <c r="L150">
        <v>6000000</v>
      </c>
      <c r="M150">
        <v>6000000</v>
      </c>
      <c r="N150">
        <v>0</v>
      </c>
      <c r="O150" s="219">
        <v>46203</v>
      </c>
      <c r="P150" s="219">
        <v>46203</v>
      </c>
      <c r="Q150" t="s">
        <v>18</v>
      </c>
      <c r="R150" t="s">
        <v>19</v>
      </c>
      <c r="S150" t="s">
        <v>23</v>
      </c>
      <c r="T150" t="s">
        <v>115</v>
      </c>
    </row>
    <row r="151" spans="1:20" x14ac:dyDescent="0.25">
      <c r="A151" t="s">
        <v>370</v>
      </c>
      <c r="B151" s="219">
        <v>46091</v>
      </c>
      <c r="C151" t="s">
        <v>366</v>
      </c>
      <c r="D151" t="s">
        <v>17</v>
      </c>
      <c r="E151" t="s">
        <v>20</v>
      </c>
      <c r="F151" t="s">
        <v>27</v>
      </c>
      <c r="G151" t="s">
        <v>21</v>
      </c>
      <c r="H151">
        <v>50000000</v>
      </c>
      <c r="I151">
        <v>1</v>
      </c>
      <c r="J151">
        <v>50000000</v>
      </c>
      <c r="K151">
        <v>50000000</v>
      </c>
      <c r="L151">
        <v>0</v>
      </c>
      <c r="M151">
        <v>0</v>
      </c>
      <c r="N151">
        <v>0</v>
      </c>
      <c r="O151" s="219">
        <v>46203</v>
      </c>
      <c r="P151" s="219">
        <v>46203</v>
      </c>
      <c r="Q151" t="s">
        <v>18</v>
      </c>
      <c r="R151" t="s">
        <v>19</v>
      </c>
      <c r="S151" t="s">
        <v>23</v>
      </c>
      <c r="T151" t="s">
        <v>115</v>
      </c>
    </row>
    <row r="152" spans="1:20" x14ac:dyDescent="0.25">
      <c r="A152" t="s">
        <v>371</v>
      </c>
      <c r="B152" s="219">
        <v>46091</v>
      </c>
      <c r="C152" t="s">
        <v>366</v>
      </c>
      <c r="D152" t="s">
        <v>75</v>
      </c>
      <c r="E152" t="s">
        <v>20</v>
      </c>
      <c r="F152" t="s">
        <v>27</v>
      </c>
      <c r="G152" t="s">
        <v>21</v>
      </c>
      <c r="H152">
        <v>67000000</v>
      </c>
      <c r="I152">
        <v>1</v>
      </c>
      <c r="J152">
        <v>67000000</v>
      </c>
      <c r="K152">
        <v>25000000</v>
      </c>
      <c r="L152">
        <v>42000000</v>
      </c>
      <c r="M152">
        <v>42000000</v>
      </c>
      <c r="N152">
        <v>0</v>
      </c>
      <c r="O152" s="219">
        <v>46203</v>
      </c>
      <c r="P152" s="219">
        <v>46203</v>
      </c>
      <c r="Q152" t="s">
        <v>69</v>
      </c>
      <c r="R152" t="s">
        <v>19</v>
      </c>
      <c r="S152" t="s">
        <v>23</v>
      </c>
      <c r="T152" t="s">
        <v>115</v>
      </c>
    </row>
    <row r="153" spans="1:20" x14ac:dyDescent="0.25">
      <c r="A153" t="s">
        <v>377</v>
      </c>
      <c r="B153" s="219">
        <v>46097</v>
      </c>
      <c r="C153" t="s">
        <v>366</v>
      </c>
      <c r="D153" t="s">
        <v>152</v>
      </c>
      <c r="E153" t="s">
        <v>20</v>
      </c>
      <c r="F153" t="s">
        <v>152</v>
      </c>
      <c r="G153" t="s">
        <v>21</v>
      </c>
      <c r="H153">
        <v>14000000</v>
      </c>
      <c r="I153">
        <v>1</v>
      </c>
      <c r="J153">
        <v>14000000</v>
      </c>
      <c r="K153">
        <v>10000000</v>
      </c>
      <c r="L153">
        <v>4000000</v>
      </c>
      <c r="M153">
        <v>4000000</v>
      </c>
      <c r="N153">
        <v>0</v>
      </c>
      <c r="O153" s="219">
        <v>46265</v>
      </c>
      <c r="P153" s="219">
        <v>46265</v>
      </c>
      <c r="Q153" t="s">
        <v>28</v>
      </c>
      <c r="R153" t="s">
        <v>19</v>
      </c>
      <c r="S153" t="s">
        <v>23</v>
      </c>
      <c r="T153" t="s">
        <v>115</v>
      </c>
    </row>
    <row r="154" spans="1:20" x14ac:dyDescent="0.25">
      <c r="A154" t="s">
        <v>481</v>
      </c>
      <c r="B154" s="219">
        <v>46161</v>
      </c>
      <c r="C154" t="s">
        <v>473</v>
      </c>
      <c r="D154" t="s">
        <v>152</v>
      </c>
      <c r="E154" t="s">
        <v>219</v>
      </c>
      <c r="F154" t="s">
        <v>31</v>
      </c>
      <c r="G154" t="s">
        <v>21</v>
      </c>
      <c r="H154">
        <v>772046</v>
      </c>
      <c r="I154">
        <v>1</v>
      </c>
      <c r="J154">
        <v>772046</v>
      </c>
      <c r="K154">
        <v>0</v>
      </c>
      <c r="L154">
        <v>772046</v>
      </c>
      <c r="M154">
        <v>0</v>
      </c>
      <c r="N154">
        <v>772046</v>
      </c>
      <c r="O154" s="219">
        <v>46234</v>
      </c>
      <c r="P154" s="219">
        <v>46213</v>
      </c>
      <c r="Q154" t="s">
        <v>28</v>
      </c>
      <c r="R154" t="s">
        <v>19</v>
      </c>
      <c r="S154" t="s">
        <v>282</v>
      </c>
      <c r="T154" t="s">
        <v>115</v>
      </c>
    </row>
  </sheetData>
  <phoneticPr fontId="16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5D4E2-B0C2-4DD8-AF39-129891560ED9}">
  <sheetPr codeName="PT_DueDate_Bankwise"/>
  <dimension ref="A3:G63"/>
  <sheetViews>
    <sheetView workbookViewId="0">
      <selection activeCell="A4" sqref="A4"/>
    </sheetView>
  </sheetViews>
  <sheetFormatPr defaultColWidth="14.7109375" defaultRowHeight="15" x14ac:dyDescent="0.25"/>
  <cols>
    <col min="5" max="5" width="17.28515625" bestFit="1" customWidth="1"/>
    <col min="6" max="6" width="14.85546875" bestFit="1" customWidth="1"/>
    <col min="7" max="7" width="24.28515625" bestFit="1" customWidth="1"/>
  </cols>
  <sheetData>
    <row r="3" spans="1:7" x14ac:dyDescent="0.25">
      <c r="A3" s="3" t="s">
        <v>52</v>
      </c>
      <c r="B3" s="3" t="s">
        <v>15</v>
      </c>
      <c r="C3" s="3" t="s">
        <v>53</v>
      </c>
      <c r="D3" s="3" t="s">
        <v>0</v>
      </c>
      <c r="E3" s="3" t="s">
        <v>56</v>
      </c>
      <c r="F3" s="3" t="s">
        <v>148</v>
      </c>
      <c r="G3" t="s">
        <v>65</v>
      </c>
    </row>
    <row r="4" spans="1:7" x14ac:dyDescent="0.25">
      <c r="A4" s="162" t="s">
        <v>18</v>
      </c>
      <c r="B4" s="162" t="s">
        <v>19</v>
      </c>
      <c r="C4" s="1">
        <v>46199</v>
      </c>
      <c r="D4" t="s">
        <v>274</v>
      </c>
      <c r="E4">
        <v>4</v>
      </c>
      <c r="F4" t="s">
        <v>51</v>
      </c>
      <c r="G4" s="162">
        <v>1198665</v>
      </c>
    </row>
    <row r="5" spans="1:7" x14ac:dyDescent="0.25">
      <c r="A5" s="162" t="s">
        <v>18</v>
      </c>
      <c r="B5" s="162" t="s">
        <v>19</v>
      </c>
      <c r="C5" s="1">
        <v>46202</v>
      </c>
      <c r="D5" t="s">
        <v>347</v>
      </c>
      <c r="E5">
        <v>4</v>
      </c>
      <c r="F5" t="s">
        <v>51</v>
      </c>
      <c r="G5" s="162">
        <v>6000000</v>
      </c>
    </row>
    <row r="6" spans="1:7" x14ac:dyDescent="0.25">
      <c r="A6" s="162" t="s">
        <v>18</v>
      </c>
      <c r="B6" s="162" t="s">
        <v>19</v>
      </c>
      <c r="C6" s="1">
        <v>46204</v>
      </c>
      <c r="D6" t="s">
        <v>240</v>
      </c>
      <c r="E6">
        <v>10</v>
      </c>
      <c r="F6" t="s">
        <v>51</v>
      </c>
      <c r="G6" s="162">
        <v>412500</v>
      </c>
    </row>
    <row r="7" spans="1:7" x14ac:dyDescent="0.25">
      <c r="A7" s="162" t="s">
        <v>18</v>
      </c>
      <c r="B7" s="162" t="s">
        <v>19</v>
      </c>
      <c r="C7" s="1">
        <v>46221</v>
      </c>
      <c r="D7" t="s">
        <v>434</v>
      </c>
      <c r="E7">
        <v>2</v>
      </c>
      <c r="F7" t="s">
        <v>51</v>
      </c>
      <c r="G7" s="162">
        <v>7000000</v>
      </c>
    </row>
    <row r="8" spans="1:7" x14ac:dyDescent="0.25">
      <c r="A8" s="162" t="s">
        <v>18</v>
      </c>
      <c r="B8" s="162" t="s">
        <v>19</v>
      </c>
      <c r="C8" s="1">
        <v>46221</v>
      </c>
      <c r="D8" t="s">
        <v>434</v>
      </c>
      <c r="E8">
        <v>4</v>
      </c>
      <c r="F8" t="s">
        <v>51</v>
      </c>
      <c r="G8" s="162">
        <v>4724333.9400000004</v>
      </c>
    </row>
    <row r="9" spans="1:7" x14ac:dyDescent="0.25">
      <c r="A9" s="162" t="s">
        <v>18</v>
      </c>
      <c r="B9" s="162" t="s">
        <v>19</v>
      </c>
      <c r="C9" s="1">
        <v>46222</v>
      </c>
      <c r="D9" t="s">
        <v>434</v>
      </c>
      <c r="E9">
        <v>3</v>
      </c>
      <c r="F9" t="s">
        <v>51</v>
      </c>
      <c r="G9" s="162">
        <v>4000000</v>
      </c>
    </row>
    <row r="10" spans="1:7" x14ac:dyDescent="0.25">
      <c r="A10" s="162" t="s">
        <v>18</v>
      </c>
      <c r="B10" s="162" t="s">
        <v>19</v>
      </c>
      <c r="C10" s="1">
        <v>46223</v>
      </c>
      <c r="D10" t="s">
        <v>421</v>
      </c>
      <c r="E10">
        <v>1</v>
      </c>
      <c r="F10" t="s">
        <v>51</v>
      </c>
      <c r="G10" s="162">
        <v>5643717.4500000002</v>
      </c>
    </row>
    <row r="11" spans="1:7" x14ac:dyDescent="0.25">
      <c r="A11" s="162" t="s">
        <v>18</v>
      </c>
      <c r="B11" s="162" t="s">
        <v>19</v>
      </c>
      <c r="C11" s="1">
        <v>46233</v>
      </c>
      <c r="D11" t="s">
        <v>185</v>
      </c>
      <c r="E11">
        <v>2</v>
      </c>
      <c r="F11" t="s">
        <v>51</v>
      </c>
      <c r="G11" s="162">
        <v>702587.67</v>
      </c>
    </row>
    <row r="12" spans="1:7" x14ac:dyDescent="0.25">
      <c r="A12" s="162" t="s">
        <v>18</v>
      </c>
      <c r="B12" s="162" t="s">
        <v>19</v>
      </c>
      <c r="C12" s="1">
        <v>46241</v>
      </c>
      <c r="D12" t="s">
        <v>420</v>
      </c>
      <c r="E12">
        <v>1</v>
      </c>
      <c r="F12" t="s">
        <v>51</v>
      </c>
      <c r="G12" s="162">
        <v>21481033</v>
      </c>
    </row>
    <row r="13" spans="1:7" x14ac:dyDescent="0.25">
      <c r="A13" s="162" t="s">
        <v>18</v>
      </c>
      <c r="B13" s="162" t="s">
        <v>19</v>
      </c>
      <c r="C13" s="1">
        <v>46244</v>
      </c>
      <c r="D13" t="s">
        <v>421</v>
      </c>
      <c r="E13">
        <v>2</v>
      </c>
      <c r="F13" t="s">
        <v>51</v>
      </c>
      <c r="G13" s="162">
        <v>2593391.5299999998</v>
      </c>
    </row>
    <row r="14" spans="1:7" x14ac:dyDescent="0.25">
      <c r="A14" s="162" t="s">
        <v>69</v>
      </c>
      <c r="B14" t="s">
        <v>19</v>
      </c>
      <c r="C14" s="1">
        <v>46202</v>
      </c>
      <c r="D14" t="s">
        <v>371</v>
      </c>
      <c r="E14">
        <v>2</v>
      </c>
      <c r="F14" t="s">
        <v>51</v>
      </c>
      <c r="G14" s="162">
        <v>42000000</v>
      </c>
    </row>
    <row r="15" spans="1:7" x14ac:dyDescent="0.25">
      <c r="A15" s="162" t="s">
        <v>69</v>
      </c>
      <c r="B15" t="s">
        <v>19</v>
      </c>
      <c r="C15" s="1">
        <v>46210</v>
      </c>
      <c r="D15" t="s">
        <v>221</v>
      </c>
      <c r="E15">
        <v>2</v>
      </c>
      <c r="F15" t="s">
        <v>51</v>
      </c>
      <c r="G15" s="162">
        <v>199393.9</v>
      </c>
    </row>
    <row r="16" spans="1:7" x14ac:dyDescent="0.25">
      <c r="A16" s="162" t="s">
        <v>69</v>
      </c>
      <c r="B16" t="s">
        <v>19</v>
      </c>
      <c r="C16" s="1">
        <v>46215</v>
      </c>
      <c r="D16" t="s">
        <v>293</v>
      </c>
      <c r="E16">
        <v>4</v>
      </c>
      <c r="F16" t="s">
        <v>51</v>
      </c>
      <c r="G16" s="162">
        <v>112200.9</v>
      </c>
    </row>
    <row r="17" spans="1:7" x14ac:dyDescent="0.25">
      <c r="A17" s="162" t="s">
        <v>68</v>
      </c>
      <c r="B17" t="s">
        <v>19</v>
      </c>
      <c r="C17" s="1">
        <v>46215</v>
      </c>
      <c r="D17" t="s">
        <v>397</v>
      </c>
      <c r="E17">
        <v>3</v>
      </c>
      <c r="F17" t="s">
        <v>51</v>
      </c>
      <c r="G17" s="162">
        <v>949900</v>
      </c>
    </row>
    <row r="18" spans="1:7" x14ac:dyDescent="0.25">
      <c r="A18" s="162" t="s">
        <v>25</v>
      </c>
      <c r="B18" t="s">
        <v>19</v>
      </c>
      <c r="C18" s="1">
        <v>46205</v>
      </c>
      <c r="D18" t="s">
        <v>245</v>
      </c>
      <c r="E18">
        <v>11</v>
      </c>
      <c r="F18" t="s">
        <v>51</v>
      </c>
      <c r="G18" s="162">
        <v>284755.58</v>
      </c>
    </row>
    <row r="19" spans="1:7" x14ac:dyDescent="0.25">
      <c r="A19" s="162" t="s">
        <v>25</v>
      </c>
      <c r="B19" t="s">
        <v>19</v>
      </c>
      <c r="C19" s="1">
        <v>46208</v>
      </c>
      <c r="D19" t="s">
        <v>379</v>
      </c>
      <c r="E19">
        <v>2</v>
      </c>
      <c r="F19" t="s">
        <v>51</v>
      </c>
      <c r="G19" s="162">
        <v>735540</v>
      </c>
    </row>
    <row r="20" spans="1:7" x14ac:dyDescent="0.25">
      <c r="A20" s="162" t="s">
        <v>25</v>
      </c>
      <c r="B20" t="s">
        <v>19</v>
      </c>
      <c r="C20" s="1">
        <v>46208</v>
      </c>
      <c r="D20" t="s">
        <v>336</v>
      </c>
      <c r="E20">
        <v>1</v>
      </c>
      <c r="F20" t="s">
        <v>51</v>
      </c>
      <c r="G20" s="162">
        <v>500000</v>
      </c>
    </row>
    <row r="21" spans="1:7" x14ac:dyDescent="0.25">
      <c r="A21" s="162" t="s">
        <v>25</v>
      </c>
      <c r="B21" t="s">
        <v>19</v>
      </c>
      <c r="C21" s="1">
        <v>46212</v>
      </c>
      <c r="D21" t="s">
        <v>245</v>
      </c>
      <c r="E21">
        <v>10</v>
      </c>
      <c r="F21" t="s">
        <v>51</v>
      </c>
      <c r="G21" s="162">
        <v>467861.1</v>
      </c>
    </row>
    <row r="22" spans="1:7" x14ac:dyDescent="0.25">
      <c r="A22" s="162" t="s">
        <v>25</v>
      </c>
      <c r="B22" t="s">
        <v>19</v>
      </c>
      <c r="C22" s="1">
        <v>46217</v>
      </c>
      <c r="D22" t="s">
        <v>294</v>
      </c>
      <c r="E22">
        <v>1</v>
      </c>
      <c r="F22" t="s">
        <v>51</v>
      </c>
      <c r="G22" s="162">
        <v>500000</v>
      </c>
    </row>
    <row r="23" spans="1:7" x14ac:dyDescent="0.25">
      <c r="A23" s="162" t="s">
        <v>25</v>
      </c>
      <c r="B23" t="s">
        <v>19</v>
      </c>
      <c r="C23" s="1">
        <v>46217</v>
      </c>
      <c r="D23" t="s">
        <v>335</v>
      </c>
      <c r="E23">
        <v>1</v>
      </c>
      <c r="F23" t="s">
        <v>51</v>
      </c>
      <c r="G23" s="162">
        <v>710700</v>
      </c>
    </row>
    <row r="24" spans="1:7" x14ac:dyDescent="0.25">
      <c r="A24" s="162" t="s">
        <v>25</v>
      </c>
      <c r="B24" t="s">
        <v>19</v>
      </c>
      <c r="C24" s="1">
        <v>46217</v>
      </c>
      <c r="D24" t="s">
        <v>334</v>
      </c>
      <c r="E24">
        <v>1</v>
      </c>
      <c r="F24" t="s">
        <v>51</v>
      </c>
      <c r="G24" s="162">
        <v>1000000</v>
      </c>
    </row>
    <row r="25" spans="1:7" x14ac:dyDescent="0.25">
      <c r="A25" s="162" t="s">
        <v>25</v>
      </c>
      <c r="B25" t="s">
        <v>19</v>
      </c>
      <c r="C25" s="1">
        <v>46222</v>
      </c>
      <c r="D25" t="s">
        <v>297</v>
      </c>
      <c r="E25">
        <v>1</v>
      </c>
      <c r="F25" t="s">
        <v>51</v>
      </c>
      <c r="G25" s="162">
        <v>500000</v>
      </c>
    </row>
    <row r="26" spans="1:7" x14ac:dyDescent="0.25">
      <c r="A26" s="162" t="s">
        <v>25</v>
      </c>
      <c r="B26" t="s">
        <v>19</v>
      </c>
      <c r="C26" s="1">
        <v>46236</v>
      </c>
      <c r="D26" t="s">
        <v>298</v>
      </c>
      <c r="E26">
        <v>1</v>
      </c>
      <c r="F26" t="s">
        <v>51</v>
      </c>
      <c r="G26" s="162">
        <v>489669.97</v>
      </c>
    </row>
    <row r="27" spans="1:7" x14ac:dyDescent="0.25">
      <c r="A27" s="162" t="s">
        <v>25</v>
      </c>
      <c r="B27" t="s">
        <v>19</v>
      </c>
      <c r="C27" s="1">
        <v>46236</v>
      </c>
      <c r="D27" t="s">
        <v>292</v>
      </c>
      <c r="E27">
        <v>1</v>
      </c>
      <c r="F27" t="s">
        <v>51</v>
      </c>
      <c r="G27" s="162">
        <v>567743.27</v>
      </c>
    </row>
    <row r="28" spans="1:7" x14ac:dyDescent="0.25">
      <c r="A28" s="162" t="s">
        <v>28</v>
      </c>
      <c r="B28" t="s">
        <v>19</v>
      </c>
      <c r="C28" s="1">
        <v>46198</v>
      </c>
      <c r="D28" t="s">
        <v>223</v>
      </c>
      <c r="E28">
        <v>2</v>
      </c>
      <c r="F28" t="s">
        <v>51</v>
      </c>
      <c r="G28" s="162">
        <v>902623.5</v>
      </c>
    </row>
    <row r="29" spans="1:7" x14ac:dyDescent="0.25">
      <c r="A29" s="162" t="s">
        <v>28</v>
      </c>
      <c r="B29" t="s">
        <v>19</v>
      </c>
      <c r="C29" s="1">
        <v>46201</v>
      </c>
      <c r="D29" t="s">
        <v>247</v>
      </c>
      <c r="E29">
        <v>3</v>
      </c>
      <c r="F29" t="s">
        <v>51</v>
      </c>
      <c r="G29" s="162">
        <v>106205.87</v>
      </c>
    </row>
    <row r="30" spans="1:7" x14ac:dyDescent="0.25">
      <c r="A30" s="162" t="s">
        <v>28</v>
      </c>
      <c r="B30" t="s">
        <v>19</v>
      </c>
      <c r="C30" s="1">
        <v>46208</v>
      </c>
      <c r="D30" t="s">
        <v>362</v>
      </c>
      <c r="E30">
        <v>1</v>
      </c>
      <c r="F30" t="s">
        <v>51</v>
      </c>
      <c r="G30" s="162">
        <v>194647.12</v>
      </c>
    </row>
    <row r="31" spans="1:7" x14ac:dyDescent="0.25">
      <c r="A31" s="162" t="s">
        <v>28</v>
      </c>
      <c r="B31" t="s">
        <v>19</v>
      </c>
      <c r="C31" s="1">
        <v>46208</v>
      </c>
      <c r="D31" t="s">
        <v>327</v>
      </c>
      <c r="E31">
        <v>1</v>
      </c>
      <c r="F31" t="s">
        <v>51</v>
      </c>
      <c r="G31" s="162">
        <v>397090</v>
      </c>
    </row>
    <row r="32" spans="1:7" x14ac:dyDescent="0.25">
      <c r="A32" s="162" t="s">
        <v>28</v>
      </c>
      <c r="B32" t="s">
        <v>19</v>
      </c>
      <c r="C32" s="1">
        <v>46208</v>
      </c>
      <c r="D32" t="s">
        <v>315</v>
      </c>
      <c r="E32">
        <v>1</v>
      </c>
      <c r="F32" t="s">
        <v>51</v>
      </c>
      <c r="G32" s="162">
        <v>365011.38</v>
      </c>
    </row>
    <row r="33" spans="1:7" x14ac:dyDescent="0.25">
      <c r="A33" s="162" t="s">
        <v>28</v>
      </c>
      <c r="B33" t="s">
        <v>19</v>
      </c>
      <c r="C33" s="1">
        <v>46208</v>
      </c>
      <c r="D33" t="s">
        <v>264</v>
      </c>
      <c r="E33">
        <v>1</v>
      </c>
      <c r="F33" t="s">
        <v>51</v>
      </c>
      <c r="G33" s="162">
        <v>208813.02</v>
      </c>
    </row>
    <row r="34" spans="1:7" x14ac:dyDescent="0.25">
      <c r="A34" s="162" t="s">
        <v>28</v>
      </c>
      <c r="B34" t="s">
        <v>19</v>
      </c>
      <c r="C34" s="1">
        <v>46211</v>
      </c>
      <c r="D34" t="s">
        <v>363</v>
      </c>
      <c r="E34">
        <v>1</v>
      </c>
      <c r="F34" t="s">
        <v>51</v>
      </c>
      <c r="G34" s="162">
        <v>1309266</v>
      </c>
    </row>
    <row r="35" spans="1:7" x14ac:dyDescent="0.25">
      <c r="A35" s="162" t="s">
        <v>28</v>
      </c>
      <c r="B35" t="s">
        <v>19</v>
      </c>
      <c r="C35" s="1">
        <v>46215</v>
      </c>
      <c r="D35" t="s">
        <v>408</v>
      </c>
      <c r="E35">
        <v>1</v>
      </c>
      <c r="F35" t="s">
        <v>51</v>
      </c>
      <c r="G35" s="162">
        <v>150000</v>
      </c>
    </row>
    <row r="36" spans="1:7" x14ac:dyDescent="0.25">
      <c r="A36" s="162" t="s">
        <v>28</v>
      </c>
      <c r="B36" t="s">
        <v>19</v>
      </c>
      <c r="C36" s="1">
        <v>46216</v>
      </c>
      <c r="D36" t="s">
        <v>377</v>
      </c>
      <c r="E36">
        <v>3</v>
      </c>
      <c r="F36" t="s">
        <v>51</v>
      </c>
      <c r="G36" s="162">
        <v>4000000</v>
      </c>
    </row>
    <row r="37" spans="1:7" x14ac:dyDescent="0.25">
      <c r="A37" s="162" t="s">
        <v>28</v>
      </c>
      <c r="B37" t="s">
        <v>19</v>
      </c>
      <c r="C37" s="1">
        <v>46217</v>
      </c>
      <c r="D37" t="s">
        <v>362</v>
      </c>
      <c r="E37">
        <v>2</v>
      </c>
      <c r="F37" t="s">
        <v>51</v>
      </c>
      <c r="G37" s="162">
        <v>317042.21000000002</v>
      </c>
    </row>
    <row r="38" spans="1:7" x14ac:dyDescent="0.25">
      <c r="A38" s="162" t="s">
        <v>28</v>
      </c>
      <c r="B38" t="s">
        <v>19</v>
      </c>
      <c r="C38" s="1">
        <v>46217</v>
      </c>
      <c r="D38" t="s">
        <v>413</v>
      </c>
      <c r="E38">
        <v>1</v>
      </c>
      <c r="F38" t="s">
        <v>51</v>
      </c>
      <c r="G38" s="162">
        <v>500000</v>
      </c>
    </row>
    <row r="39" spans="1:7" x14ac:dyDescent="0.25">
      <c r="A39" s="162" t="s">
        <v>28</v>
      </c>
      <c r="B39" t="s">
        <v>19</v>
      </c>
      <c r="C39" s="1">
        <v>46217</v>
      </c>
      <c r="D39" t="s">
        <v>400</v>
      </c>
      <c r="E39">
        <v>1</v>
      </c>
      <c r="F39" t="s">
        <v>51</v>
      </c>
      <c r="G39" s="162">
        <v>500000</v>
      </c>
    </row>
    <row r="40" spans="1:7" x14ac:dyDescent="0.25">
      <c r="A40" s="162" t="s">
        <v>28</v>
      </c>
      <c r="B40" t="s">
        <v>19</v>
      </c>
      <c r="C40" s="1">
        <v>46219</v>
      </c>
      <c r="D40" t="s">
        <v>228</v>
      </c>
      <c r="E40">
        <v>2</v>
      </c>
      <c r="F40" t="s">
        <v>51</v>
      </c>
      <c r="G40" s="162">
        <v>427806.8</v>
      </c>
    </row>
    <row r="41" spans="1:7" x14ac:dyDescent="0.25">
      <c r="A41" s="162" t="s">
        <v>28</v>
      </c>
      <c r="B41" t="s">
        <v>19</v>
      </c>
      <c r="C41" s="1">
        <v>46222</v>
      </c>
      <c r="D41" t="s">
        <v>412</v>
      </c>
      <c r="E41">
        <v>1</v>
      </c>
      <c r="F41" t="s">
        <v>51</v>
      </c>
      <c r="G41" s="162">
        <v>312768.11</v>
      </c>
    </row>
    <row r="42" spans="1:7" x14ac:dyDescent="0.25">
      <c r="A42" s="162" t="s">
        <v>28</v>
      </c>
      <c r="B42" t="s">
        <v>19</v>
      </c>
      <c r="C42" s="1">
        <v>46222</v>
      </c>
      <c r="D42" t="s">
        <v>416</v>
      </c>
      <c r="E42">
        <v>1</v>
      </c>
      <c r="F42" t="s">
        <v>51</v>
      </c>
      <c r="G42" s="162">
        <v>1000000</v>
      </c>
    </row>
    <row r="43" spans="1:7" x14ac:dyDescent="0.25">
      <c r="A43" s="162" t="s">
        <v>28</v>
      </c>
      <c r="B43" t="s">
        <v>19</v>
      </c>
      <c r="C43" s="1">
        <v>46222</v>
      </c>
      <c r="D43" t="s">
        <v>399</v>
      </c>
      <c r="E43">
        <v>1</v>
      </c>
      <c r="F43" t="s">
        <v>51</v>
      </c>
      <c r="G43" s="162">
        <v>125000</v>
      </c>
    </row>
    <row r="44" spans="1:7" x14ac:dyDescent="0.25">
      <c r="A44" s="162" t="s">
        <v>28</v>
      </c>
      <c r="B44" t="s">
        <v>19</v>
      </c>
      <c r="C44" s="1">
        <v>46230</v>
      </c>
      <c r="D44" t="s">
        <v>248</v>
      </c>
      <c r="E44">
        <v>2</v>
      </c>
      <c r="F44" t="s">
        <v>51</v>
      </c>
      <c r="G44" s="162">
        <v>99498</v>
      </c>
    </row>
    <row r="45" spans="1:7" x14ac:dyDescent="0.25">
      <c r="A45" s="162" t="s">
        <v>28</v>
      </c>
      <c r="B45" t="s">
        <v>19</v>
      </c>
      <c r="C45" s="1">
        <v>46235</v>
      </c>
      <c r="D45" t="s">
        <v>402</v>
      </c>
      <c r="E45">
        <v>1</v>
      </c>
      <c r="F45" t="s">
        <v>51</v>
      </c>
      <c r="G45" s="162">
        <v>93855.09</v>
      </c>
    </row>
    <row r="46" spans="1:7" x14ac:dyDescent="0.25">
      <c r="A46" s="162" t="s">
        <v>28</v>
      </c>
      <c r="B46" t="s">
        <v>19</v>
      </c>
      <c r="C46" s="1">
        <v>46236</v>
      </c>
      <c r="D46" t="s">
        <v>376</v>
      </c>
      <c r="E46">
        <v>1</v>
      </c>
      <c r="F46" t="s">
        <v>51</v>
      </c>
      <c r="G46" s="162">
        <v>10000000</v>
      </c>
    </row>
    <row r="47" spans="1:7" x14ac:dyDescent="0.25">
      <c r="A47" s="162" t="s">
        <v>28</v>
      </c>
      <c r="B47" t="s">
        <v>19</v>
      </c>
      <c r="C47" s="1">
        <v>46236</v>
      </c>
      <c r="D47" t="s">
        <v>317</v>
      </c>
      <c r="E47">
        <v>1</v>
      </c>
      <c r="F47" t="s">
        <v>51</v>
      </c>
      <c r="G47" s="162">
        <v>1377731.72</v>
      </c>
    </row>
    <row r="48" spans="1:7" x14ac:dyDescent="0.25">
      <c r="A48" s="162" t="s">
        <v>28</v>
      </c>
      <c r="B48" t="s">
        <v>19</v>
      </c>
      <c r="C48" s="1">
        <v>46236</v>
      </c>
      <c r="D48" t="s">
        <v>319</v>
      </c>
      <c r="E48">
        <v>1</v>
      </c>
      <c r="F48" t="s">
        <v>51</v>
      </c>
      <c r="G48" s="162">
        <v>900000</v>
      </c>
    </row>
    <row r="49" spans="1:7" x14ac:dyDescent="0.25">
      <c r="A49" s="162" t="s">
        <v>28</v>
      </c>
      <c r="B49" t="s">
        <v>19</v>
      </c>
      <c r="C49" s="1">
        <v>46237</v>
      </c>
      <c r="D49" t="s">
        <v>241</v>
      </c>
      <c r="E49">
        <v>2</v>
      </c>
      <c r="F49" t="s">
        <v>51</v>
      </c>
      <c r="G49" s="162">
        <v>52759.519999999997</v>
      </c>
    </row>
    <row r="50" spans="1:7" x14ac:dyDescent="0.25">
      <c r="A50" s="162" t="s">
        <v>28</v>
      </c>
      <c r="B50" t="s">
        <v>19</v>
      </c>
      <c r="C50" s="1">
        <v>46245</v>
      </c>
      <c r="D50" t="s">
        <v>411</v>
      </c>
      <c r="E50">
        <v>1</v>
      </c>
      <c r="F50" t="s">
        <v>51</v>
      </c>
      <c r="G50" s="162">
        <v>200000</v>
      </c>
    </row>
    <row r="51" spans="1:7" x14ac:dyDescent="0.25">
      <c r="A51" s="162" t="s">
        <v>28</v>
      </c>
      <c r="B51" t="s">
        <v>19</v>
      </c>
      <c r="C51" s="1">
        <v>46258</v>
      </c>
      <c r="D51" t="s">
        <v>264</v>
      </c>
      <c r="E51">
        <v>2</v>
      </c>
      <c r="F51" t="s">
        <v>51</v>
      </c>
      <c r="G51" s="162">
        <v>278905.67</v>
      </c>
    </row>
    <row r="52" spans="1:7" x14ac:dyDescent="0.25">
      <c r="A52" s="162" t="s">
        <v>28</v>
      </c>
      <c r="B52" t="s">
        <v>19</v>
      </c>
      <c r="C52" s="1">
        <v>46264</v>
      </c>
      <c r="D52" t="s">
        <v>406</v>
      </c>
      <c r="E52">
        <v>1</v>
      </c>
      <c r="F52" t="s">
        <v>51</v>
      </c>
      <c r="G52" s="162">
        <v>995984.82</v>
      </c>
    </row>
    <row r="53" spans="1:7" x14ac:dyDescent="0.25">
      <c r="A53" s="162" t="s">
        <v>28</v>
      </c>
      <c r="B53" t="s">
        <v>19</v>
      </c>
      <c r="C53" s="1">
        <v>46264</v>
      </c>
      <c r="D53" t="s">
        <v>314</v>
      </c>
      <c r="E53">
        <v>1</v>
      </c>
      <c r="F53" t="s">
        <v>51</v>
      </c>
      <c r="G53" s="162">
        <v>900000</v>
      </c>
    </row>
    <row r="54" spans="1:7" x14ac:dyDescent="0.25">
      <c r="A54" s="162" t="s">
        <v>28</v>
      </c>
      <c r="B54" t="s">
        <v>19</v>
      </c>
      <c r="C54" s="1">
        <v>46264</v>
      </c>
      <c r="D54" t="s">
        <v>410</v>
      </c>
      <c r="E54">
        <v>1</v>
      </c>
      <c r="F54" t="s">
        <v>51</v>
      </c>
      <c r="G54" s="162">
        <v>299758.8</v>
      </c>
    </row>
    <row r="55" spans="1:7" x14ac:dyDescent="0.25">
      <c r="A55" s="162" t="s">
        <v>28</v>
      </c>
      <c r="B55" t="s">
        <v>19</v>
      </c>
      <c r="C55" s="1">
        <v>46264</v>
      </c>
      <c r="D55" t="s">
        <v>316</v>
      </c>
      <c r="E55">
        <v>1</v>
      </c>
      <c r="F55" t="s">
        <v>51</v>
      </c>
      <c r="G55" s="162">
        <v>500000</v>
      </c>
    </row>
    <row r="56" spans="1:7" x14ac:dyDescent="0.25">
      <c r="A56" s="162" t="s">
        <v>28</v>
      </c>
      <c r="B56" t="s">
        <v>19</v>
      </c>
      <c r="C56" s="1">
        <v>46267</v>
      </c>
      <c r="D56" t="s">
        <v>266</v>
      </c>
      <c r="E56">
        <v>1</v>
      </c>
      <c r="F56" t="s">
        <v>51</v>
      </c>
      <c r="G56" s="162">
        <v>4000000</v>
      </c>
    </row>
    <row r="57" spans="1:7" x14ac:dyDescent="0.25">
      <c r="A57" s="162" t="s">
        <v>28</v>
      </c>
      <c r="B57" t="s">
        <v>19</v>
      </c>
      <c r="C57" s="1">
        <v>46282</v>
      </c>
      <c r="D57" t="s">
        <v>223</v>
      </c>
      <c r="E57">
        <v>3</v>
      </c>
      <c r="F57" t="s">
        <v>51</v>
      </c>
      <c r="G57" s="162">
        <v>197064</v>
      </c>
    </row>
    <row r="58" spans="1:7" x14ac:dyDescent="0.25">
      <c r="A58" s="162" t="s">
        <v>22</v>
      </c>
      <c r="B58" s="162" t="s">
        <v>19</v>
      </c>
      <c r="C58" s="1">
        <v>46198</v>
      </c>
      <c r="D58" t="s">
        <v>159</v>
      </c>
      <c r="E58">
        <v>7</v>
      </c>
      <c r="F58" t="s">
        <v>51</v>
      </c>
      <c r="G58" s="162">
        <v>4960446.9619200006</v>
      </c>
    </row>
    <row r="59" spans="1:7" x14ac:dyDescent="0.25">
      <c r="A59" s="162" t="s">
        <v>22</v>
      </c>
      <c r="B59" s="162" t="s">
        <v>19</v>
      </c>
      <c r="C59" s="1">
        <v>46202</v>
      </c>
      <c r="D59" t="s">
        <v>159</v>
      </c>
      <c r="E59">
        <v>8</v>
      </c>
      <c r="F59" t="s">
        <v>51</v>
      </c>
      <c r="G59" s="162">
        <v>4566890.3481600005</v>
      </c>
    </row>
    <row r="60" spans="1:7" x14ac:dyDescent="0.25">
      <c r="A60" s="162" t="s">
        <v>22</v>
      </c>
      <c r="B60" s="162" t="s">
        <v>19</v>
      </c>
      <c r="C60" s="1">
        <v>46205</v>
      </c>
      <c r="D60" t="s">
        <v>272</v>
      </c>
      <c r="E60">
        <v>3</v>
      </c>
      <c r="F60" t="s">
        <v>51</v>
      </c>
      <c r="G60" s="162">
        <v>652505.4</v>
      </c>
    </row>
    <row r="61" spans="1:7" x14ac:dyDescent="0.25">
      <c r="A61" s="162" t="s">
        <v>22</v>
      </c>
      <c r="B61" s="162" t="s">
        <v>19</v>
      </c>
      <c r="C61" s="1">
        <v>46215</v>
      </c>
      <c r="D61" t="s">
        <v>367</v>
      </c>
      <c r="E61">
        <v>1</v>
      </c>
      <c r="F61" t="s">
        <v>51</v>
      </c>
      <c r="G61" s="162">
        <v>500000</v>
      </c>
    </row>
    <row r="62" spans="1:7" x14ac:dyDescent="0.25">
      <c r="A62" s="162" t="s">
        <v>22</v>
      </c>
      <c r="B62" s="162" t="s">
        <v>19</v>
      </c>
      <c r="C62" s="1">
        <v>46222</v>
      </c>
      <c r="D62" t="s">
        <v>423</v>
      </c>
      <c r="E62">
        <v>1</v>
      </c>
      <c r="F62" t="s">
        <v>51</v>
      </c>
      <c r="G62" s="162">
        <v>2193076</v>
      </c>
    </row>
    <row r="63" spans="1:7" x14ac:dyDescent="0.25">
      <c r="A63" s="162" t="s">
        <v>22</v>
      </c>
      <c r="B63" s="162" t="s">
        <v>19</v>
      </c>
      <c r="C63" s="1">
        <v>46253</v>
      </c>
      <c r="D63" t="s">
        <v>467</v>
      </c>
      <c r="E63">
        <v>1</v>
      </c>
      <c r="F63" t="s">
        <v>51</v>
      </c>
      <c r="G63" s="162">
        <v>386858.95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CEA58-AD82-456F-8AED-53E46B19811E}">
  <sheetPr codeName="V_DueDate_Bankwise"/>
  <dimension ref="B3:N77"/>
  <sheetViews>
    <sheetView showGridLines="0" zoomScaleNormal="100" workbookViewId="0"/>
  </sheetViews>
  <sheetFormatPr defaultRowHeight="15" x14ac:dyDescent="0.25"/>
  <cols>
    <col min="2" max="2" width="7.28515625" bestFit="1" customWidth="1"/>
    <col min="3" max="3" width="6.42578125" bestFit="1" customWidth="1"/>
    <col min="4" max="4" width="15.85546875" bestFit="1" customWidth="1"/>
    <col min="5" max="5" width="3.5703125" bestFit="1" customWidth="1"/>
    <col min="6" max="6" width="60.140625" bestFit="1" customWidth="1"/>
    <col min="7" max="7" width="9.85546875" bestFit="1" customWidth="1"/>
    <col min="8" max="8" width="18.42578125" bestFit="1" customWidth="1"/>
    <col min="9" max="9" width="15.42578125" hidden="1" customWidth="1"/>
    <col min="10" max="10" width="15.28515625" hidden="1" customWidth="1"/>
    <col min="11" max="11" width="19.28515625" bestFit="1" customWidth="1"/>
    <col min="12" max="12" width="14.5703125" hidden="1" customWidth="1"/>
    <col min="13" max="13" width="11.85546875" bestFit="1" customWidth="1"/>
    <col min="14" max="14" width="11.5703125" bestFit="1" customWidth="1"/>
    <col min="15" max="15" width="9" bestFit="1" customWidth="1"/>
  </cols>
  <sheetData>
    <row r="3" spans="2:14" ht="20.25" x14ac:dyDescent="0.3">
      <c r="B3" s="249" t="s">
        <v>141</v>
      </c>
      <c r="C3" s="249"/>
      <c r="D3" s="249"/>
      <c r="E3" s="249"/>
      <c r="F3" s="249"/>
      <c r="G3" s="249"/>
      <c r="H3" s="249"/>
      <c r="I3" s="249"/>
      <c r="J3" s="249"/>
      <c r="K3" s="249"/>
      <c r="L3" s="249"/>
      <c r="M3" s="249"/>
      <c r="N3" s="249"/>
    </row>
    <row r="4" spans="2:14" x14ac:dyDescent="0.25">
      <c r="B4" s="179" t="s">
        <v>52</v>
      </c>
      <c r="C4" s="179" t="s">
        <v>15</v>
      </c>
      <c r="D4" s="179" t="s">
        <v>0</v>
      </c>
      <c r="E4" s="179" t="s">
        <v>66</v>
      </c>
      <c r="F4" s="179" t="s">
        <v>2</v>
      </c>
      <c r="G4" s="179" t="s">
        <v>57</v>
      </c>
      <c r="H4" s="179" t="s">
        <v>4</v>
      </c>
      <c r="I4" s="179" t="s">
        <v>64</v>
      </c>
      <c r="J4" s="179" t="s">
        <v>9</v>
      </c>
      <c r="K4" s="179" t="s">
        <v>10</v>
      </c>
      <c r="L4" s="179" t="s">
        <v>11</v>
      </c>
      <c r="M4" s="179" t="s">
        <v>53</v>
      </c>
      <c r="N4" s="179" t="s">
        <v>149</v>
      </c>
    </row>
    <row r="5" spans="2:14" x14ac:dyDescent="0.25">
      <c r="B5" s="162" t="s">
        <v>18</v>
      </c>
      <c r="C5" s="162" t="s">
        <v>19</v>
      </c>
      <c r="D5" s="162" t="s">
        <v>274</v>
      </c>
      <c r="E5" s="162">
        <v>4</v>
      </c>
      <c r="F5" s="162" t="str">
        <f>VLOOKUP(D5,'M_LC Summary'!A:C,3,0)</f>
        <v>Osalas GMBH</v>
      </c>
      <c r="G5" s="162" t="str">
        <f>VLOOKUP(D5,'M_LC Summary'!A:D,4,0)</f>
        <v>MBL</v>
      </c>
      <c r="H5" s="162" t="str">
        <f>VLOOKUP(D5,'M_LC Summary'!A:E,5,0)</f>
        <v>ADF</v>
      </c>
      <c r="I5" s="157">
        <f>VLOOKUP(D5,'M_LC Summary'!A:K,11,0)</f>
        <v>22200000.000000004</v>
      </c>
      <c r="J5" s="157">
        <f>VLOOKUP(D5,'M_LC Summary'!A:L,12,0)</f>
        <v>20908277</v>
      </c>
      <c r="K5" s="157">
        <f>SUMIFS('PT_Due Date_Bankwise'!G:G,'PT_Due Date_Bankwise'!D:D,'V_Due Date_Bankwise'!D5,'PT_Due Date_Bankwise'!E:E,'V_Due Date_Bankwise'!E5)</f>
        <v>1198665</v>
      </c>
      <c r="L5" s="157">
        <f>VLOOKUP(D5,'M_LC Summary'!A:N,14,0)</f>
        <v>93058</v>
      </c>
      <c r="M5" s="174">
        <v>46199</v>
      </c>
      <c r="N5" s="162"/>
    </row>
    <row r="6" spans="2:14" x14ac:dyDescent="0.25">
      <c r="B6" s="162" t="s">
        <v>18</v>
      </c>
      <c r="C6" s="162" t="s">
        <v>19</v>
      </c>
      <c r="D6" s="162" t="s">
        <v>347</v>
      </c>
      <c r="E6" s="162">
        <v>4</v>
      </c>
      <c r="F6" s="162" t="str">
        <f>VLOOKUP(D6,'M_LC Summary'!A:C,3,0)</f>
        <v>The Fundamental Installation For Electric Work Co</v>
      </c>
      <c r="G6" s="162" t="str">
        <f>VLOOKUP(D6,'M_LC Summary'!A:D,4,0)</f>
        <v>FIRST FIX</v>
      </c>
      <c r="H6" s="162" t="str">
        <f>VLOOKUP(D6,'M_LC Summary'!A:E,5,0)</f>
        <v>ADF</v>
      </c>
      <c r="I6" s="157">
        <f>VLOOKUP(D6,'M_LC Summary'!A:K,11,0)</f>
        <v>19000000</v>
      </c>
      <c r="J6" s="157">
        <f>VLOOKUP(D6,'M_LC Summary'!A:L,12,0)</f>
        <v>13000000</v>
      </c>
      <c r="K6" s="157">
        <f>SUMIFS('PT_Due Date_Bankwise'!G:G,'PT_Due Date_Bankwise'!D:D,'V_Due Date_Bankwise'!D6,'PT_Due Date_Bankwise'!E:E,'V_Due Date_Bankwise'!E6)</f>
        <v>6000000</v>
      </c>
      <c r="L6" s="157">
        <f>VLOOKUP(D6,'M_LC Summary'!A:N,14,0)</f>
        <v>0</v>
      </c>
      <c r="M6" s="174">
        <v>46202</v>
      </c>
      <c r="N6" s="162"/>
    </row>
    <row r="7" spans="2:14" x14ac:dyDescent="0.25">
      <c r="B7" s="162" t="s">
        <v>18</v>
      </c>
      <c r="C7" s="162" t="s">
        <v>19</v>
      </c>
      <c r="D7" s="162" t="s">
        <v>240</v>
      </c>
      <c r="E7" s="162">
        <v>10</v>
      </c>
      <c r="F7" s="162" t="str">
        <f>VLOOKUP(D7,'M_LC Summary'!A:C,3,0)</f>
        <v>Saudi Perfect Pumps Trading &amp; Manufacturing Company</v>
      </c>
      <c r="G7" s="162" t="str">
        <f>VLOOKUP(D7,'M_LC Summary'!A:D,4,0)</f>
        <v>MBL</v>
      </c>
      <c r="H7" s="162" t="str">
        <f>VLOOKUP(D7,'M_LC Summary'!A:E,5,0)</f>
        <v>Rabigh Power Plant</v>
      </c>
      <c r="I7" s="157">
        <f>VLOOKUP(D7,'M_LC Summary'!A:K,11,0)</f>
        <v>7670500</v>
      </c>
      <c r="J7" s="157">
        <f>VLOOKUP(D7,'M_LC Summary'!A:L,12,0)</f>
        <v>4347795.32</v>
      </c>
      <c r="K7" s="157">
        <f>SUMIFS('PT_Due Date_Bankwise'!G:G,'PT_Due Date_Bankwise'!D:D,'V_Due Date_Bankwise'!D7,'PT_Due Date_Bankwise'!E:E,'V_Due Date_Bankwise'!E7)</f>
        <v>412500</v>
      </c>
      <c r="L7" s="157">
        <f>VLOOKUP(D7,'M_LC Summary'!A:N,14,0)</f>
        <v>2910204.68</v>
      </c>
      <c r="M7" s="174">
        <v>46204</v>
      </c>
      <c r="N7" s="162"/>
    </row>
    <row r="8" spans="2:14" x14ac:dyDescent="0.25">
      <c r="B8" s="162" t="s">
        <v>18</v>
      </c>
      <c r="C8" s="162" t="s">
        <v>19</v>
      </c>
      <c r="D8" s="162" t="s">
        <v>434</v>
      </c>
      <c r="E8" s="162">
        <v>2</v>
      </c>
      <c r="F8" s="162" t="str">
        <f>VLOOKUP(D8,'M_LC Summary'!A:C,3,0)</f>
        <v>Innovative Specialized Security Solution</v>
      </c>
      <c r="G8" s="162" t="str">
        <f>VLOOKUP(D8,'M_LC Summary'!A:D,4,0)</f>
        <v>ICAD</v>
      </c>
      <c r="H8" s="162" t="str">
        <f>VLOOKUP(D8,'M_LC Summary'!A:E,5,0)</f>
        <v>ADF</v>
      </c>
      <c r="I8" s="157">
        <f>VLOOKUP(D8,'M_LC Summary'!A:K,11,0)</f>
        <v>15724333.939999999</v>
      </c>
      <c r="J8" s="157">
        <f>VLOOKUP(D8,'M_LC Summary'!A:L,12,0)</f>
        <v>0</v>
      </c>
      <c r="K8" s="157">
        <f>SUMIFS('PT_Due Date_Bankwise'!G:G,'PT_Due Date_Bankwise'!D:D,'V_Due Date_Bankwise'!D8,'PT_Due Date_Bankwise'!E:E,'V_Due Date_Bankwise'!E8)</f>
        <v>7000000</v>
      </c>
      <c r="L8" s="157">
        <f>VLOOKUP(D8,'M_LC Summary'!A:N,14,0)</f>
        <v>0</v>
      </c>
      <c r="M8" s="174">
        <v>46221</v>
      </c>
      <c r="N8" s="162"/>
    </row>
    <row r="9" spans="2:14" x14ac:dyDescent="0.25">
      <c r="B9" s="162" t="s">
        <v>18</v>
      </c>
      <c r="C9" s="162" t="s">
        <v>19</v>
      </c>
      <c r="D9" s="162" t="s">
        <v>434</v>
      </c>
      <c r="E9" s="162">
        <v>4</v>
      </c>
      <c r="F9" s="162" t="str">
        <f>VLOOKUP(D9,'M_LC Summary'!A:C,3,0)</f>
        <v>Innovative Specialized Security Solution</v>
      </c>
      <c r="G9" s="162" t="str">
        <f>VLOOKUP(D9,'M_LC Summary'!A:D,4,0)</f>
        <v>ICAD</v>
      </c>
      <c r="H9" s="162" t="str">
        <f>VLOOKUP(D9,'M_LC Summary'!A:E,5,0)</f>
        <v>ADF</v>
      </c>
      <c r="I9" s="157">
        <v>0</v>
      </c>
      <c r="J9" s="157">
        <v>0</v>
      </c>
      <c r="K9" s="157">
        <f>SUMIFS('PT_Due Date_Bankwise'!G:G,'PT_Due Date_Bankwise'!D:D,'V_Due Date_Bankwise'!D9,'PT_Due Date_Bankwise'!E:E,'V_Due Date_Bankwise'!E9)</f>
        <v>4724333.9400000004</v>
      </c>
      <c r="L9" s="157">
        <v>0</v>
      </c>
      <c r="M9" s="174">
        <v>46221</v>
      </c>
      <c r="N9" s="162"/>
    </row>
    <row r="10" spans="2:14" x14ac:dyDescent="0.25">
      <c r="B10" s="162" t="s">
        <v>18</v>
      </c>
      <c r="C10" s="162" t="s">
        <v>19</v>
      </c>
      <c r="D10" s="162" t="s">
        <v>434</v>
      </c>
      <c r="E10" s="162">
        <v>3</v>
      </c>
      <c r="F10" s="162" t="str">
        <f>VLOOKUP(D10,'M_LC Summary'!A:C,3,0)</f>
        <v>Innovative Specialized Security Solution</v>
      </c>
      <c r="G10" s="162" t="str">
        <f>VLOOKUP(D10,'M_LC Summary'!A:D,4,0)</f>
        <v>ICAD</v>
      </c>
      <c r="H10" s="162" t="str">
        <f>VLOOKUP(D10,'M_LC Summary'!A:E,5,0)</f>
        <v>ADF</v>
      </c>
      <c r="I10" s="157">
        <v>0</v>
      </c>
      <c r="J10" s="157">
        <v>0</v>
      </c>
      <c r="K10" s="157">
        <f>SUMIFS('PT_Due Date_Bankwise'!G:G,'PT_Due Date_Bankwise'!D:D,'V_Due Date_Bankwise'!D10,'PT_Due Date_Bankwise'!E:E,'V_Due Date_Bankwise'!E10)</f>
        <v>4000000</v>
      </c>
      <c r="L10" s="157">
        <v>0</v>
      </c>
      <c r="M10" s="174">
        <v>46222</v>
      </c>
      <c r="N10" s="162"/>
    </row>
    <row r="11" spans="2:14" x14ac:dyDescent="0.25">
      <c r="B11" s="162" t="s">
        <v>18</v>
      </c>
      <c r="C11" s="162" t="s">
        <v>19</v>
      </c>
      <c r="D11" s="162" t="s">
        <v>421</v>
      </c>
      <c r="E11" s="162">
        <v>1</v>
      </c>
      <c r="F11" s="162" t="str">
        <f>VLOOKUP(D11,'M_LC Summary'!A:C,3,0)</f>
        <v>Depa Saudi Arabia for Contracting and Interior Decorating Co. Ltd.</v>
      </c>
      <c r="G11" s="162" t="str">
        <f>VLOOKUP(D11,'M_LC Summary'!A:D,4,0)</f>
        <v>MBL</v>
      </c>
      <c r="H11" s="162" t="str">
        <f>VLOOKUP(D11,'M_LC Summary'!A:E,5,0)</f>
        <v>KSP</v>
      </c>
      <c r="I11" s="157">
        <f>VLOOKUP(D11,'M_LC Summary'!A:K,11,0)</f>
        <v>20000000</v>
      </c>
      <c r="J11" s="157">
        <f>VLOOKUP(D11,'M_LC Summary'!A:L,12,0)</f>
        <v>0</v>
      </c>
      <c r="K11" s="157">
        <f>SUMIFS('PT_Due Date_Bankwise'!G:G,'PT_Due Date_Bankwise'!D:D,'V_Due Date_Bankwise'!D11,'PT_Due Date_Bankwise'!E:E,'V_Due Date_Bankwise'!E11)</f>
        <v>5643717.4500000002</v>
      </c>
      <c r="L11" s="157">
        <f>VLOOKUP(D11,'M_LC Summary'!A:N,14,0)</f>
        <v>11762891.02</v>
      </c>
      <c r="M11" s="174">
        <v>46223</v>
      </c>
      <c r="N11" s="162"/>
    </row>
    <row r="12" spans="2:14" x14ac:dyDescent="0.25">
      <c r="B12" s="162" t="s">
        <v>18</v>
      </c>
      <c r="C12" s="162" t="s">
        <v>19</v>
      </c>
      <c r="D12" s="162" t="s">
        <v>185</v>
      </c>
      <c r="E12" s="162">
        <v>2</v>
      </c>
      <c r="F12" s="162" t="str">
        <f>VLOOKUP(D12,'M_LC Summary'!A:C,3,0)</f>
        <v>SKM AIR CONDITIONING CO</v>
      </c>
      <c r="G12" s="162" t="str">
        <f>VLOOKUP(D12,'M_LC Summary'!A:D,4,0)</f>
        <v>FIRST FIX</v>
      </c>
      <c r="H12" s="162" t="str">
        <f>VLOOKUP(D12,'M_LC Summary'!A:E,5,0)</f>
        <v>JCD SPMI</v>
      </c>
      <c r="I12" s="157">
        <f>VLOOKUP(D12,'M_LC Summary'!A:K,11,0)</f>
        <v>922106.57</v>
      </c>
      <c r="J12" s="157">
        <f>VLOOKUP(D12,'M_LC Summary'!A:L,12,0)</f>
        <v>207691.38</v>
      </c>
      <c r="K12" s="157">
        <f>SUMIFS('PT_Due Date_Bankwise'!G:G,'PT_Due Date_Bankwise'!D:D,'V_Due Date_Bankwise'!D12,'PT_Due Date_Bankwise'!E:E,'V_Due Date_Bankwise'!E12)</f>
        <v>702587.67</v>
      </c>
      <c r="L12" s="157">
        <f>VLOOKUP(D12,'M_LC Summary'!A:N,14,0)</f>
        <v>11827.52</v>
      </c>
      <c r="M12" s="174">
        <v>46233</v>
      </c>
      <c r="N12" s="162"/>
    </row>
    <row r="13" spans="2:14" x14ac:dyDescent="0.25">
      <c r="B13" s="162" t="s">
        <v>18</v>
      </c>
      <c r="C13" s="162" t="s">
        <v>19</v>
      </c>
      <c r="D13" s="162" t="s">
        <v>420</v>
      </c>
      <c r="E13" s="162">
        <v>1</v>
      </c>
      <c r="F13" s="162" t="str">
        <f>VLOOKUP(D13,'M_LC Summary'!A:C,3,0)</f>
        <v>Innovative Contractors for Advanced Dimension (ICAD)</v>
      </c>
      <c r="G13" s="162" t="str">
        <f>VLOOKUP(D13,'M_LC Summary'!A:D,4,0)</f>
        <v>MBL</v>
      </c>
      <c r="H13" s="162" t="str">
        <f>VLOOKUP(D13,'M_LC Summary'!A:E,5,0)</f>
        <v>CEER</v>
      </c>
      <c r="I13" s="157">
        <f>VLOOKUP(D13,'M_LC Summary'!A:K,11,0)</f>
        <v>21481033</v>
      </c>
      <c r="J13" s="157">
        <f>VLOOKUP(D13,'M_LC Summary'!A:L,12,0)</f>
        <v>0</v>
      </c>
      <c r="K13" s="157">
        <f>SUMIFS('PT_Due Date_Bankwise'!G:G,'PT_Due Date_Bankwise'!D:D,'V_Due Date_Bankwise'!D13,'PT_Due Date_Bankwise'!E:E,'V_Due Date_Bankwise'!E13)</f>
        <v>21481033</v>
      </c>
      <c r="L13" s="157">
        <f>VLOOKUP(D13,'M_LC Summary'!A:N,14,0)</f>
        <v>0</v>
      </c>
      <c r="M13" s="174">
        <v>46241</v>
      </c>
      <c r="N13" s="162"/>
    </row>
    <row r="14" spans="2:14" ht="15.75" thickBot="1" x14ac:dyDescent="0.3">
      <c r="B14" s="171" t="s">
        <v>18</v>
      </c>
      <c r="C14" s="171" t="s">
        <v>19</v>
      </c>
      <c r="D14" s="171" t="s">
        <v>421</v>
      </c>
      <c r="E14" s="171">
        <v>2</v>
      </c>
      <c r="F14" s="171" t="str">
        <f>VLOOKUP(D14,'M_LC Summary'!A:C,3,0)</f>
        <v>Depa Saudi Arabia for Contracting and Interior Decorating Co. Ltd.</v>
      </c>
      <c r="G14" s="171" t="str">
        <f>VLOOKUP(D14,'M_LC Summary'!A:D,4,0)</f>
        <v>MBL</v>
      </c>
      <c r="H14" s="171" t="str">
        <f>VLOOKUP(D14,'M_LC Summary'!A:E,5,0)</f>
        <v>KSP</v>
      </c>
      <c r="I14" s="158">
        <v>0</v>
      </c>
      <c r="J14" s="158">
        <v>0</v>
      </c>
      <c r="K14" s="158">
        <f>SUMIFS('PT_Due Date_Bankwise'!G:G,'PT_Due Date_Bankwise'!D:D,'V_Due Date_Bankwise'!D14,'PT_Due Date_Bankwise'!E:E,'V_Due Date_Bankwise'!E14)</f>
        <v>2593391.5299999998</v>
      </c>
      <c r="L14" s="158">
        <v>0</v>
      </c>
      <c r="M14" s="172">
        <v>46244</v>
      </c>
      <c r="N14" s="171"/>
    </row>
    <row r="15" spans="2:14" ht="15.75" thickBot="1" x14ac:dyDescent="0.3">
      <c r="B15" s="61"/>
      <c r="C15" s="60"/>
      <c r="D15" s="60"/>
      <c r="E15" s="60"/>
      <c r="F15" s="68" t="s">
        <v>18</v>
      </c>
      <c r="G15" s="68" t="s">
        <v>19</v>
      </c>
      <c r="H15" s="32" t="s">
        <v>54</v>
      </c>
      <c r="I15" s="64">
        <f>SUMIFS(I:I,$B:$B,$F$15,$C:$C,$G$15)</f>
        <v>106997973.50999999</v>
      </c>
      <c r="J15" s="64">
        <f>SUMIFS(J:J,$B:$B,$F$15,$C:$C,$G$15)</f>
        <v>38463763.700000003</v>
      </c>
      <c r="K15" s="64">
        <f>SUMIFS(K:K,$B:$B,$F$15,$C:$C,$G$15)</f>
        <v>53756228.590000004</v>
      </c>
      <c r="L15" s="64">
        <f>SUMIFS(L:L,$B:$B,$F$15,$C:$C,$G$15)</f>
        <v>14777981.219999999</v>
      </c>
      <c r="M15" s="145"/>
      <c r="N15" s="144"/>
    </row>
    <row r="16" spans="2:14" x14ac:dyDescent="0.25">
      <c r="B16" s="173"/>
      <c r="C16" s="173"/>
      <c r="D16" s="173"/>
      <c r="E16" s="173"/>
      <c r="F16" s="177"/>
      <c r="G16" s="177"/>
      <c r="H16" s="178"/>
      <c r="I16" s="159"/>
      <c r="J16" s="159"/>
      <c r="K16" s="159"/>
      <c r="L16" s="159"/>
      <c r="M16" s="176"/>
      <c r="N16" s="173"/>
    </row>
    <row r="17" spans="2:14" x14ac:dyDescent="0.25">
      <c r="B17" s="162" t="s">
        <v>69</v>
      </c>
      <c r="C17" s="162" t="s">
        <v>19</v>
      </c>
      <c r="D17" s="162" t="s">
        <v>371</v>
      </c>
      <c r="E17" s="162">
        <v>2</v>
      </c>
      <c r="F17" s="162" t="str">
        <f>VLOOKUP(D17,'M_LC Summary'!A:C,3,0)</f>
        <v>The Fundamental Installation For Electric Work Co</v>
      </c>
      <c r="G17" s="162" t="str">
        <f>VLOOKUP(D17,'M_LC Summary'!A:D,4,0)</f>
        <v>FIRST FIX</v>
      </c>
      <c r="H17" s="162" t="str">
        <f>VLOOKUP(D17,'M_LC Summary'!A:E,5,0)</f>
        <v>CEER</v>
      </c>
      <c r="I17" s="157">
        <f>VLOOKUP(D17,'M_LC Summary'!A:K,11,0)</f>
        <v>67000000</v>
      </c>
      <c r="J17" s="157">
        <f>VLOOKUP(D17,'M_LC Summary'!A:L,12,0)</f>
        <v>25000000</v>
      </c>
      <c r="K17" s="157">
        <f>SUMIFS('PT_Due Date_Bankwise'!G:G,'PT_Due Date_Bankwise'!D:D,'V_Due Date_Bankwise'!D17,'PT_Due Date_Bankwise'!E:E,'V_Due Date_Bankwise'!E17)</f>
        <v>42000000</v>
      </c>
      <c r="L17" s="157">
        <f>VLOOKUP(D17,'M_LC Summary'!A:N,14,0)</f>
        <v>0</v>
      </c>
      <c r="M17" s="174">
        <v>46202</v>
      </c>
      <c r="N17" s="162"/>
    </row>
    <row r="18" spans="2:14" x14ac:dyDescent="0.25">
      <c r="B18" s="162" t="s">
        <v>69</v>
      </c>
      <c r="C18" s="162" t="s">
        <v>19</v>
      </c>
      <c r="D18" s="162" t="s">
        <v>221</v>
      </c>
      <c r="E18" s="162">
        <v>2</v>
      </c>
      <c r="F18" s="162" t="str">
        <f>VLOOKUP(D18,'M_LC Summary'!A:C,3,0)</f>
        <v>Mohammed Ramadan Shat Factory</v>
      </c>
      <c r="G18" s="162" t="str">
        <f>VLOOKUP(D18,'M_LC Summary'!A:D,4,0)</f>
        <v>FIRST FIX</v>
      </c>
      <c r="H18" s="162" t="str">
        <f>VLOOKUP(D18,'M_LC Summary'!A:E,5,0)</f>
        <v>RCRC</v>
      </c>
      <c r="I18" s="157">
        <f>VLOOKUP(D18,'M_LC Summary'!A:K,11,0)</f>
        <v>501144.18</v>
      </c>
      <c r="J18" s="157">
        <f>VLOOKUP(D18,'M_LC Summary'!A:L,12,0)</f>
        <v>42591.07</v>
      </c>
      <c r="K18" s="157">
        <f>SUMIFS('PT_Due Date_Bankwise'!G:G,'PT_Due Date_Bankwise'!D:D,'V_Due Date_Bankwise'!D18,'PT_Due Date_Bankwise'!E:E,'V_Due Date_Bankwise'!E18)</f>
        <v>199393.9</v>
      </c>
      <c r="L18" s="157">
        <f>VLOOKUP(D18,'M_LC Summary'!A:N,14,0)</f>
        <v>259159.21</v>
      </c>
      <c r="M18" s="174">
        <v>46210</v>
      </c>
      <c r="N18" s="162"/>
    </row>
    <row r="19" spans="2:14" ht="15.75" thickBot="1" x14ac:dyDescent="0.3">
      <c r="B19" s="171" t="s">
        <v>69</v>
      </c>
      <c r="C19" s="171" t="s">
        <v>19</v>
      </c>
      <c r="D19" s="171" t="s">
        <v>293</v>
      </c>
      <c r="E19" s="171">
        <v>4</v>
      </c>
      <c r="F19" s="171" t="str">
        <f>VLOOKUP(D19,'M_LC Summary'!A:C,3,0)</f>
        <v>Green Concrete CJSC</v>
      </c>
      <c r="G19" s="171" t="str">
        <f>VLOOKUP(D19,'M_LC Summary'!A:D,4,0)</f>
        <v>MBL</v>
      </c>
      <c r="H19" s="171" t="str">
        <f>VLOOKUP(D19,'M_LC Summary'!A:E,5,0)</f>
        <v>RCRC</v>
      </c>
      <c r="I19" s="158">
        <f>VLOOKUP(D19,'M_LC Summary'!A:K,11,0)</f>
        <v>5802900</v>
      </c>
      <c r="J19" s="158">
        <f>VLOOKUP(D19,'M_LC Summary'!A:L,12,0)</f>
        <v>495832.85</v>
      </c>
      <c r="K19" s="158">
        <f>SUMIFS('PT_Due Date_Bankwise'!G:G,'PT_Due Date_Bankwise'!D:D,'V_Due Date_Bankwise'!D19,'PT_Due Date_Bankwise'!E:E,'V_Due Date_Bankwise'!E19)</f>
        <v>112200.9</v>
      </c>
      <c r="L19" s="158">
        <f>VLOOKUP(D19,'M_LC Summary'!A:N,14,0)</f>
        <v>5194866.25</v>
      </c>
      <c r="M19" s="172">
        <v>46215</v>
      </c>
      <c r="N19" s="171"/>
    </row>
    <row r="20" spans="2:14" ht="15.75" thickBot="1" x14ac:dyDescent="0.3">
      <c r="B20" s="61"/>
      <c r="C20" s="60"/>
      <c r="D20" s="60"/>
      <c r="E20" s="60"/>
      <c r="F20" s="68" t="s">
        <v>69</v>
      </c>
      <c r="G20" s="68" t="s">
        <v>19</v>
      </c>
      <c r="H20" s="32" t="s">
        <v>54</v>
      </c>
      <c r="I20" s="64">
        <f>SUMIFS(I:I,$B:$B,$F$20,$C:$C,$G$20)</f>
        <v>73304044.180000007</v>
      </c>
      <c r="J20" s="64">
        <f>SUMIFS(J:J,$B:$B,$F$20,$C:$C,$G$20)</f>
        <v>25538423.920000002</v>
      </c>
      <c r="K20" s="64">
        <f>SUMIFS(K:K,$B:$B,$F$20,$C:$C,$G$20)</f>
        <v>42311594.799999997</v>
      </c>
      <c r="L20" s="64">
        <f>SUMIFS(L:L,$B:$B,$F$20,$C:$C,$G$20)</f>
        <v>5454025.46</v>
      </c>
      <c r="M20" s="145"/>
      <c r="N20" s="144"/>
    </row>
    <row r="21" spans="2:14" x14ac:dyDescent="0.25">
      <c r="B21" s="173"/>
      <c r="C21" s="173"/>
      <c r="D21" s="173"/>
      <c r="E21" s="173"/>
      <c r="F21" s="177"/>
      <c r="G21" s="177"/>
      <c r="H21" s="178"/>
      <c r="I21" s="159"/>
      <c r="J21" s="159"/>
      <c r="K21" s="159"/>
      <c r="L21" s="159"/>
      <c r="M21" s="176"/>
      <c r="N21" s="173"/>
    </row>
    <row r="22" spans="2:14" ht="15.75" thickBot="1" x14ac:dyDescent="0.3">
      <c r="B22" s="171" t="s">
        <v>68</v>
      </c>
      <c r="C22" s="171" t="s">
        <v>19</v>
      </c>
      <c r="D22" s="171" t="s">
        <v>397</v>
      </c>
      <c r="E22" s="171">
        <v>3</v>
      </c>
      <c r="F22" s="171" t="str">
        <f>VLOOKUP(D22,'M_LC Summary'!A:C,3,0)</f>
        <v>Ready Mix Company Limited.</v>
      </c>
      <c r="G22" s="171" t="str">
        <f>VLOOKUP(D22,'M_LC Summary'!A:D,4,0)</f>
        <v>MBL</v>
      </c>
      <c r="H22" s="171" t="str">
        <f>VLOOKUP(D22,'M_LC Summary'!A:E,5,0)</f>
        <v>Lagoon</v>
      </c>
      <c r="I22" s="158">
        <f>VLOOKUP(D22,'M_LC Summary'!A:K,11,0)</f>
        <v>5000000</v>
      </c>
      <c r="J22" s="158">
        <f>VLOOKUP(D22,'M_LC Summary'!A:L,12,0)</f>
        <v>2707269.5</v>
      </c>
      <c r="K22" s="158">
        <f>SUMIFS('PT_Due Date_Bankwise'!G:G,'PT_Due Date_Bankwise'!D:D,'V_Due Date_Bankwise'!D22,'PT_Due Date_Bankwise'!E:E,'V_Due Date_Bankwise'!E22)</f>
        <v>949900</v>
      </c>
      <c r="L22" s="158">
        <f>VLOOKUP(D22,'M_LC Summary'!A:N,14,0)</f>
        <v>1342830.5</v>
      </c>
      <c r="M22" s="172">
        <v>46215</v>
      </c>
      <c r="N22" s="171"/>
    </row>
    <row r="23" spans="2:14" ht="15.75" thickBot="1" x14ac:dyDescent="0.3">
      <c r="B23" s="61"/>
      <c r="C23" s="60"/>
      <c r="D23" s="60"/>
      <c r="E23" s="60"/>
      <c r="F23" s="68" t="s">
        <v>68</v>
      </c>
      <c r="G23" s="68" t="s">
        <v>19</v>
      </c>
      <c r="H23" s="32" t="s">
        <v>54</v>
      </c>
      <c r="I23" s="64">
        <f>SUMIFS(I:I,$B:$B,$F$23,$C:$C,$G$23)</f>
        <v>5000000</v>
      </c>
      <c r="J23" s="64">
        <f>SUMIFS(J:J,$B:$B,$F$23,$C:$C,$G$23)</f>
        <v>2707269.5</v>
      </c>
      <c r="K23" s="64">
        <f>SUMIFS(K:K,$B:$B,$F$23,$C:$C,$G$23)</f>
        <v>949900</v>
      </c>
      <c r="L23" s="64">
        <f>SUMIFS(L:L,$B:$B,$F$23,$C:$C,$G$23)</f>
        <v>1342830.5</v>
      </c>
      <c r="M23" s="145"/>
      <c r="N23" s="144"/>
    </row>
    <row r="24" spans="2:14" x14ac:dyDescent="0.25">
      <c r="B24" s="173"/>
      <c r="C24" s="173"/>
      <c r="D24" s="173"/>
      <c r="E24" s="173"/>
      <c r="F24" s="177"/>
      <c r="G24" s="177"/>
      <c r="H24" s="178"/>
      <c r="I24" s="159"/>
      <c r="J24" s="159"/>
      <c r="K24" s="159"/>
      <c r="L24" s="159"/>
      <c r="M24" s="176"/>
      <c r="N24" s="173"/>
    </row>
    <row r="25" spans="2:14" x14ac:dyDescent="0.25">
      <c r="B25" s="162" t="s">
        <v>25</v>
      </c>
      <c r="C25" s="162" t="s">
        <v>19</v>
      </c>
      <c r="D25" s="162" t="s">
        <v>245</v>
      </c>
      <c r="E25" s="162">
        <v>11</v>
      </c>
      <c r="F25" s="162" t="str">
        <f>VLOOKUP(D25,'M_LC Summary'!A:C,3,0)</f>
        <v>Mat Filtrasyon Teknolojeleri A.S</v>
      </c>
      <c r="G25" s="162" t="str">
        <f>VLOOKUP(D25,'M_LC Summary'!A:D,4,0)</f>
        <v>MBL</v>
      </c>
      <c r="H25" s="162" t="str">
        <f>VLOOKUP(D25,'M_LC Summary'!A:E,5,0)</f>
        <v>Oceanarium</v>
      </c>
      <c r="I25" s="157">
        <f>VLOOKUP(D25,'M_LC Summary'!A:K,11,0)</f>
        <v>25907203.759999998</v>
      </c>
      <c r="J25" s="157">
        <f>VLOOKUP(D25,'M_LC Summary'!A:L,12,0)</f>
        <v>16605181.220000001</v>
      </c>
      <c r="K25" s="157">
        <f>SUMIFS('PT_Due Date_Bankwise'!G:G,'PT_Due Date_Bankwise'!D:D,'V_Due Date_Bankwise'!D25,'PT_Due Date_Bankwise'!E:E,'V_Due Date_Bankwise'!E25)</f>
        <v>284755.58</v>
      </c>
      <c r="L25" s="157">
        <f>VLOOKUP(D25,'M_LC Summary'!A:N,14,0)</f>
        <v>8549405.8599999994</v>
      </c>
      <c r="M25" s="174">
        <v>46205</v>
      </c>
      <c r="N25" s="162"/>
    </row>
    <row r="26" spans="2:14" x14ac:dyDescent="0.25">
      <c r="B26" s="162" t="s">
        <v>25</v>
      </c>
      <c r="C26" s="162" t="s">
        <v>19</v>
      </c>
      <c r="D26" s="162" t="s">
        <v>336</v>
      </c>
      <c r="E26" s="162">
        <v>1</v>
      </c>
      <c r="F26" s="162" t="str">
        <f>VLOOKUP(D26,'M_LC Summary'!A:C,3,0)</f>
        <v>SKM Air Conditioning Company</v>
      </c>
      <c r="G26" s="162" t="str">
        <f>VLOOKUP(D26,'M_LC Summary'!A:D,4,0)</f>
        <v>FIRST FIX</v>
      </c>
      <c r="H26" s="162" t="str">
        <f>VLOOKUP(D26,'M_LC Summary'!A:E,5,0)</f>
        <v>Oceanarium</v>
      </c>
      <c r="I26" s="157">
        <f>VLOOKUP(D26,'M_LC Summary'!A:K,11,0)</f>
        <v>500000</v>
      </c>
      <c r="J26" s="157">
        <f>VLOOKUP(D26,'M_LC Summary'!A:L,12,0)</f>
        <v>0</v>
      </c>
      <c r="K26" s="157">
        <f>SUMIFS('PT_Due Date_Bankwise'!G:G,'PT_Due Date_Bankwise'!D:D,'V_Due Date_Bankwise'!D26,'PT_Due Date_Bankwise'!E:E,'V_Due Date_Bankwise'!E26)</f>
        <v>500000</v>
      </c>
      <c r="L26" s="157">
        <f>VLOOKUP(D26,'M_LC Summary'!A:N,14,0)</f>
        <v>0</v>
      </c>
      <c r="M26" s="174">
        <v>46208</v>
      </c>
      <c r="N26" s="162"/>
    </row>
    <row r="27" spans="2:14" x14ac:dyDescent="0.25">
      <c r="B27" s="162" t="s">
        <v>25</v>
      </c>
      <c r="C27" s="162" t="s">
        <v>19</v>
      </c>
      <c r="D27" s="162" t="s">
        <v>379</v>
      </c>
      <c r="E27" s="162">
        <v>2</v>
      </c>
      <c r="F27" s="162" t="str">
        <f>VLOOKUP(D27,'M_LC Summary'!A:C,3,0)</f>
        <v>Mat Filtrasyon Teknolojeleri A.S</v>
      </c>
      <c r="G27" s="162" t="str">
        <f>VLOOKUP(D27,'M_LC Summary'!A:D,4,0)</f>
        <v>MBL</v>
      </c>
      <c r="H27" s="162" t="str">
        <f>VLOOKUP(D27,'M_LC Summary'!A:E,5,0)</f>
        <v>Oceanarium</v>
      </c>
      <c r="I27" s="157">
        <f>VLOOKUP(D27,'M_LC Summary'!A:K,11,0)</f>
        <v>17932603.559999999</v>
      </c>
      <c r="J27" s="157">
        <f>VLOOKUP(D27,'M_LC Summary'!A:L,12,0)</f>
        <v>4576500</v>
      </c>
      <c r="K27" s="157">
        <f>SUMIFS('PT_Due Date_Bankwise'!G:G,'PT_Due Date_Bankwise'!D:D,'V_Due Date_Bankwise'!D27,'PT_Due Date_Bankwise'!E:E,'V_Due Date_Bankwise'!E27)</f>
        <v>735540</v>
      </c>
      <c r="L27" s="157">
        <f>VLOOKUP(D27,'M_LC Summary'!A:N,14,0)</f>
        <v>12620563.560000001</v>
      </c>
      <c r="M27" s="174">
        <v>46208</v>
      </c>
      <c r="N27" s="162"/>
    </row>
    <row r="28" spans="2:14" x14ac:dyDescent="0.25">
      <c r="B28" s="162" t="s">
        <v>25</v>
      </c>
      <c r="C28" s="162" t="s">
        <v>19</v>
      </c>
      <c r="D28" s="162" t="s">
        <v>245</v>
      </c>
      <c r="E28" s="162">
        <v>10</v>
      </c>
      <c r="F28" s="162" t="str">
        <f>VLOOKUP(D28,'M_LC Summary'!A:C,3,0)</f>
        <v>Mat Filtrasyon Teknolojeleri A.S</v>
      </c>
      <c r="G28" s="162" t="str">
        <f>VLOOKUP(D28,'M_LC Summary'!A:D,4,0)</f>
        <v>MBL</v>
      </c>
      <c r="H28" s="162" t="str">
        <f>VLOOKUP(D28,'M_LC Summary'!A:E,5,0)</f>
        <v>Oceanarium</v>
      </c>
      <c r="I28" s="157">
        <v>0</v>
      </c>
      <c r="J28" s="157">
        <v>0</v>
      </c>
      <c r="K28" s="157">
        <f>SUMIFS('PT_Due Date_Bankwise'!G:G,'PT_Due Date_Bankwise'!D:D,'V_Due Date_Bankwise'!D28,'PT_Due Date_Bankwise'!E:E,'V_Due Date_Bankwise'!E28)</f>
        <v>467861.1</v>
      </c>
      <c r="L28" s="157">
        <v>0</v>
      </c>
      <c r="M28" s="174">
        <v>46212</v>
      </c>
      <c r="N28" s="162"/>
    </row>
    <row r="29" spans="2:14" x14ac:dyDescent="0.25">
      <c r="B29" s="162" t="s">
        <v>25</v>
      </c>
      <c r="C29" s="162" t="s">
        <v>19</v>
      </c>
      <c r="D29" s="162" t="s">
        <v>294</v>
      </c>
      <c r="E29" s="162">
        <v>1</v>
      </c>
      <c r="F29" s="162" t="str">
        <f>VLOOKUP(D29,'M_LC Summary'!A:C,3,0)</f>
        <v>ISAM KABBANI &amp; PARTNERS LTD-UNITECH</v>
      </c>
      <c r="G29" s="162" t="str">
        <f>VLOOKUP(D29,'M_LC Summary'!A:D,4,0)</f>
        <v>FIRST FIX</v>
      </c>
      <c r="H29" s="162" t="str">
        <f>VLOOKUP(D29,'M_LC Summary'!A:E,5,0)</f>
        <v>Oceanarium</v>
      </c>
      <c r="I29" s="157">
        <f>VLOOKUP(D29,'M_LC Summary'!A:K,11,0)</f>
        <v>500000</v>
      </c>
      <c r="J29" s="157">
        <f>VLOOKUP(D29,'M_LC Summary'!A:L,12,0)</f>
        <v>0</v>
      </c>
      <c r="K29" s="157">
        <f>SUMIFS('PT_Due Date_Bankwise'!G:G,'PT_Due Date_Bankwise'!D:D,'V_Due Date_Bankwise'!D29,'PT_Due Date_Bankwise'!E:E,'V_Due Date_Bankwise'!E29)</f>
        <v>500000</v>
      </c>
      <c r="L29" s="157">
        <f>VLOOKUP(D29,'M_LC Summary'!A:N,14,0)</f>
        <v>0</v>
      </c>
      <c r="M29" s="174">
        <v>46217</v>
      </c>
      <c r="N29" s="162"/>
    </row>
    <row r="30" spans="2:14" x14ac:dyDescent="0.25">
      <c r="B30" s="162" t="s">
        <v>25</v>
      </c>
      <c r="C30" s="162" t="s">
        <v>19</v>
      </c>
      <c r="D30" s="162" t="s">
        <v>334</v>
      </c>
      <c r="E30" s="162">
        <v>1</v>
      </c>
      <c r="F30" s="162" t="str">
        <f>VLOOKUP(D30,'M_LC Summary'!A:C,3,0)</f>
        <v>Khorayef Industries</v>
      </c>
      <c r="G30" s="162" t="str">
        <f>VLOOKUP(D30,'M_LC Summary'!A:D,4,0)</f>
        <v>FIRST FIX</v>
      </c>
      <c r="H30" s="162" t="str">
        <f>VLOOKUP(D30,'M_LC Summary'!A:E,5,0)</f>
        <v>Oceanarium</v>
      </c>
      <c r="I30" s="157">
        <f>VLOOKUP(D30,'M_LC Summary'!A:K,11,0)</f>
        <v>1000000</v>
      </c>
      <c r="J30" s="157">
        <f>VLOOKUP(D30,'M_LC Summary'!A:L,12,0)</f>
        <v>0</v>
      </c>
      <c r="K30" s="157">
        <f>SUMIFS('PT_Due Date_Bankwise'!G:G,'PT_Due Date_Bankwise'!D:D,'V_Due Date_Bankwise'!D30,'PT_Due Date_Bankwise'!E:E,'V_Due Date_Bankwise'!E30)</f>
        <v>1000000</v>
      </c>
      <c r="L30" s="157">
        <f>VLOOKUP(D30,'M_LC Summary'!A:N,14,0)</f>
        <v>0</v>
      </c>
      <c r="M30" s="174">
        <v>46217</v>
      </c>
      <c r="N30" s="162"/>
    </row>
    <row r="31" spans="2:14" x14ac:dyDescent="0.25">
      <c r="B31" s="162" t="s">
        <v>25</v>
      </c>
      <c r="C31" s="162" t="s">
        <v>19</v>
      </c>
      <c r="D31" s="162" t="s">
        <v>335</v>
      </c>
      <c r="E31" s="162">
        <v>1</v>
      </c>
      <c r="F31" s="162" t="str">
        <f>VLOOKUP(D31,'M_LC Summary'!A:C,3,0)</f>
        <v>Schneider Electric Saudi Arabia Co</v>
      </c>
      <c r="G31" s="162" t="str">
        <f>VLOOKUP(D31,'M_LC Summary'!A:D,4,0)</f>
        <v>FIRST FIX</v>
      </c>
      <c r="H31" s="162" t="str">
        <f>VLOOKUP(D31,'M_LC Summary'!A:E,5,0)</f>
        <v>Oceanarium</v>
      </c>
      <c r="I31" s="157">
        <f>VLOOKUP(D31,'M_LC Summary'!A:K,11,0)</f>
        <v>750000</v>
      </c>
      <c r="J31" s="157">
        <f>VLOOKUP(D31,'M_LC Summary'!A:L,12,0)</f>
        <v>0</v>
      </c>
      <c r="K31" s="157">
        <f>SUMIFS('PT_Due Date_Bankwise'!G:G,'PT_Due Date_Bankwise'!D:D,'V_Due Date_Bankwise'!D31,'PT_Due Date_Bankwise'!E:E,'V_Due Date_Bankwise'!E31)</f>
        <v>710700</v>
      </c>
      <c r="L31" s="157">
        <f>VLOOKUP(D31,'M_LC Summary'!A:N,14,0)</f>
        <v>39300</v>
      </c>
      <c r="M31" s="174">
        <v>46217</v>
      </c>
      <c r="N31" s="162"/>
    </row>
    <row r="32" spans="2:14" x14ac:dyDescent="0.25">
      <c r="B32" s="162" t="s">
        <v>25</v>
      </c>
      <c r="C32" s="162" t="s">
        <v>19</v>
      </c>
      <c r="D32" s="162" t="s">
        <v>297</v>
      </c>
      <c r="E32" s="162">
        <v>1</v>
      </c>
      <c r="F32" s="162" t="str">
        <f>VLOOKUP(D32,'M_LC Summary'!A:C,3,0)</f>
        <v>SKM Air Conditioning Company</v>
      </c>
      <c r="G32" s="162" t="str">
        <f>VLOOKUP(D32,'M_LC Summary'!A:D,4,0)</f>
        <v>FIRST FIX</v>
      </c>
      <c r="H32" s="162" t="str">
        <f>VLOOKUP(D32,'M_LC Summary'!A:E,5,0)</f>
        <v>Oceanarium</v>
      </c>
      <c r="I32" s="157">
        <f>VLOOKUP(D32,'M_LC Summary'!A:K,11,0)</f>
        <v>500000</v>
      </c>
      <c r="J32" s="157">
        <f>VLOOKUP(D32,'M_LC Summary'!A:L,12,0)</f>
        <v>0</v>
      </c>
      <c r="K32" s="157">
        <f>SUMIFS('PT_Due Date_Bankwise'!G:G,'PT_Due Date_Bankwise'!D:D,'V_Due Date_Bankwise'!D32,'PT_Due Date_Bankwise'!E:E,'V_Due Date_Bankwise'!E32)</f>
        <v>500000</v>
      </c>
      <c r="L32" s="157">
        <f>VLOOKUP(D32,'M_LC Summary'!A:N,14,0)</f>
        <v>0</v>
      </c>
      <c r="M32" s="174">
        <v>46222</v>
      </c>
      <c r="N32" s="162"/>
    </row>
    <row r="33" spans="2:14" x14ac:dyDescent="0.25">
      <c r="B33" s="162" t="s">
        <v>25</v>
      </c>
      <c r="C33" s="162" t="s">
        <v>19</v>
      </c>
      <c r="D33" s="162" t="s">
        <v>298</v>
      </c>
      <c r="E33" s="162">
        <v>1</v>
      </c>
      <c r="F33" s="162" t="str">
        <f>VLOOKUP(D33,'M_LC Summary'!A:C,3,0)</f>
        <v>Teqniye Al-Majra For Contracting</v>
      </c>
      <c r="G33" s="162" t="str">
        <f>VLOOKUP(D33,'M_LC Summary'!A:D,4,0)</f>
        <v>FIRST FIX</v>
      </c>
      <c r="H33" s="162" t="str">
        <f>VLOOKUP(D33,'M_LC Summary'!A:E,5,0)</f>
        <v>Oceanarium</v>
      </c>
      <c r="I33" s="157">
        <f>VLOOKUP(D33,'M_LC Summary'!A:K,11,0)</f>
        <v>500000</v>
      </c>
      <c r="J33" s="157">
        <f>VLOOKUP(D33,'M_LC Summary'!A:L,12,0)</f>
        <v>0</v>
      </c>
      <c r="K33" s="157">
        <f>SUMIFS('PT_Due Date_Bankwise'!G:G,'PT_Due Date_Bankwise'!D:D,'V_Due Date_Bankwise'!D33,'PT_Due Date_Bankwise'!E:E,'V_Due Date_Bankwise'!E33)</f>
        <v>489669.97</v>
      </c>
      <c r="L33" s="157">
        <f>VLOOKUP(D33,'M_LC Summary'!A:N,14,0)</f>
        <v>10330.030000000001</v>
      </c>
      <c r="M33" s="174">
        <v>46236</v>
      </c>
      <c r="N33" s="162"/>
    </row>
    <row r="34" spans="2:14" ht="15.75" thickBot="1" x14ac:dyDescent="0.3">
      <c r="B34" s="171" t="s">
        <v>25</v>
      </c>
      <c r="C34" s="171" t="s">
        <v>19</v>
      </c>
      <c r="D34" s="171" t="s">
        <v>292</v>
      </c>
      <c r="E34" s="171">
        <v>1</v>
      </c>
      <c r="F34" s="171" t="str">
        <f>VLOOKUP(D34,'M_LC Summary'!A:C,3,0)</f>
        <v>ALFANAR ELECTRICAL SYSTEMS</v>
      </c>
      <c r="G34" s="171" t="str">
        <f>VLOOKUP(D34,'M_LC Summary'!A:D,4,0)</f>
        <v>FIRST FIX</v>
      </c>
      <c r="H34" s="171" t="str">
        <f>VLOOKUP(D34,'M_LC Summary'!A:E,5,0)</f>
        <v>Oceanarium</v>
      </c>
      <c r="I34" s="158">
        <f>VLOOKUP(D34,'M_LC Summary'!A:K,11,0)</f>
        <v>1044853.45</v>
      </c>
      <c r="J34" s="158">
        <f>VLOOKUP(D34,'M_LC Summary'!A:L,12,0)</f>
        <v>0</v>
      </c>
      <c r="K34" s="158">
        <f>SUMIFS('PT_Due Date_Bankwise'!G:G,'PT_Due Date_Bankwise'!D:D,'V_Due Date_Bankwise'!D34,'PT_Due Date_Bankwise'!E:E,'V_Due Date_Bankwise'!E34)</f>
        <v>567743.27</v>
      </c>
      <c r="L34" s="158">
        <f>VLOOKUP(D34,'M_LC Summary'!A:N,14,0)</f>
        <v>477110.18</v>
      </c>
      <c r="M34" s="172">
        <v>46236</v>
      </c>
      <c r="N34" s="171"/>
    </row>
    <row r="35" spans="2:14" ht="15.75" thickBot="1" x14ac:dyDescent="0.3">
      <c r="B35" s="61"/>
      <c r="C35" s="60"/>
      <c r="D35" s="60"/>
      <c r="E35" s="60"/>
      <c r="F35" s="68" t="s">
        <v>25</v>
      </c>
      <c r="G35" s="68" t="s">
        <v>19</v>
      </c>
      <c r="H35" s="32" t="s">
        <v>54</v>
      </c>
      <c r="I35" s="64">
        <f>SUMIFS(I:I,$B:$B,$F$35,$C:$C,$G$35)</f>
        <v>48634660.769999996</v>
      </c>
      <c r="J35" s="64">
        <f>SUMIFS(J:J,$B:$B,$F$35,$C:$C,$G$35)</f>
        <v>21181681.219999999</v>
      </c>
      <c r="K35" s="64">
        <f>SUMIFS(K:K,$B:$B,$F$35,$C:$C,$G$35)</f>
        <v>5756269.9199999999</v>
      </c>
      <c r="L35" s="64">
        <f>SUMIFS(L:L,$B:$B,$F$35,$C:$C,$G$35)</f>
        <v>21696709.630000003</v>
      </c>
      <c r="M35" s="145"/>
      <c r="N35" s="144"/>
    </row>
    <row r="36" spans="2:14" x14ac:dyDescent="0.25">
      <c r="B36" s="173"/>
      <c r="C36" s="173"/>
      <c r="D36" s="173"/>
      <c r="E36" s="173"/>
      <c r="F36" s="177"/>
      <c r="G36" s="177"/>
      <c r="H36" s="178"/>
      <c r="I36" s="159"/>
      <c r="J36" s="159"/>
      <c r="K36" s="159"/>
      <c r="L36" s="159"/>
      <c r="M36" s="176"/>
      <c r="N36" s="173"/>
    </row>
    <row r="37" spans="2:14" x14ac:dyDescent="0.25">
      <c r="B37" s="162" t="s">
        <v>28</v>
      </c>
      <c r="C37" s="162" t="s">
        <v>19</v>
      </c>
      <c r="D37" s="162" t="s">
        <v>223</v>
      </c>
      <c r="E37" s="162">
        <v>2</v>
      </c>
      <c r="F37" s="162" t="str">
        <f>VLOOKUP(D37,'M_LC Summary'!A:C,3,0)</f>
        <v>Sika Saudi Arabia Co. Ltd.</v>
      </c>
      <c r="G37" s="162" t="str">
        <f>VLOOKUP(D37,'M_LC Summary'!A:D,4,0)</f>
        <v>MBL</v>
      </c>
      <c r="H37" s="162" t="str">
        <f>VLOOKUP(D37,'M_LC Summary'!A:E,5,0)</f>
        <v>ABHA</v>
      </c>
      <c r="I37" s="157">
        <f>VLOOKUP(D37,'M_LC Summary'!A:K,11,0)</f>
        <v>2741025</v>
      </c>
      <c r="J37" s="157">
        <f>VLOOKUP(D37,'M_LC Summary'!A:L,12,0)</f>
        <v>1641337.5</v>
      </c>
      <c r="K37" s="157">
        <f>SUMIFS('PT_Due Date_Bankwise'!G:G,'PT_Due Date_Bankwise'!D:D,'V_Due Date_Bankwise'!D37,'PT_Due Date_Bankwise'!E:E,'V_Due Date_Bankwise'!E37)</f>
        <v>902623.5</v>
      </c>
      <c r="L37" s="157">
        <f>VLOOKUP(D37,'M_LC Summary'!A:N,14,0)</f>
        <v>0</v>
      </c>
      <c r="M37" s="174">
        <v>46198</v>
      </c>
      <c r="N37" s="162"/>
    </row>
    <row r="38" spans="2:14" x14ac:dyDescent="0.25">
      <c r="B38" s="162" t="s">
        <v>28</v>
      </c>
      <c r="C38" s="162" t="s">
        <v>19</v>
      </c>
      <c r="D38" s="162" t="s">
        <v>247</v>
      </c>
      <c r="E38" s="162">
        <v>3</v>
      </c>
      <c r="F38" s="162" t="str">
        <f>VLOOKUP(D38,'M_LC Summary'!A:C,3,0)</f>
        <v>Building System Intelligent Est.</v>
      </c>
      <c r="G38" s="162" t="str">
        <f>VLOOKUP(D38,'M_LC Summary'!A:D,4,0)</f>
        <v>FIRST FIX</v>
      </c>
      <c r="H38" s="162" t="str">
        <f>VLOOKUP(D38,'M_LC Summary'!A:E,5,0)</f>
        <v>MP1</v>
      </c>
      <c r="I38" s="157">
        <f>VLOOKUP(D38,'M_LC Summary'!A:K,11,0)</f>
        <v>558949</v>
      </c>
      <c r="J38" s="157">
        <f>VLOOKUP(D38,'M_LC Summary'!A:L,12,0)</f>
        <v>300966.99</v>
      </c>
      <c r="K38" s="157">
        <f>SUMIFS('PT_Due Date_Bankwise'!G:G,'PT_Due Date_Bankwise'!D:D,'V_Due Date_Bankwise'!D38,'PT_Due Date_Bankwise'!E:E,'V_Due Date_Bankwise'!E38)</f>
        <v>106205.87</v>
      </c>
      <c r="L38" s="157">
        <f>VLOOKUP(D38,'M_LC Summary'!A:N,14,0)</f>
        <v>151776.14000000001</v>
      </c>
      <c r="M38" s="174">
        <v>46201</v>
      </c>
      <c r="N38" s="162"/>
    </row>
    <row r="39" spans="2:14" x14ac:dyDescent="0.25">
      <c r="B39" s="162" t="s">
        <v>28</v>
      </c>
      <c r="C39" s="162" t="s">
        <v>19</v>
      </c>
      <c r="D39" s="162" t="s">
        <v>315</v>
      </c>
      <c r="E39" s="162">
        <v>1</v>
      </c>
      <c r="F39" s="162" t="str">
        <f>VLOOKUP(D39,'M_LC Summary'!A:C,3,0)</f>
        <v>BROOQ ALAMAAN TRAD COMPANY</v>
      </c>
      <c r="G39" s="162" t="str">
        <f>VLOOKUP(D39,'M_LC Summary'!A:D,4,0)</f>
        <v>FIRST FIX</v>
      </c>
      <c r="H39" s="162" t="str">
        <f>VLOOKUP(D39,'M_LC Summary'!A:E,5,0)</f>
        <v>MP1</v>
      </c>
      <c r="I39" s="157">
        <f>VLOOKUP(D39,'M_LC Summary'!A:K,11,0)</f>
        <v>500000</v>
      </c>
      <c r="J39" s="157">
        <f>VLOOKUP(D39,'M_LC Summary'!A:L,12,0)</f>
        <v>0</v>
      </c>
      <c r="K39" s="157">
        <f>SUMIFS('PT_Due Date_Bankwise'!G:G,'PT_Due Date_Bankwise'!D:D,'V_Due Date_Bankwise'!D39,'PT_Due Date_Bankwise'!E:E,'V_Due Date_Bankwise'!E39)</f>
        <v>365011.38</v>
      </c>
      <c r="L39" s="157">
        <f>VLOOKUP(D39,'M_LC Summary'!A:N,14,0)</f>
        <v>134988.62</v>
      </c>
      <c r="M39" s="174">
        <v>46208</v>
      </c>
      <c r="N39" s="162"/>
    </row>
    <row r="40" spans="2:14" x14ac:dyDescent="0.25">
      <c r="B40" s="162" t="s">
        <v>28</v>
      </c>
      <c r="C40" s="162" t="s">
        <v>19</v>
      </c>
      <c r="D40" s="162" t="s">
        <v>327</v>
      </c>
      <c r="E40" s="162">
        <v>1</v>
      </c>
      <c r="F40" s="162" t="str">
        <f>VLOOKUP(D40,'M_LC Summary'!A:C,3,0)</f>
        <v>INTERPLAST CO. LTD</v>
      </c>
      <c r="G40" s="162" t="str">
        <f>VLOOKUP(D40,'M_LC Summary'!A:D,4,0)</f>
        <v>FIRST FIX</v>
      </c>
      <c r="H40" s="162" t="str">
        <f>VLOOKUP(D40,'M_LC Summary'!A:E,5,0)</f>
        <v>MP1</v>
      </c>
      <c r="I40" s="157">
        <f>VLOOKUP(D40,'M_LC Summary'!A:K,11,0)</f>
        <v>397090</v>
      </c>
      <c r="J40" s="157">
        <f>VLOOKUP(D40,'M_LC Summary'!A:L,12,0)</f>
        <v>0</v>
      </c>
      <c r="K40" s="157">
        <f>SUMIFS('PT_Due Date_Bankwise'!G:G,'PT_Due Date_Bankwise'!D:D,'V_Due Date_Bankwise'!D40,'PT_Due Date_Bankwise'!E:E,'V_Due Date_Bankwise'!E40)</f>
        <v>397090</v>
      </c>
      <c r="L40" s="157">
        <f>VLOOKUP(D40,'M_LC Summary'!A:N,14,0)</f>
        <v>0</v>
      </c>
      <c r="M40" s="174">
        <v>46208</v>
      </c>
      <c r="N40" s="162"/>
    </row>
    <row r="41" spans="2:14" x14ac:dyDescent="0.25">
      <c r="B41" s="162" t="s">
        <v>28</v>
      </c>
      <c r="C41" s="162" t="s">
        <v>19</v>
      </c>
      <c r="D41" s="162" t="s">
        <v>362</v>
      </c>
      <c r="E41" s="162">
        <v>1</v>
      </c>
      <c r="F41" s="162" t="str">
        <f>VLOOKUP(D41,'M_LC Summary'!A:C,3,0)</f>
        <v>Ajzal United for Safety CO.LTD.</v>
      </c>
      <c r="G41" s="162" t="str">
        <f>VLOOKUP(D41,'M_LC Summary'!A:D,4,0)</f>
        <v>FIRST FIX</v>
      </c>
      <c r="H41" s="162" t="str">
        <f>VLOOKUP(D41,'M_LC Summary'!A:E,5,0)</f>
        <v>MP1</v>
      </c>
      <c r="I41" s="157">
        <f>VLOOKUP(D41,'M_LC Summary'!A:K,11,0)</f>
        <v>600000</v>
      </c>
      <c r="J41" s="157">
        <f>VLOOKUP(D41,'M_LC Summary'!A:L,12,0)</f>
        <v>0</v>
      </c>
      <c r="K41" s="157">
        <f>SUMIFS('PT_Due Date_Bankwise'!G:G,'PT_Due Date_Bankwise'!D:D,'V_Due Date_Bankwise'!D41,'PT_Due Date_Bankwise'!E:E,'V_Due Date_Bankwise'!E41)</f>
        <v>194647.12</v>
      </c>
      <c r="L41" s="157">
        <f>VLOOKUP(D41,'M_LC Summary'!A:N,14,0)</f>
        <v>88310.67</v>
      </c>
      <c r="M41" s="174">
        <v>46208</v>
      </c>
      <c r="N41" s="162"/>
    </row>
    <row r="42" spans="2:14" x14ac:dyDescent="0.25">
      <c r="B42" s="162" t="s">
        <v>28</v>
      </c>
      <c r="C42" s="162" t="s">
        <v>19</v>
      </c>
      <c r="D42" s="162" t="s">
        <v>264</v>
      </c>
      <c r="E42" s="162">
        <v>1</v>
      </c>
      <c r="F42" s="162" t="str">
        <f>VLOOKUP(D42,'M_LC Summary'!A:C,3,0)</f>
        <v xml:space="preserve">Daikin Air Conditioning Saudi Arabia </v>
      </c>
      <c r="G42" s="162" t="str">
        <f>VLOOKUP(D42,'M_LC Summary'!A:D,4,0)</f>
        <v>FIRST FIX</v>
      </c>
      <c r="H42" s="162" t="str">
        <f>VLOOKUP(D42,'M_LC Summary'!A:E,5,0)</f>
        <v>MP1</v>
      </c>
      <c r="I42" s="157">
        <f>VLOOKUP(D42,'M_LC Summary'!A:K,11,0)</f>
        <v>628258.81000000006</v>
      </c>
      <c r="J42" s="157">
        <f>VLOOKUP(D42,'M_LC Summary'!A:L,12,0)</f>
        <v>0</v>
      </c>
      <c r="K42" s="157">
        <f>SUMIFS('PT_Due Date_Bankwise'!G:G,'PT_Due Date_Bankwise'!D:D,'V_Due Date_Bankwise'!D42,'PT_Due Date_Bankwise'!E:E,'V_Due Date_Bankwise'!E42)</f>
        <v>208813.02</v>
      </c>
      <c r="L42" s="157">
        <f>VLOOKUP(D42,'M_LC Summary'!A:N,14,0)</f>
        <v>140540.12</v>
      </c>
      <c r="M42" s="174">
        <v>46208</v>
      </c>
      <c r="N42" s="162"/>
    </row>
    <row r="43" spans="2:14" x14ac:dyDescent="0.25">
      <c r="B43" s="162" t="s">
        <v>28</v>
      </c>
      <c r="C43" s="162" t="s">
        <v>19</v>
      </c>
      <c r="D43" s="162" t="s">
        <v>363</v>
      </c>
      <c r="E43" s="162">
        <v>1</v>
      </c>
      <c r="F43" s="162" t="str">
        <f>VLOOKUP(D43,'M_LC Summary'!A:C,3,0)</f>
        <v>Al NAKHEEL FOR TRADING COMPANY</v>
      </c>
      <c r="G43" s="162" t="str">
        <f>VLOOKUP(D43,'M_LC Summary'!A:D,4,0)</f>
        <v>FIRST FIX</v>
      </c>
      <c r="H43" s="162" t="str">
        <f>VLOOKUP(D43,'M_LC Summary'!A:E,5,0)</f>
        <v>MP1</v>
      </c>
      <c r="I43" s="157">
        <f>VLOOKUP(D43,'M_LC Summary'!A:K,11,0)</f>
        <v>1870380.07</v>
      </c>
      <c r="J43" s="157">
        <f>VLOOKUP(D43,'M_LC Summary'!A:L,12,0)</f>
        <v>0</v>
      </c>
      <c r="K43" s="157">
        <f>SUMIFS('PT_Due Date_Bankwise'!G:G,'PT_Due Date_Bankwise'!D:D,'V_Due Date_Bankwise'!D43,'PT_Due Date_Bankwise'!E:E,'V_Due Date_Bankwise'!E43)</f>
        <v>1309266</v>
      </c>
      <c r="L43" s="157">
        <f>VLOOKUP(D43,'M_LC Summary'!A:N,14,0)</f>
        <v>561114.06999999995</v>
      </c>
      <c r="M43" s="174">
        <v>46211</v>
      </c>
      <c r="N43" s="162"/>
    </row>
    <row r="44" spans="2:14" x14ac:dyDescent="0.25">
      <c r="B44" s="162" t="s">
        <v>28</v>
      </c>
      <c r="C44" s="162" t="s">
        <v>19</v>
      </c>
      <c r="D44" s="162" t="s">
        <v>408</v>
      </c>
      <c r="E44" s="162">
        <v>1</v>
      </c>
      <c r="F44" s="162" t="str">
        <f>VLOOKUP(D44,'M_LC Summary'!A:C,3,0)</f>
        <v>Ideal Caliber Company</v>
      </c>
      <c r="G44" s="162" t="str">
        <f>VLOOKUP(D44,'M_LC Summary'!A:D,4,0)</f>
        <v>FIRST FIX</v>
      </c>
      <c r="H44" s="162" t="str">
        <f>VLOOKUP(D44,'M_LC Summary'!A:E,5,0)</f>
        <v>MP1</v>
      </c>
      <c r="I44" s="157">
        <f>VLOOKUP(D44,'M_LC Summary'!A:K,11,0)</f>
        <v>150000</v>
      </c>
      <c r="J44" s="157">
        <f>VLOOKUP(D44,'M_LC Summary'!A:L,12,0)</f>
        <v>0</v>
      </c>
      <c r="K44" s="157">
        <f>SUMIFS('PT_Due Date_Bankwise'!G:G,'PT_Due Date_Bankwise'!D:D,'V_Due Date_Bankwise'!D44,'PT_Due Date_Bankwise'!E:E,'V_Due Date_Bankwise'!E44)</f>
        <v>150000</v>
      </c>
      <c r="L44" s="157">
        <f>VLOOKUP(D44,'M_LC Summary'!A:N,14,0)</f>
        <v>0</v>
      </c>
      <c r="M44" s="174">
        <v>46215</v>
      </c>
      <c r="N44" s="162"/>
    </row>
    <row r="45" spans="2:14" x14ac:dyDescent="0.25">
      <c r="B45" s="162" t="s">
        <v>28</v>
      </c>
      <c r="C45" s="162" t="s">
        <v>19</v>
      </c>
      <c r="D45" s="162" t="s">
        <v>377</v>
      </c>
      <c r="E45" s="162">
        <v>3</v>
      </c>
      <c r="F45" s="162" t="str">
        <f>VLOOKUP(D45,'M_LC Summary'!A:C,3,0)</f>
        <v>The Fundamental Installation For Electric Work Co</v>
      </c>
      <c r="G45" s="162" t="str">
        <f>VLOOKUP(D45,'M_LC Summary'!A:D,4,0)</f>
        <v>FIRST FIX</v>
      </c>
      <c r="H45" s="162" t="str">
        <f>VLOOKUP(D45,'M_LC Summary'!A:E,5,0)</f>
        <v>MP1</v>
      </c>
      <c r="I45" s="157">
        <f>VLOOKUP(D45,'M_LC Summary'!A:K,11,0)</f>
        <v>14000000</v>
      </c>
      <c r="J45" s="157">
        <f>VLOOKUP(D45,'M_LC Summary'!A:L,12,0)</f>
        <v>10000000</v>
      </c>
      <c r="K45" s="157">
        <f>SUMIFS('PT_Due Date_Bankwise'!G:G,'PT_Due Date_Bankwise'!D:D,'V_Due Date_Bankwise'!D45,'PT_Due Date_Bankwise'!E:E,'V_Due Date_Bankwise'!E45)</f>
        <v>4000000</v>
      </c>
      <c r="L45" s="157">
        <f>VLOOKUP(D45,'M_LC Summary'!A:N,14,0)</f>
        <v>0</v>
      </c>
      <c r="M45" s="174">
        <v>46216</v>
      </c>
      <c r="N45" s="162"/>
    </row>
    <row r="46" spans="2:14" x14ac:dyDescent="0.25">
      <c r="B46" s="162" t="s">
        <v>28</v>
      </c>
      <c r="C46" s="162" t="s">
        <v>19</v>
      </c>
      <c r="D46" s="162" t="s">
        <v>362</v>
      </c>
      <c r="E46" s="162">
        <v>2</v>
      </c>
      <c r="F46" s="162" t="str">
        <f>VLOOKUP(D46,'M_LC Summary'!A:C,3,0)</f>
        <v>Ajzal United for Safety CO.LTD.</v>
      </c>
      <c r="G46" s="162" t="str">
        <f>VLOOKUP(D46,'M_LC Summary'!A:D,4,0)</f>
        <v>FIRST FIX</v>
      </c>
      <c r="H46" s="162" t="str">
        <f>VLOOKUP(D46,'M_LC Summary'!A:E,5,0)</f>
        <v>MP1</v>
      </c>
      <c r="I46" s="157">
        <v>0</v>
      </c>
      <c r="J46" s="157">
        <v>0</v>
      </c>
      <c r="K46" s="157">
        <f>SUMIFS('PT_Due Date_Bankwise'!G:G,'PT_Due Date_Bankwise'!D:D,'V_Due Date_Bankwise'!D46,'PT_Due Date_Bankwise'!E:E,'V_Due Date_Bankwise'!E46)</f>
        <v>317042.21000000002</v>
      </c>
      <c r="L46" s="157">
        <v>0</v>
      </c>
      <c r="M46" s="174">
        <v>46217</v>
      </c>
      <c r="N46" s="162"/>
    </row>
    <row r="47" spans="2:14" x14ac:dyDescent="0.25">
      <c r="B47" s="162" t="s">
        <v>28</v>
      </c>
      <c r="C47" s="162" t="s">
        <v>19</v>
      </c>
      <c r="D47" s="162" t="s">
        <v>413</v>
      </c>
      <c r="E47" s="162">
        <v>1</v>
      </c>
      <c r="F47" s="162" t="str">
        <f>VLOOKUP(D47,'M_LC Summary'!A:C,3,0)</f>
        <v>National Fire Fighting Manufacturing Fzco Br.</v>
      </c>
      <c r="G47" s="162" t="str">
        <f>VLOOKUP(D47,'M_LC Summary'!A:D,4,0)</f>
        <v>FIRST FIX</v>
      </c>
      <c r="H47" s="162" t="str">
        <f>VLOOKUP(D47,'M_LC Summary'!A:E,5,0)</f>
        <v>MP1</v>
      </c>
      <c r="I47" s="157">
        <f>VLOOKUP(D47,'M_LC Summary'!A:K,11,0)</f>
        <v>500000</v>
      </c>
      <c r="J47" s="157">
        <f>VLOOKUP(D47,'M_LC Summary'!A:L,12,0)</f>
        <v>0</v>
      </c>
      <c r="K47" s="157">
        <f>SUMIFS('PT_Due Date_Bankwise'!G:G,'PT_Due Date_Bankwise'!D:D,'V_Due Date_Bankwise'!D47,'PT_Due Date_Bankwise'!E:E,'V_Due Date_Bankwise'!E47)</f>
        <v>500000</v>
      </c>
      <c r="L47" s="157">
        <f>VLOOKUP(D47,'M_LC Summary'!A:N,14,0)</f>
        <v>0</v>
      </c>
      <c r="M47" s="174">
        <v>46217</v>
      </c>
      <c r="N47" s="162"/>
    </row>
    <row r="48" spans="2:14" x14ac:dyDescent="0.25">
      <c r="B48" s="162" t="s">
        <v>28</v>
      </c>
      <c r="C48" s="162" t="s">
        <v>19</v>
      </c>
      <c r="D48" s="162" t="s">
        <v>400</v>
      </c>
      <c r="E48" s="162">
        <v>1</v>
      </c>
      <c r="F48" s="162" t="str">
        <f>VLOOKUP(D48,'M_LC Summary'!A:C,3,0)</f>
        <v>Al Maymanah For Contracting Co. Ltd.</v>
      </c>
      <c r="G48" s="162" t="str">
        <f>VLOOKUP(D48,'M_LC Summary'!A:D,4,0)</f>
        <v>FIRST FIX</v>
      </c>
      <c r="H48" s="162" t="str">
        <f>VLOOKUP(D48,'M_LC Summary'!A:E,5,0)</f>
        <v>MP1</v>
      </c>
      <c r="I48" s="157">
        <f>VLOOKUP(D48,'M_LC Summary'!A:K,11,0)</f>
        <v>500000</v>
      </c>
      <c r="J48" s="157">
        <f>VLOOKUP(D48,'M_LC Summary'!A:L,12,0)</f>
        <v>0</v>
      </c>
      <c r="K48" s="157">
        <f>SUMIFS('PT_Due Date_Bankwise'!G:G,'PT_Due Date_Bankwise'!D:D,'V_Due Date_Bankwise'!D48,'PT_Due Date_Bankwise'!E:E,'V_Due Date_Bankwise'!E48)</f>
        <v>500000</v>
      </c>
      <c r="L48" s="157">
        <f>VLOOKUP(D48,'M_LC Summary'!A:N,14,0)</f>
        <v>0</v>
      </c>
      <c r="M48" s="174">
        <v>46217</v>
      </c>
      <c r="N48" s="162"/>
    </row>
    <row r="49" spans="2:14" x14ac:dyDescent="0.25">
      <c r="B49" s="162" t="s">
        <v>28</v>
      </c>
      <c r="C49" s="162" t="s">
        <v>19</v>
      </c>
      <c r="D49" s="162" t="s">
        <v>228</v>
      </c>
      <c r="E49" s="162">
        <v>2</v>
      </c>
      <c r="F49" s="162" t="str">
        <f>VLOOKUP(D49,'M_LC Summary'!A:C,3,0)</f>
        <v>BAHRA ADVANCED CABLE MANUFACTURE CO. LTD.</v>
      </c>
      <c r="G49" s="162" t="str">
        <f>VLOOKUP(D49,'M_LC Summary'!A:D,4,0)</f>
        <v>FIRST FIX</v>
      </c>
      <c r="H49" s="162" t="str">
        <f>VLOOKUP(D49,'M_LC Summary'!A:E,5,0)</f>
        <v>MP1</v>
      </c>
      <c r="I49" s="157">
        <f>VLOOKUP(D49,'M_LC Summary'!A:K,11,0)</f>
        <v>1500000</v>
      </c>
      <c r="J49" s="157">
        <f>VLOOKUP(D49,'M_LC Summary'!A:L,12,0)</f>
        <v>1071489.43</v>
      </c>
      <c r="K49" s="157">
        <f>SUMIFS('PT_Due Date_Bankwise'!G:G,'PT_Due Date_Bankwise'!D:D,'V_Due Date_Bankwise'!D49,'PT_Due Date_Bankwise'!E:E,'V_Due Date_Bankwise'!E49)</f>
        <v>427806.8</v>
      </c>
      <c r="L49" s="157">
        <f>VLOOKUP(D49,'M_LC Summary'!A:N,14,0)</f>
        <v>703.77</v>
      </c>
      <c r="M49" s="174">
        <v>46219</v>
      </c>
      <c r="N49" s="162"/>
    </row>
    <row r="50" spans="2:14" x14ac:dyDescent="0.25">
      <c r="B50" s="162" t="s">
        <v>28</v>
      </c>
      <c r="C50" s="162" t="s">
        <v>19</v>
      </c>
      <c r="D50" s="162" t="s">
        <v>412</v>
      </c>
      <c r="E50" s="162">
        <v>1</v>
      </c>
      <c r="F50" s="162" t="str">
        <f>VLOOKUP(D50,'M_LC Summary'!A:C,3,0)</f>
        <v>Mohamad Saeed Afifi Trading Est.</v>
      </c>
      <c r="G50" s="162" t="str">
        <f>VLOOKUP(D50,'M_LC Summary'!A:D,4,0)</f>
        <v>FIRST FIX</v>
      </c>
      <c r="H50" s="162" t="str">
        <f>VLOOKUP(D50,'M_LC Summary'!A:E,5,0)</f>
        <v>MP1</v>
      </c>
      <c r="I50" s="157">
        <f>VLOOKUP(D50,'M_LC Summary'!A:K,11,0)</f>
        <v>450000</v>
      </c>
      <c r="J50" s="157">
        <f>VLOOKUP(D50,'M_LC Summary'!A:L,12,0)</f>
        <v>0</v>
      </c>
      <c r="K50" s="157">
        <f>SUMIFS('PT_Due Date_Bankwise'!G:G,'PT_Due Date_Bankwise'!D:D,'V_Due Date_Bankwise'!D50,'PT_Due Date_Bankwise'!E:E,'V_Due Date_Bankwise'!E50)</f>
        <v>312768.11</v>
      </c>
      <c r="L50" s="157">
        <f>VLOOKUP(D50,'M_LC Summary'!A:N,14,0)</f>
        <v>137231.89000000001</v>
      </c>
      <c r="M50" s="174">
        <v>46222</v>
      </c>
      <c r="N50" s="162"/>
    </row>
    <row r="51" spans="2:14" x14ac:dyDescent="0.25">
      <c r="B51" s="162" t="s">
        <v>28</v>
      </c>
      <c r="C51" s="162" t="s">
        <v>19</v>
      </c>
      <c r="D51" s="162" t="s">
        <v>399</v>
      </c>
      <c r="E51" s="162">
        <v>1</v>
      </c>
      <c r="F51" s="162" t="str">
        <f>VLOOKUP(D51,'M_LC Summary'!A:C,3,0)</f>
        <v>Aknan Alkhair Tranding Est</v>
      </c>
      <c r="G51" s="162" t="str">
        <f>VLOOKUP(D51,'M_LC Summary'!A:D,4,0)</f>
        <v>FIRST FIX</v>
      </c>
      <c r="H51" s="162" t="str">
        <f>VLOOKUP(D51,'M_LC Summary'!A:E,5,0)</f>
        <v>MP1</v>
      </c>
      <c r="I51" s="157">
        <f>VLOOKUP(D51,'M_LC Summary'!A:K,11,0)</f>
        <v>125000</v>
      </c>
      <c r="J51" s="157">
        <f>VLOOKUP(D51,'M_LC Summary'!A:L,12,0)</f>
        <v>0</v>
      </c>
      <c r="K51" s="157">
        <f>SUMIFS('PT_Due Date_Bankwise'!G:G,'PT_Due Date_Bankwise'!D:D,'V_Due Date_Bankwise'!D51,'PT_Due Date_Bankwise'!E:E,'V_Due Date_Bankwise'!E51)</f>
        <v>125000</v>
      </c>
      <c r="L51" s="157">
        <f>VLOOKUP(D51,'M_LC Summary'!A:N,14,0)</f>
        <v>0</v>
      </c>
      <c r="M51" s="174">
        <v>46222</v>
      </c>
      <c r="N51" s="162"/>
    </row>
    <row r="52" spans="2:14" x14ac:dyDescent="0.25">
      <c r="B52" s="162" t="s">
        <v>28</v>
      </c>
      <c r="C52" s="162" t="s">
        <v>19</v>
      </c>
      <c r="D52" s="162" t="s">
        <v>416</v>
      </c>
      <c r="E52" s="162">
        <v>1</v>
      </c>
      <c r="F52" s="162" t="str">
        <f>VLOOKUP(D52,'M_LC Summary'!A:C,3,0)</f>
        <v>Saudi Electric Supply Company</v>
      </c>
      <c r="G52" s="162" t="str">
        <f>VLOOKUP(D52,'M_LC Summary'!A:D,4,0)</f>
        <v>FIRST FIX</v>
      </c>
      <c r="H52" s="162" t="str">
        <f>VLOOKUP(D52,'M_LC Summary'!A:E,5,0)</f>
        <v>MP1</v>
      </c>
      <c r="I52" s="157">
        <f>VLOOKUP(D52,'M_LC Summary'!A:K,11,0)</f>
        <v>1000000</v>
      </c>
      <c r="J52" s="157">
        <f>VLOOKUP(D52,'M_LC Summary'!A:L,12,0)</f>
        <v>0</v>
      </c>
      <c r="K52" s="157">
        <f>SUMIFS('PT_Due Date_Bankwise'!G:G,'PT_Due Date_Bankwise'!D:D,'V_Due Date_Bankwise'!D52,'PT_Due Date_Bankwise'!E:E,'V_Due Date_Bankwise'!E52)</f>
        <v>1000000</v>
      </c>
      <c r="L52" s="157">
        <f>VLOOKUP(D52,'M_LC Summary'!A:N,14,0)</f>
        <v>0</v>
      </c>
      <c r="M52" s="174">
        <v>46222</v>
      </c>
      <c r="N52" s="162"/>
    </row>
    <row r="53" spans="2:14" x14ac:dyDescent="0.25">
      <c r="B53" s="162" t="s">
        <v>28</v>
      </c>
      <c r="C53" s="162" t="s">
        <v>19</v>
      </c>
      <c r="D53" s="162" t="s">
        <v>248</v>
      </c>
      <c r="E53" s="162">
        <v>2</v>
      </c>
      <c r="F53" s="162" t="str">
        <f>VLOOKUP(D53,'M_LC Summary'!A:C,3,0)</f>
        <v>TAWREED INTEGRATED INDUSTRIES</v>
      </c>
      <c r="G53" s="162" t="str">
        <f>VLOOKUP(D53,'M_LC Summary'!A:D,4,0)</f>
        <v>FIRST FIX</v>
      </c>
      <c r="H53" s="162" t="str">
        <f>VLOOKUP(D53,'M_LC Summary'!A:E,5,0)</f>
        <v>MP1</v>
      </c>
      <c r="I53" s="157">
        <f>VLOOKUP(D53,'M_LC Summary'!A:K,11,0)</f>
        <v>500000</v>
      </c>
      <c r="J53" s="157">
        <f>VLOOKUP(D53,'M_LC Summary'!A:L,12,0)</f>
        <v>336122.53</v>
      </c>
      <c r="K53" s="157">
        <f>SUMIFS('PT_Due Date_Bankwise'!G:G,'PT_Due Date_Bankwise'!D:D,'V_Due Date_Bankwise'!D53,'PT_Due Date_Bankwise'!E:E,'V_Due Date_Bankwise'!E53)</f>
        <v>99498</v>
      </c>
      <c r="L53" s="157">
        <f>VLOOKUP(D53,'M_LC Summary'!A:N,14,0)</f>
        <v>64379.47</v>
      </c>
      <c r="M53" s="174">
        <v>46230</v>
      </c>
      <c r="N53" s="162"/>
    </row>
    <row r="54" spans="2:14" x14ac:dyDescent="0.25">
      <c r="B54" s="162" t="s">
        <v>28</v>
      </c>
      <c r="C54" s="162" t="s">
        <v>19</v>
      </c>
      <c r="D54" s="162" t="s">
        <v>402</v>
      </c>
      <c r="E54" s="162">
        <v>1</v>
      </c>
      <c r="F54" s="162" t="str">
        <f>VLOOKUP(D54,'M_LC Summary'!A:C,3,0)</f>
        <v>Atiaf International Trading Company</v>
      </c>
      <c r="G54" s="162" t="str">
        <f>VLOOKUP(D54,'M_LC Summary'!A:D,4,0)</f>
        <v>FIRST FIX</v>
      </c>
      <c r="H54" s="162" t="str">
        <f>VLOOKUP(D54,'M_LC Summary'!A:E,5,0)</f>
        <v>MP1</v>
      </c>
      <c r="I54" s="157">
        <f>VLOOKUP(D54,'M_LC Summary'!A:K,11,0)</f>
        <v>150000</v>
      </c>
      <c r="J54" s="157">
        <f>VLOOKUP(D54,'M_LC Summary'!A:L,12,0)</f>
        <v>0</v>
      </c>
      <c r="K54" s="157">
        <f>SUMIFS('PT_Due Date_Bankwise'!G:G,'PT_Due Date_Bankwise'!D:D,'V_Due Date_Bankwise'!D54,'PT_Due Date_Bankwise'!E:E,'V_Due Date_Bankwise'!E54)</f>
        <v>93855.09</v>
      </c>
      <c r="L54" s="157">
        <f>VLOOKUP(D54,'M_LC Summary'!A:N,14,0)</f>
        <v>56144.91</v>
      </c>
      <c r="M54" s="174">
        <v>46235</v>
      </c>
      <c r="N54" s="162"/>
    </row>
    <row r="55" spans="2:14" x14ac:dyDescent="0.25">
      <c r="B55" s="162" t="s">
        <v>28</v>
      </c>
      <c r="C55" s="162" t="s">
        <v>19</v>
      </c>
      <c r="D55" s="162" t="s">
        <v>317</v>
      </c>
      <c r="E55" s="162">
        <v>1</v>
      </c>
      <c r="F55" s="162" t="str">
        <f>VLOOKUP(D55,'M_LC Summary'!A:C,3,0)</f>
        <v>BAHRA ADVANCED CABLE MANUFACTURE CO. LTD</v>
      </c>
      <c r="G55" s="162" t="str">
        <f>VLOOKUP(D55,'M_LC Summary'!A:D,4,0)</f>
        <v>FIRST FIX</v>
      </c>
      <c r="H55" s="162" t="str">
        <f>VLOOKUP(D55,'M_LC Summary'!A:E,5,0)</f>
        <v>MP1</v>
      </c>
      <c r="I55" s="157">
        <f>VLOOKUP(D55,'M_LC Summary'!A:K,11,0)</f>
        <v>1500000</v>
      </c>
      <c r="J55" s="157">
        <f>VLOOKUP(D55,'M_LC Summary'!A:L,12,0)</f>
        <v>0</v>
      </c>
      <c r="K55" s="157">
        <f>SUMIFS('PT_Due Date_Bankwise'!G:G,'PT_Due Date_Bankwise'!D:D,'V_Due Date_Bankwise'!D55,'PT_Due Date_Bankwise'!E:E,'V_Due Date_Bankwise'!E55)</f>
        <v>1377731.72</v>
      </c>
      <c r="L55" s="157">
        <f>VLOOKUP(D55,'M_LC Summary'!A:N,14,0)</f>
        <v>122268.28</v>
      </c>
      <c r="M55" s="174">
        <v>46236</v>
      </c>
      <c r="N55" s="162"/>
    </row>
    <row r="56" spans="2:14" x14ac:dyDescent="0.25">
      <c r="B56" s="162" t="s">
        <v>28</v>
      </c>
      <c r="C56" s="162" t="s">
        <v>19</v>
      </c>
      <c r="D56" s="162" t="s">
        <v>319</v>
      </c>
      <c r="E56" s="162">
        <v>1</v>
      </c>
      <c r="F56" s="162" t="str">
        <f>VLOOKUP(D56,'M_LC Summary'!A:C,3,0)</f>
        <v>Mimar for Construction Tools &amp; Trading Ltd.</v>
      </c>
      <c r="G56" s="162" t="str">
        <f>VLOOKUP(D56,'M_LC Summary'!A:D,4,0)</f>
        <v>FIRST FIX</v>
      </c>
      <c r="H56" s="162" t="str">
        <f>VLOOKUP(D56,'M_LC Summary'!A:E,5,0)</f>
        <v>MP1</v>
      </c>
      <c r="I56" s="157">
        <f>VLOOKUP(D56,'M_LC Summary'!A:K,11,0)</f>
        <v>900000</v>
      </c>
      <c r="J56" s="157">
        <f>VLOOKUP(D56,'M_LC Summary'!A:L,12,0)</f>
        <v>0</v>
      </c>
      <c r="K56" s="157">
        <f>SUMIFS('PT_Due Date_Bankwise'!G:G,'PT_Due Date_Bankwise'!D:D,'V_Due Date_Bankwise'!D56,'PT_Due Date_Bankwise'!E:E,'V_Due Date_Bankwise'!E56)</f>
        <v>900000</v>
      </c>
      <c r="L56" s="157">
        <f>VLOOKUP(D56,'M_LC Summary'!A:N,14,0)</f>
        <v>0</v>
      </c>
      <c r="M56" s="174">
        <v>46236</v>
      </c>
      <c r="N56" s="162"/>
    </row>
    <row r="57" spans="2:14" x14ac:dyDescent="0.25">
      <c r="B57" s="162" t="s">
        <v>28</v>
      </c>
      <c r="C57" s="162" t="s">
        <v>19</v>
      </c>
      <c r="D57" s="162" t="s">
        <v>376</v>
      </c>
      <c r="E57" s="162">
        <v>1</v>
      </c>
      <c r="F57" s="162" t="str">
        <f>VLOOKUP(D57,'M_LC Summary'!A:C,3,0)</f>
        <v>Innovative Contractors for Advanced Dimension (ICAD)</v>
      </c>
      <c r="G57" s="162" t="str">
        <f>VLOOKUP(D57,'M_LC Summary'!A:D,4,0)</f>
        <v>MBL</v>
      </c>
      <c r="H57" s="162" t="str">
        <f>VLOOKUP(D57,'M_LC Summary'!A:E,5,0)</f>
        <v>CEER</v>
      </c>
      <c r="I57" s="157">
        <f>VLOOKUP(D57,'M_LC Summary'!A:K,11,0)</f>
        <v>10000000</v>
      </c>
      <c r="J57" s="157">
        <f>VLOOKUP(D57,'M_LC Summary'!A:L,12,0)</f>
        <v>0</v>
      </c>
      <c r="K57" s="157">
        <f>SUMIFS('PT_Due Date_Bankwise'!G:G,'PT_Due Date_Bankwise'!D:D,'V_Due Date_Bankwise'!D57,'PT_Due Date_Bankwise'!E:E,'V_Due Date_Bankwise'!E57)</f>
        <v>10000000</v>
      </c>
      <c r="L57" s="157">
        <f>VLOOKUP(D57,'M_LC Summary'!A:N,14,0)</f>
        <v>0</v>
      </c>
      <c r="M57" s="174">
        <v>46236</v>
      </c>
      <c r="N57" s="162"/>
    </row>
    <row r="58" spans="2:14" x14ac:dyDescent="0.25">
      <c r="B58" s="162" t="s">
        <v>28</v>
      </c>
      <c r="C58" s="162" t="s">
        <v>19</v>
      </c>
      <c r="D58" s="162" t="s">
        <v>241</v>
      </c>
      <c r="E58" s="162">
        <v>2</v>
      </c>
      <c r="F58" s="162" t="str">
        <f>VLOOKUP(D58,'M_LC Summary'!A:C,3,0)</f>
        <v>BROOQ ALAMAAN TRAD COMPANY</v>
      </c>
      <c r="G58" s="162" t="str">
        <f>VLOOKUP(D58,'M_LC Summary'!A:D,4,0)</f>
        <v>FIRST FIX</v>
      </c>
      <c r="H58" s="162" t="str">
        <f>VLOOKUP(D58,'M_LC Summary'!A:E,5,0)</f>
        <v>MP1</v>
      </c>
      <c r="I58" s="157">
        <f>VLOOKUP(D58,'M_LC Summary'!A:K,11,0)</f>
        <v>400000</v>
      </c>
      <c r="J58" s="157">
        <f>VLOOKUP(D58,'M_LC Summary'!A:L,12,0)</f>
        <v>347240.48</v>
      </c>
      <c r="K58" s="157">
        <f>SUMIFS('PT_Due Date_Bankwise'!G:G,'PT_Due Date_Bankwise'!D:D,'V_Due Date_Bankwise'!D58,'PT_Due Date_Bankwise'!E:E,'V_Due Date_Bankwise'!E58)</f>
        <v>52759.519999999997</v>
      </c>
      <c r="L58" s="157">
        <f>VLOOKUP(D58,'M_LC Summary'!A:N,14,0)</f>
        <v>0</v>
      </c>
      <c r="M58" s="174">
        <v>46237</v>
      </c>
      <c r="N58" s="162"/>
    </row>
    <row r="59" spans="2:14" x14ac:dyDescent="0.25">
      <c r="B59" s="162" t="s">
        <v>28</v>
      </c>
      <c r="C59" s="162" t="s">
        <v>19</v>
      </c>
      <c r="D59" s="162" t="s">
        <v>411</v>
      </c>
      <c r="E59" s="162">
        <v>1</v>
      </c>
      <c r="F59" s="162" t="str">
        <f>VLOOKUP(D59,'M_LC Summary'!A:C,3,0)</f>
        <v>Masdar Technical Supplies Co.</v>
      </c>
      <c r="G59" s="162" t="str">
        <f>VLOOKUP(D59,'M_LC Summary'!A:D,4,0)</f>
        <v>FIRST FIX</v>
      </c>
      <c r="H59" s="162" t="str">
        <f>VLOOKUP(D59,'M_LC Summary'!A:E,5,0)</f>
        <v>MP1</v>
      </c>
      <c r="I59" s="157">
        <f>VLOOKUP(D59,'M_LC Summary'!A:K,11,0)</f>
        <v>200000</v>
      </c>
      <c r="J59" s="157">
        <f>VLOOKUP(D59,'M_LC Summary'!A:L,12,0)</f>
        <v>0</v>
      </c>
      <c r="K59" s="157">
        <f>SUMIFS('PT_Due Date_Bankwise'!G:G,'PT_Due Date_Bankwise'!D:D,'V_Due Date_Bankwise'!D59,'PT_Due Date_Bankwise'!E:E,'V_Due Date_Bankwise'!E59)</f>
        <v>200000</v>
      </c>
      <c r="L59" s="157">
        <f>VLOOKUP(D59,'M_LC Summary'!A:N,14,0)</f>
        <v>0</v>
      </c>
      <c r="M59" s="174">
        <v>46245</v>
      </c>
      <c r="N59" s="162"/>
    </row>
    <row r="60" spans="2:14" x14ac:dyDescent="0.25">
      <c r="B60" s="162" t="s">
        <v>28</v>
      </c>
      <c r="C60" s="162" t="s">
        <v>19</v>
      </c>
      <c r="D60" s="162" t="s">
        <v>264</v>
      </c>
      <c r="E60" s="162">
        <v>2</v>
      </c>
      <c r="F60" s="162" t="str">
        <f>VLOOKUP(D60,'M_LC Summary'!A:C,3,0)</f>
        <v xml:space="preserve">Daikin Air Conditioning Saudi Arabia </v>
      </c>
      <c r="G60" s="162" t="str">
        <f>VLOOKUP(D60,'M_LC Summary'!A:D,4,0)</f>
        <v>FIRST FIX</v>
      </c>
      <c r="H60" s="162" t="str">
        <f>VLOOKUP(D60,'M_LC Summary'!A:E,5,0)</f>
        <v>MP1</v>
      </c>
      <c r="I60" s="157">
        <v>0</v>
      </c>
      <c r="J60" s="157">
        <v>0</v>
      </c>
      <c r="K60" s="157">
        <f>SUMIFS('PT_Due Date_Bankwise'!G:G,'PT_Due Date_Bankwise'!D:D,'V_Due Date_Bankwise'!D60,'PT_Due Date_Bankwise'!E:E,'V_Due Date_Bankwise'!E60)</f>
        <v>278905.67</v>
      </c>
      <c r="L60" s="157">
        <v>0</v>
      </c>
      <c r="M60" s="174">
        <v>46258</v>
      </c>
      <c r="N60" s="162"/>
    </row>
    <row r="61" spans="2:14" x14ac:dyDescent="0.25">
      <c r="B61" s="162" t="s">
        <v>28</v>
      </c>
      <c r="C61" s="162" t="s">
        <v>19</v>
      </c>
      <c r="D61" s="162" t="s">
        <v>314</v>
      </c>
      <c r="E61" s="162">
        <v>1</v>
      </c>
      <c r="F61" s="162" t="str">
        <f>VLOOKUP(D61,'M_LC Summary'!A:C,3,0)</f>
        <v>Arabian International Company For Contracting</v>
      </c>
      <c r="G61" s="162" t="str">
        <f>VLOOKUP(D61,'M_LC Summary'!A:D,4,0)</f>
        <v>FIRST FIX</v>
      </c>
      <c r="H61" s="162" t="str">
        <f>VLOOKUP(D61,'M_LC Summary'!A:E,5,0)</f>
        <v>MP1</v>
      </c>
      <c r="I61" s="157">
        <f>VLOOKUP(D61,'M_LC Summary'!A:K,11,0)</f>
        <v>900000</v>
      </c>
      <c r="J61" s="157">
        <f>VLOOKUP(D61,'M_LC Summary'!A:L,12,0)</f>
        <v>0</v>
      </c>
      <c r="K61" s="157">
        <f>SUMIFS('PT_Due Date_Bankwise'!G:G,'PT_Due Date_Bankwise'!D:D,'V_Due Date_Bankwise'!D61,'PT_Due Date_Bankwise'!E:E,'V_Due Date_Bankwise'!E61)</f>
        <v>900000</v>
      </c>
      <c r="L61" s="157">
        <f>VLOOKUP(D61,'M_LC Summary'!A:N,14,0)</f>
        <v>0</v>
      </c>
      <c r="M61" s="174">
        <v>46264</v>
      </c>
      <c r="N61" s="162"/>
    </row>
    <row r="62" spans="2:14" x14ac:dyDescent="0.25">
      <c r="B62" s="162" t="s">
        <v>28</v>
      </c>
      <c r="C62" s="162" t="s">
        <v>19</v>
      </c>
      <c r="D62" s="162" t="s">
        <v>316</v>
      </c>
      <c r="E62" s="162">
        <v>1</v>
      </c>
      <c r="F62" s="162" t="str">
        <f>VLOOKUP(D62,'M_LC Summary'!A:C,3,0)</f>
        <v>Masdar Technical Supplies Co.</v>
      </c>
      <c r="G62" s="162" t="str">
        <f>VLOOKUP(D62,'M_LC Summary'!A:D,4,0)</f>
        <v>FIRST FIX</v>
      </c>
      <c r="H62" s="162" t="str">
        <f>VLOOKUP(D62,'M_LC Summary'!A:E,5,0)</f>
        <v>MP1</v>
      </c>
      <c r="I62" s="157">
        <f>VLOOKUP(D62,'M_LC Summary'!A:K,11,0)</f>
        <v>500000</v>
      </c>
      <c r="J62" s="157">
        <f>VLOOKUP(D62,'M_LC Summary'!A:L,12,0)</f>
        <v>0</v>
      </c>
      <c r="K62" s="157">
        <f>SUMIFS('PT_Due Date_Bankwise'!G:G,'PT_Due Date_Bankwise'!D:D,'V_Due Date_Bankwise'!D62,'PT_Due Date_Bankwise'!E:E,'V_Due Date_Bankwise'!E62)</f>
        <v>500000</v>
      </c>
      <c r="L62" s="157">
        <f>VLOOKUP(D62,'M_LC Summary'!A:N,14,0)</f>
        <v>0</v>
      </c>
      <c r="M62" s="174">
        <v>46264</v>
      </c>
      <c r="N62" s="162"/>
    </row>
    <row r="63" spans="2:14" x14ac:dyDescent="0.25">
      <c r="B63" s="162" t="s">
        <v>28</v>
      </c>
      <c r="C63" s="162" t="s">
        <v>19</v>
      </c>
      <c r="D63" s="162" t="s">
        <v>410</v>
      </c>
      <c r="E63" s="162">
        <v>1</v>
      </c>
      <c r="F63" s="162" t="str">
        <f>VLOOKUP(D63,'M_LC Summary'!A:C,3,0)</f>
        <v>Khereiji Showrooms Co.</v>
      </c>
      <c r="G63" s="162" t="str">
        <f>VLOOKUP(D63,'M_LC Summary'!A:D,4,0)</f>
        <v>FIRST FIX</v>
      </c>
      <c r="H63" s="162" t="str">
        <f>VLOOKUP(D63,'M_LC Summary'!A:E,5,0)</f>
        <v>MP1</v>
      </c>
      <c r="I63" s="157">
        <f>VLOOKUP(D63,'M_LC Summary'!A:K,11,0)</f>
        <v>300000.73</v>
      </c>
      <c r="J63" s="157">
        <f>VLOOKUP(D63,'M_LC Summary'!A:L,12,0)</f>
        <v>0</v>
      </c>
      <c r="K63" s="157">
        <f>SUMIFS('PT_Due Date_Bankwise'!G:G,'PT_Due Date_Bankwise'!D:D,'V_Due Date_Bankwise'!D63,'PT_Due Date_Bankwise'!E:E,'V_Due Date_Bankwise'!E63)</f>
        <v>299758.8</v>
      </c>
      <c r="L63" s="157">
        <f>VLOOKUP(D63,'M_LC Summary'!A:N,14,0)</f>
        <v>241.93</v>
      </c>
      <c r="M63" s="174">
        <v>46264</v>
      </c>
      <c r="N63" s="162"/>
    </row>
    <row r="64" spans="2:14" x14ac:dyDescent="0.25">
      <c r="B64" s="162" t="s">
        <v>28</v>
      </c>
      <c r="C64" s="162" t="s">
        <v>19</v>
      </c>
      <c r="D64" s="162" t="s">
        <v>406</v>
      </c>
      <c r="E64" s="162">
        <v>1</v>
      </c>
      <c r="F64" s="162" t="str">
        <f>VLOOKUP(D64,'M_LC Summary'!A:C,3,0)</f>
        <v>Elsewedy Cables Co. Limited</v>
      </c>
      <c r="G64" s="162" t="str">
        <f>VLOOKUP(D64,'M_LC Summary'!A:D,4,0)</f>
        <v>FIRST FIX</v>
      </c>
      <c r="H64" s="162" t="str">
        <f>VLOOKUP(D64,'M_LC Summary'!A:E,5,0)</f>
        <v>MP1</v>
      </c>
      <c r="I64" s="157">
        <f>VLOOKUP(D64,'M_LC Summary'!A:K,11,0)</f>
        <v>1000000</v>
      </c>
      <c r="J64" s="157">
        <f>VLOOKUP(D64,'M_LC Summary'!A:L,12,0)</f>
        <v>0</v>
      </c>
      <c r="K64" s="157">
        <f>SUMIFS('PT_Due Date_Bankwise'!G:G,'PT_Due Date_Bankwise'!D:D,'V_Due Date_Bankwise'!D64,'PT_Due Date_Bankwise'!E:E,'V_Due Date_Bankwise'!E64)</f>
        <v>995984.82</v>
      </c>
      <c r="L64" s="157">
        <f>VLOOKUP(D64,'M_LC Summary'!A:N,14,0)</f>
        <v>4015.18</v>
      </c>
      <c r="M64" s="174">
        <v>46264</v>
      </c>
      <c r="N64" s="162"/>
    </row>
    <row r="65" spans="2:14" x14ac:dyDescent="0.25">
      <c r="B65" s="162" t="s">
        <v>28</v>
      </c>
      <c r="C65" s="162" t="s">
        <v>19</v>
      </c>
      <c r="D65" s="162" t="s">
        <v>266</v>
      </c>
      <c r="E65" s="162">
        <v>1</v>
      </c>
      <c r="F65" s="162" t="str">
        <f>VLOOKUP(D65,'M_LC Summary'!A:C,3,0)</f>
        <v>Power Center Company for Industries LLC</v>
      </c>
      <c r="G65" s="162" t="str">
        <f>VLOOKUP(D65,'M_LC Summary'!A:D,4,0)</f>
        <v>FIRST FIX</v>
      </c>
      <c r="H65" s="162" t="str">
        <f>VLOOKUP(D65,'M_LC Summary'!A:E,5,0)</f>
        <v>MP1</v>
      </c>
      <c r="I65" s="157">
        <f>VLOOKUP(D65,'M_LC Summary'!A:K,11,0)</f>
        <v>4000000</v>
      </c>
      <c r="J65" s="157">
        <f>VLOOKUP(D65,'M_LC Summary'!A:L,12,0)</f>
        <v>0</v>
      </c>
      <c r="K65" s="157">
        <f>SUMIFS('PT_Due Date_Bankwise'!G:G,'PT_Due Date_Bankwise'!D:D,'V_Due Date_Bankwise'!D65,'PT_Due Date_Bankwise'!E:E,'V_Due Date_Bankwise'!E65)</f>
        <v>4000000</v>
      </c>
      <c r="L65" s="157">
        <f>VLOOKUP(D65,'M_LC Summary'!A:N,14,0)</f>
        <v>0</v>
      </c>
      <c r="M65" s="174">
        <v>46267</v>
      </c>
      <c r="N65" s="162"/>
    </row>
    <row r="66" spans="2:14" ht="15.75" thickBot="1" x14ac:dyDescent="0.3">
      <c r="B66" s="171" t="s">
        <v>28</v>
      </c>
      <c r="C66" s="171" t="s">
        <v>19</v>
      </c>
      <c r="D66" s="171" t="s">
        <v>223</v>
      </c>
      <c r="E66" s="171">
        <v>3</v>
      </c>
      <c r="F66" s="171" t="str">
        <f>VLOOKUP(D66,'M_LC Summary'!A:C,3,0)</f>
        <v>Sika Saudi Arabia Co. Ltd.</v>
      </c>
      <c r="G66" s="171" t="str">
        <f>VLOOKUP(D66,'M_LC Summary'!A:D,4,0)</f>
        <v>MBL</v>
      </c>
      <c r="H66" s="171" t="str">
        <f>VLOOKUP(D66,'M_LC Summary'!A:E,5,0)</f>
        <v>ABHA</v>
      </c>
      <c r="I66" s="158">
        <v>0</v>
      </c>
      <c r="J66" s="158">
        <v>0</v>
      </c>
      <c r="K66" s="158">
        <f>SUMIFS('PT_Due Date_Bankwise'!G:G,'PT_Due Date_Bankwise'!D:D,'V_Due Date_Bankwise'!D66,'PT_Due Date_Bankwise'!E:E,'V_Due Date_Bankwise'!E66)</f>
        <v>197064</v>
      </c>
      <c r="L66" s="158">
        <v>0</v>
      </c>
      <c r="M66" s="172">
        <v>46282</v>
      </c>
      <c r="N66" s="171"/>
    </row>
    <row r="67" spans="2:14" ht="15.75" thickBot="1" x14ac:dyDescent="0.3">
      <c r="B67" s="61"/>
      <c r="C67" s="60"/>
      <c r="D67" s="60"/>
      <c r="E67" s="60"/>
      <c r="F67" s="68" t="s">
        <v>28</v>
      </c>
      <c r="G67" s="68" t="s">
        <v>19</v>
      </c>
      <c r="H67" s="32" t="s">
        <v>54</v>
      </c>
      <c r="I67" s="64">
        <f>SUMIFS(I:I,$B:$B,$F$67,$C:$C,$G$67)</f>
        <v>45870703.609999999</v>
      </c>
      <c r="J67" s="64">
        <f>SUMIFS(J:J,$B:$B,$F$67,$C:$C,$G$67)</f>
        <v>13697156.93</v>
      </c>
      <c r="K67" s="64">
        <f>SUMIFS(K:K,$B:$B,$F$67,$C:$C,$G$67)</f>
        <v>30711831.630000003</v>
      </c>
      <c r="L67" s="64">
        <f>SUMIFS(L:L,$B:$B,$F$67,$C:$C,$G$67)</f>
        <v>1461715.0499999996</v>
      </c>
      <c r="M67" s="145"/>
      <c r="N67" s="144"/>
    </row>
    <row r="68" spans="2:14" x14ac:dyDescent="0.25">
      <c r="B68" s="173"/>
      <c r="C68" s="173"/>
      <c r="D68" s="173"/>
      <c r="E68" s="173"/>
      <c r="F68" s="177"/>
      <c r="G68" s="177"/>
      <c r="H68" s="178"/>
      <c r="I68" s="159"/>
      <c r="J68" s="159"/>
      <c r="K68" s="159"/>
      <c r="L68" s="159"/>
      <c r="M68" s="176"/>
      <c r="N68" s="173"/>
    </row>
    <row r="69" spans="2:14" x14ac:dyDescent="0.25">
      <c r="B69" s="162" t="s">
        <v>22</v>
      </c>
      <c r="C69" s="162" t="s">
        <v>19</v>
      </c>
      <c r="D69" s="162" t="s">
        <v>159</v>
      </c>
      <c r="E69" s="162">
        <v>7</v>
      </c>
      <c r="F69" s="162" t="str">
        <f>VLOOKUP(D69,'M_LC Summary'!A:C,3,0)</f>
        <v>BBH-CHEMTROL INTERNATIONAL ORGANIZATION S.L</v>
      </c>
      <c r="G69" s="162" t="str">
        <f>VLOOKUP(D69,'M_LC Summary'!A:D,4,0)</f>
        <v>MBL/ICAD</v>
      </c>
      <c r="H69" s="162" t="str">
        <f>VLOOKUP(D69,'M_LC Summary'!A:E,5,0)</f>
        <v>OPERA House</v>
      </c>
      <c r="I69" s="157">
        <f>VLOOKUP(D69,'M_LC Summary'!A:K,11,0)</f>
        <v>42588000</v>
      </c>
      <c r="J69" s="157">
        <f>VLOOKUP(D69,'M_LC Summary'!A:L,12,0)</f>
        <v>12335918.542009998</v>
      </c>
      <c r="K69" s="157">
        <f>SUMIFS('PT_Due Date_Bankwise'!G:G,'PT_Due Date_Bankwise'!D:D,'V_Due Date_Bankwise'!D69,'PT_Due Date_Bankwise'!E:E,'V_Due Date_Bankwise'!E69)</f>
        <v>4960446.9619200006</v>
      </c>
      <c r="L69" s="157">
        <f>VLOOKUP(D69,'M_LC Summary'!A:N,14,0)</f>
        <v>20724744.149999999</v>
      </c>
      <c r="M69" s="174">
        <v>46198</v>
      </c>
      <c r="N69" s="162"/>
    </row>
    <row r="70" spans="2:14" x14ac:dyDescent="0.25">
      <c r="B70" s="162" t="s">
        <v>22</v>
      </c>
      <c r="C70" s="162" t="s">
        <v>19</v>
      </c>
      <c r="D70" s="162" t="s">
        <v>159</v>
      </c>
      <c r="E70" s="162">
        <v>8</v>
      </c>
      <c r="F70" s="162" t="str">
        <f>VLOOKUP(D70,'M_LC Summary'!A:C,3,0)</f>
        <v>BBH-CHEMTROL INTERNATIONAL ORGANIZATION S.L</v>
      </c>
      <c r="G70" s="162" t="str">
        <f>VLOOKUP(D70,'M_LC Summary'!A:D,4,0)</f>
        <v>MBL/ICAD</v>
      </c>
      <c r="H70" s="162" t="str">
        <f>VLOOKUP(D70,'M_LC Summary'!A:E,5,0)</f>
        <v>OPERA House</v>
      </c>
      <c r="I70" s="157">
        <v>0</v>
      </c>
      <c r="J70" s="157">
        <v>0</v>
      </c>
      <c r="K70" s="157">
        <f>SUMIFS('PT_Due Date_Bankwise'!G:G,'PT_Due Date_Bankwise'!D:D,'V_Due Date_Bankwise'!D70,'PT_Due Date_Bankwise'!E:E,'V_Due Date_Bankwise'!E70)</f>
        <v>4566890.3481600005</v>
      </c>
      <c r="L70" s="157">
        <v>0</v>
      </c>
      <c r="M70" s="174">
        <v>46202</v>
      </c>
      <c r="N70" s="162"/>
    </row>
    <row r="71" spans="2:14" x14ac:dyDescent="0.25">
      <c r="B71" s="162" t="s">
        <v>22</v>
      </c>
      <c r="C71" s="162" t="s">
        <v>19</v>
      </c>
      <c r="D71" s="162" t="s">
        <v>272</v>
      </c>
      <c r="E71" s="162">
        <v>3</v>
      </c>
      <c r="F71" s="162" t="str">
        <f>VLOOKUP(D71,'M_LC Summary'!A:C,3,0)</f>
        <v>APS ARABIAN CONTRACTING COMPANY</v>
      </c>
      <c r="G71" s="162" t="str">
        <f>VLOOKUP(D71,'M_LC Summary'!A:D,4,0)</f>
        <v>MBL/AICS</v>
      </c>
      <c r="H71" s="162" t="str">
        <f>VLOOKUP(D71,'M_LC Summary'!A:E,5,0)</f>
        <v>OPERA House</v>
      </c>
      <c r="I71" s="157">
        <f>VLOOKUP(D71,'M_LC Summary'!A:K,11,0)</f>
        <v>2072033.2</v>
      </c>
      <c r="J71" s="157">
        <f>VLOOKUP(D71,'M_LC Summary'!A:L,12,0)</f>
        <v>463730.6</v>
      </c>
      <c r="K71" s="157">
        <f>SUMIFS('PT_Due Date_Bankwise'!G:G,'PT_Due Date_Bankwise'!D:D,'V_Due Date_Bankwise'!D71,'PT_Due Date_Bankwise'!E:E,'V_Due Date_Bankwise'!E71)</f>
        <v>652505.4</v>
      </c>
      <c r="L71" s="157">
        <f>VLOOKUP(D71,'M_LC Summary'!A:N,14,0)</f>
        <v>955797.2</v>
      </c>
      <c r="M71" s="174">
        <v>46205</v>
      </c>
      <c r="N71" s="162"/>
    </row>
    <row r="72" spans="2:14" x14ac:dyDescent="0.25">
      <c r="B72" s="162" t="s">
        <v>22</v>
      </c>
      <c r="C72" s="162" t="s">
        <v>19</v>
      </c>
      <c r="D72" s="162" t="s">
        <v>367</v>
      </c>
      <c r="E72" s="162">
        <v>1</v>
      </c>
      <c r="F72" s="162" t="str">
        <f>VLOOKUP(D72,'M_LC Summary'!A:C,3,0)</f>
        <v>Safid Co Ltd</v>
      </c>
      <c r="G72" s="162" t="str">
        <f>VLOOKUP(D72,'M_LC Summary'!A:D,4,0)</f>
        <v>MBL/ICAD</v>
      </c>
      <c r="H72" s="162" t="str">
        <f>VLOOKUP(D72,'M_LC Summary'!A:E,5,0)</f>
        <v>OPERA House</v>
      </c>
      <c r="I72" s="157">
        <f>VLOOKUP(D72,'M_LC Summary'!A:K,11,0)</f>
        <v>500000</v>
      </c>
      <c r="J72" s="157">
        <f>VLOOKUP(D72,'M_LC Summary'!A:L,12,0)</f>
        <v>0</v>
      </c>
      <c r="K72" s="157">
        <f>SUMIFS('PT_Due Date_Bankwise'!G:G,'PT_Due Date_Bankwise'!D:D,'V_Due Date_Bankwise'!D72,'PT_Due Date_Bankwise'!E:E,'V_Due Date_Bankwise'!E72)</f>
        <v>500000</v>
      </c>
      <c r="L72" s="157">
        <f>VLOOKUP(D72,'M_LC Summary'!A:N,14,0)</f>
        <v>0</v>
      </c>
      <c r="M72" s="174">
        <v>46215</v>
      </c>
      <c r="N72" s="162"/>
    </row>
    <row r="73" spans="2:14" x14ac:dyDescent="0.25">
      <c r="B73" s="162" t="s">
        <v>22</v>
      </c>
      <c r="C73" s="162" t="s">
        <v>19</v>
      </c>
      <c r="D73" s="162" t="s">
        <v>423</v>
      </c>
      <c r="E73" s="162">
        <v>1</v>
      </c>
      <c r="F73" s="162" t="str">
        <f>VLOOKUP(D73,'M_LC Summary'!A:C,3,0)</f>
        <v>Electric House Trading Company L.L.C.</v>
      </c>
      <c r="G73" s="162" t="str">
        <f>VLOOKUP(D73,'M_LC Summary'!A:D,4,0)</f>
        <v>MBL/ICAD</v>
      </c>
      <c r="H73" s="162" t="str">
        <f>VLOOKUP(D73,'M_LC Summary'!A:E,5,0)</f>
        <v>OPERA House</v>
      </c>
      <c r="I73" s="157">
        <f>VLOOKUP(D73,'M_LC Summary'!A:K,11,0)</f>
        <v>2193076</v>
      </c>
      <c r="J73" s="157">
        <f>VLOOKUP(D73,'M_LC Summary'!A:L,12,0)</f>
        <v>0</v>
      </c>
      <c r="K73" s="157">
        <f>SUMIFS('PT_Due Date_Bankwise'!G:G,'PT_Due Date_Bankwise'!D:D,'V_Due Date_Bankwise'!D73,'PT_Due Date_Bankwise'!E:E,'V_Due Date_Bankwise'!E73)</f>
        <v>2193076</v>
      </c>
      <c r="L73" s="157">
        <f>VLOOKUP(D73,'M_LC Summary'!A:N,14,0)</f>
        <v>0</v>
      </c>
      <c r="M73" s="174">
        <v>46222</v>
      </c>
      <c r="N73" s="162"/>
    </row>
    <row r="74" spans="2:14" ht="15.75" thickBot="1" x14ac:dyDescent="0.3">
      <c r="B74" s="171" t="s">
        <v>22</v>
      </c>
      <c r="C74" s="171" t="s">
        <v>19</v>
      </c>
      <c r="D74" s="171" t="s">
        <v>467</v>
      </c>
      <c r="E74" s="171">
        <v>1</v>
      </c>
      <c r="F74" s="171" t="str">
        <f>VLOOKUP(D74,'M_LC Summary'!A:C,3,0)</f>
        <v>Manar Alomran Company For Trading And Industrial Ltd</v>
      </c>
      <c r="G74" s="171" t="str">
        <f>VLOOKUP(D74,'M_LC Summary'!A:D,4,0)</f>
        <v>MBL</v>
      </c>
      <c r="H74" s="171" t="str">
        <f>VLOOKUP(D74,'M_LC Summary'!A:E,5,0)</f>
        <v>OPERA House</v>
      </c>
      <c r="I74" s="158">
        <f>VLOOKUP(D74,'M_LC Summary'!A:K,11,0)</f>
        <v>2896770</v>
      </c>
      <c r="J74" s="158">
        <f>VLOOKUP(D74,'M_LC Summary'!A:L,12,0)</f>
        <v>0</v>
      </c>
      <c r="K74" s="158">
        <f>SUMIFS('PT_Due Date_Bankwise'!G:G,'PT_Due Date_Bankwise'!D:D,'V_Due Date_Bankwise'!D74,'PT_Due Date_Bankwise'!E:E,'V_Due Date_Bankwise'!E74)</f>
        <v>386858.95</v>
      </c>
      <c r="L74" s="158">
        <f>VLOOKUP(D74,'M_LC Summary'!A:N,14,0)</f>
        <v>2509911.0499999998</v>
      </c>
      <c r="M74" s="172">
        <v>46253</v>
      </c>
      <c r="N74" s="171"/>
    </row>
    <row r="75" spans="2:14" ht="15.75" thickBot="1" x14ac:dyDescent="0.3">
      <c r="B75" s="61"/>
      <c r="C75" s="60"/>
      <c r="D75" s="60"/>
      <c r="E75" s="60"/>
      <c r="F75" s="68" t="s">
        <v>22</v>
      </c>
      <c r="G75" s="68" t="s">
        <v>19</v>
      </c>
      <c r="H75" s="32" t="s">
        <v>54</v>
      </c>
      <c r="I75" s="64">
        <f>SUMIFS(I:I,$B:$B,$F$75,$C:$C,$G$75)</f>
        <v>50249879.200000003</v>
      </c>
      <c r="J75" s="64">
        <f>SUMIFS(J:J,$B:$B,$F$75,$C:$C,$G$75)</f>
        <v>12799649.142009998</v>
      </c>
      <c r="K75" s="64">
        <f>SUMIFS(K:K,$B:$B,$F$75,$C:$C,$G$75)</f>
        <v>13259777.660080001</v>
      </c>
      <c r="L75" s="64">
        <f>SUMIFS(L:L,$B:$B,$F$75,$C:$C,$G$75)</f>
        <v>24190452.399999999</v>
      </c>
      <c r="M75" s="145"/>
      <c r="N75" s="144"/>
    </row>
    <row r="76" spans="2:14" ht="15.75" thickBot="1" x14ac:dyDescent="0.3">
      <c r="F76" s="224"/>
      <c r="G76" s="224"/>
      <c r="H76" s="225"/>
      <c r="I76" s="21"/>
      <c r="J76" s="21"/>
      <c r="K76" s="21"/>
      <c r="L76" s="21"/>
      <c r="M76" s="16"/>
    </row>
    <row r="77" spans="2:14" ht="15.75" thickBot="1" x14ac:dyDescent="0.3">
      <c r="B77" s="61"/>
      <c r="C77" s="60"/>
      <c r="D77" s="60"/>
      <c r="E77" s="60"/>
      <c r="F77" s="60"/>
      <c r="G77" s="60"/>
      <c r="H77" s="32" t="s">
        <v>55</v>
      </c>
      <c r="I77" s="64">
        <f t="shared" ref="I77:L77" si="0">SUMIF($H:$H,"Total:",I:I)</f>
        <v>330057261.26999998</v>
      </c>
      <c r="J77" s="64">
        <f t="shared" si="0"/>
        <v>114387944.41201001</v>
      </c>
      <c r="K77" s="71">
        <f t="shared" si="0"/>
        <v>146745602.60008001</v>
      </c>
      <c r="L77" s="64">
        <f t="shared" si="0"/>
        <v>68923714.25999999</v>
      </c>
      <c r="M77" s="60"/>
      <c r="N77" s="144"/>
    </row>
  </sheetData>
  <sortState xmlns:xlrd2="http://schemas.microsoft.com/office/spreadsheetml/2017/richdata2" ref="B5:N74">
    <sortCondition ref="B5:B74"/>
    <sortCondition ref="C5:C74"/>
    <sortCondition ref="M5:M74"/>
  </sortState>
  <mergeCells count="1">
    <mergeCell ref="B3:N3"/>
  </mergeCells>
  <conditionalFormatting sqref="J4029:J1048576">
    <cfRule type="duplicateValues" dxfId="835" priority="402"/>
  </conditionalFormatting>
  <conditionalFormatting sqref="L4020:L1048576">
    <cfRule type="duplicateValues" dxfId="834" priority="401"/>
  </conditionalFormatting>
  <conditionalFormatting sqref="N4011:N1048576">
    <cfRule type="duplicateValues" dxfId="833" priority="400"/>
  </conditionalFormatting>
  <conditionalFormatting sqref="I4002:I1048576">
    <cfRule type="duplicateValues" dxfId="832" priority="399"/>
  </conditionalFormatting>
  <conditionalFormatting sqref="D3993:D1048576">
    <cfRule type="duplicateValues" dxfId="831" priority="398"/>
  </conditionalFormatting>
  <conditionalFormatting sqref="K3984:K1048576">
    <cfRule type="duplicateValues" dxfId="830" priority="397"/>
  </conditionalFormatting>
  <conditionalFormatting sqref="E3975:E1048576">
    <cfRule type="duplicateValues" dxfId="829" priority="396"/>
  </conditionalFormatting>
  <conditionalFormatting sqref="F3966:F1048576">
    <cfRule type="duplicateValues" dxfId="828" priority="395"/>
  </conditionalFormatting>
  <conditionalFormatting sqref="M3960:M1048576">
    <cfRule type="duplicateValues" dxfId="827" priority="394"/>
  </conditionalFormatting>
  <conditionalFormatting sqref="G3960:G1048576">
    <cfRule type="duplicateValues" dxfId="826" priority="393"/>
  </conditionalFormatting>
  <conditionalFormatting sqref="L3960:L1048576">
    <cfRule type="duplicateValues" dxfId="825" priority="392"/>
  </conditionalFormatting>
  <conditionalFormatting sqref="N3960:N1048576">
    <cfRule type="duplicateValues" dxfId="824" priority="391"/>
  </conditionalFormatting>
  <conditionalFormatting sqref="G3953:G1048576">
    <cfRule type="duplicateValues" dxfId="823" priority="390"/>
  </conditionalFormatting>
  <conditionalFormatting sqref="I3946:I1048576">
    <cfRule type="duplicateValues" dxfId="822" priority="389"/>
  </conditionalFormatting>
  <conditionalFormatting sqref="K3939:K1048576">
    <cfRule type="duplicateValues" dxfId="821" priority="388"/>
  </conditionalFormatting>
  <conditionalFormatting sqref="M3932:M1048576">
    <cfRule type="duplicateValues" dxfId="820" priority="387"/>
  </conditionalFormatting>
  <conditionalFormatting sqref="D3925:D1048576">
    <cfRule type="duplicateValues" dxfId="819" priority="386"/>
  </conditionalFormatting>
  <conditionalFormatting sqref="E3918:E1048576">
    <cfRule type="duplicateValues" dxfId="818" priority="385"/>
  </conditionalFormatting>
  <conditionalFormatting sqref="F3912:F1048576">
    <cfRule type="duplicateValues" dxfId="817" priority="384"/>
  </conditionalFormatting>
  <conditionalFormatting sqref="H3912:H1048576">
    <cfRule type="duplicateValues" dxfId="816" priority="383"/>
  </conditionalFormatting>
  <conditionalFormatting sqref="J3906:J1048576">
    <cfRule type="duplicateValues" dxfId="815" priority="382"/>
  </conditionalFormatting>
  <conditionalFormatting sqref="L3906:L1048576">
    <cfRule type="duplicateValues" dxfId="814" priority="381"/>
  </conditionalFormatting>
  <conditionalFormatting sqref="N3899:N1048576">
    <cfRule type="duplicateValues" dxfId="813" priority="380"/>
  </conditionalFormatting>
  <conditionalFormatting sqref="G3892:G1048576">
    <cfRule type="duplicateValues" dxfId="812" priority="379"/>
  </conditionalFormatting>
  <conditionalFormatting sqref="I3889:I1048576">
    <cfRule type="duplicateValues" dxfId="811" priority="378"/>
  </conditionalFormatting>
  <conditionalFormatting sqref="K3882:K1048576">
    <cfRule type="duplicateValues" dxfId="810" priority="377"/>
  </conditionalFormatting>
  <conditionalFormatting sqref="M3875:M1048576">
    <cfRule type="duplicateValues" dxfId="809" priority="376"/>
  </conditionalFormatting>
  <conditionalFormatting sqref="D3868:D1048576">
    <cfRule type="duplicateValues" dxfId="808" priority="375"/>
  </conditionalFormatting>
  <conditionalFormatting sqref="E3861:E1048576">
    <cfRule type="duplicateValues" dxfId="807" priority="374"/>
  </conditionalFormatting>
  <conditionalFormatting sqref="F3859:F1048576">
    <cfRule type="duplicateValues" dxfId="806" priority="373"/>
  </conditionalFormatting>
  <conditionalFormatting sqref="H3859:H1048576">
    <cfRule type="duplicateValues" dxfId="805" priority="372"/>
  </conditionalFormatting>
  <conditionalFormatting sqref="J3855:J1048576">
    <cfRule type="duplicateValues" dxfId="804" priority="371"/>
  </conditionalFormatting>
  <conditionalFormatting sqref="L3855:L1048576">
    <cfRule type="duplicateValues" dxfId="803" priority="370"/>
  </conditionalFormatting>
  <conditionalFormatting sqref="N3855:N1048576">
    <cfRule type="duplicateValues" dxfId="802" priority="369"/>
  </conditionalFormatting>
  <conditionalFormatting sqref="G3855:G1048576">
    <cfRule type="duplicateValues" dxfId="801" priority="368"/>
  </conditionalFormatting>
  <conditionalFormatting sqref="I3848:I1048576">
    <cfRule type="duplicateValues" dxfId="800" priority="367"/>
  </conditionalFormatting>
  <conditionalFormatting sqref="K3841:K1048576">
    <cfRule type="duplicateValues" dxfId="799" priority="366"/>
  </conditionalFormatting>
  <conditionalFormatting sqref="M3834:M1048576">
    <cfRule type="duplicateValues" dxfId="798" priority="365"/>
  </conditionalFormatting>
  <conditionalFormatting sqref="D3827:D1048576">
    <cfRule type="duplicateValues" dxfId="797" priority="364"/>
  </conditionalFormatting>
  <conditionalFormatting sqref="E3820:E1048576">
    <cfRule type="duplicateValues" dxfId="796" priority="363"/>
  </conditionalFormatting>
  <conditionalFormatting sqref="F3813:F1048576">
    <cfRule type="duplicateValues" dxfId="795" priority="362"/>
  </conditionalFormatting>
  <conditionalFormatting sqref="H3806:H1048576">
    <cfRule type="duplicateValues" dxfId="794" priority="361"/>
  </conditionalFormatting>
  <conditionalFormatting sqref="J3799:J1048576">
    <cfRule type="duplicateValues" dxfId="793" priority="360"/>
  </conditionalFormatting>
  <conditionalFormatting sqref="L3792:L1048576">
    <cfRule type="duplicateValues" dxfId="792" priority="359"/>
  </conditionalFormatting>
  <conditionalFormatting sqref="N3785:N1048576">
    <cfRule type="duplicateValues" dxfId="791" priority="358"/>
  </conditionalFormatting>
  <conditionalFormatting sqref="G3778:G1048576">
    <cfRule type="duplicateValues" dxfId="790" priority="357"/>
  </conditionalFormatting>
  <conditionalFormatting sqref="I3769:I1048576">
    <cfRule type="duplicateValues" dxfId="789" priority="356"/>
  </conditionalFormatting>
  <conditionalFormatting sqref="K3760:K1048576">
    <cfRule type="duplicateValues" dxfId="788" priority="355"/>
  </conditionalFormatting>
  <conditionalFormatting sqref="M3751:M1048576">
    <cfRule type="duplicateValues" dxfId="787" priority="354"/>
  </conditionalFormatting>
  <conditionalFormatting sqref="D3742:D1048576">
    <cfRule type="duplicateValues" dxfId="786" priority="353"/>
  </conditionalFormatting>
  <conditionalFormatting sqref="E3733:E1048576">
    <cfRule type="duplicateValues" dxfId="785" priority="352"/>
  </conditionalFormatting>
  <conditionalFormatting sqref="F3724:F1048576">
    <cfRule type="duplicateValues" dxfId="784" priority="351"/>
  </conditionalFormatting>
  <conditionalFormatting sqref="H3715:H1048576">
    <cfRule type="duplicateValues" dxfId="783" priority="350"/>
  </conditionalFormatting>
  <conditionalFormatting sqref="J3706:J1048576">
    <cfRule type="duplicateValues" dxfId="782" priority="349"/>
  </conditionalFormatting>
  <conditionalFormatting sqref="L3699:L1048576">
    <cfRule type="duplicateValues" dxfId="781" priority="348"/>
  </conditionalFormatting>
  <conditionalFormatting sqref="N3692:N1048576">
    <cfRule type="duplicateValues" dxfId="780" priority="347"/>
  </conditionalFormatting>
  <conditionalFormatting sqref="G3685:G1048576">
    <cfRule type="duplicateValues" dxfId="779" priority="346"/>
  </conditionalFormatting>
  <conditionalFormatting sqref="I3678:I1048576">
    <cfRule type="duplicateValues" dxfId="778" priority="345"/>
  </conditionalFormatting>
  <conditionalFormatting sqref="K3673:K1048576">
    <cfRule type="duplicateValues" dxfId="777" priority="344"/>
  </conditionalFormatting>
  <conditionalFormatting sqref="M3668:M1048576">
    <cfRule type="duplicateValues" dxfId="776" priority="343"/>
  </conditionalFormatting>
  <conditionalFormatting sqref="D3663:D1048576">
    <cfRule type="duplicateValues" dxfId="775" priority="342"/>
  </conditionalFormatting>
  <conditionalFormatting sqref="E3656:E1048576">
    <cfRule type="duplicateValues" dxfId="774" priority="341"/>
  </conditionalFormatting>
  <conditionalFormatting sqref="F3649:F1048576">
    <cfRule type="duplicateValues" dxfId="773" priority="340"/>
  </conditionalFormatting>
  <conditionalFormatting sqref="H3642:H1048576">
    <cfRule type="duplicateValues" dxfId="772" priority="339"/>
  </conditionalFormatting>
  <conditionalFormatting sqref="J3635:J1048576">
    <cfRule type="duplicateValues" dxfId="771" priority="338"/>
  </conditionalFormatting>
  <conditionalFormatting sqref="L3628:L1048576">
    <cfRule type="duplicateValues" dxfId="770" priority="337"/>
  </conditionalFormatting>
  <conditionalFormatting sqref="N3621:N1048576">
    <cfRule type="duplicateValues" dxfId="769" priority="336"/>
  </conditionalFormatting>
  <conditionalFormatting sqref="G3614:G1048576">
    <cfRule type="duplicateValues" dxfId="768" priority="335"/>
  </conditionalFormatting>
  <conditionalFormatting sqref="I3607:I1048576">
    <cfRule type="duplicateValues" dxfId="767" priority="334"/>
  </conditionalFormatting>
  <conditionalFormatting sqref="K3600:K1048576">
    <cfRule type="duplicateValues" dxfId="766" priority="333"/>
  </conditionalFormatting>
  <conditionalFormatting sqref="M3593:M1048576">
    <cfRule type="duplicateValues" dxfId="765" priority="332"/>
  </conditionalFormatting>
  <conditionalFormatting sqref="D3586:D1048576">
    <cfRule type="duplicateValues" dxfId="764" priority="331"/>
  </conditionalFormatting>
  <conditionalFormatting sqref="E3579:E1048576">
    <cfRule type="duplicateValues" dxfId="763" priority="330"/>
  </conditionalFormatting>
  <conditionalFormatting sqref="F3572:F1048576">
    <cfRule type="duplicateValues" dxfId="762" priority="329"/>
  </conditionalFormatting>
  <conditionalFormatting sqref="H3565:H1048576">
    <cfRule type="duplicateValues" dxfId="761" priority="328"/>
  </conditionalFormatting>
  <conditionalFormatting sqref="J3558:J1048576">
    <cfRule type="duplicateValues" dxfId="760" priority="327"/>
  </conditionalFormatting>
  <conditionalFormatting sqref="L3553:L1048576">
    <cfRule type="duplicateValues" dxfId="759" priority="326"/>
  </conditionalFormatting>
  <conditionalFormatting sqref="N3548:N1048576">
    <cfRule type="duplicateValues" dxfId="758" priority="325"/>
  </conditionalFormatting>
  <conditionalFormatting sqref="G3543:G1048576">
    <cfRule type="duplicateValues" dxfId="757" priority="324"/>
  </conditionalFormatting>
  <conditionalFormatting sqref="I3538:I1048576">
    <cfRule type="duplicateValues" dxfId="756" priority="323"/>
  </conditionalFormatting>
  <conditionalFormatting sqref="K3533:K1048576">
    <cfRule type="duplicateValues" dxfId="755" priority="322"/>
  </conditionalFormatting>
  <conditionalFormatting sqref="M3528:M1048576">
    <cfRule type="duplicateValues" dxfId="754" priority="321"/>
  </conditionalFormatting>
  <conditionalFormatting sqref="D3521:D1048576">
    <cfRule type="duplicateValues" dxfId="753" priority="320"/>
  </conditionalFormatting>
  <conditionalFormatting sqref="E3514:E1048576">
    <cfRule type="duplicateValues" dxfId="752" priority="319"/>
  </conditionalFormatting>
  <conditionalFormatting sqref="F3507:F1048576">
    <cfRule type="duplicateValues" dxfId="751" priority="318"/>
  </conditionalFormatting>
  <conditionalFormatting sqref="H3500:H1048576">
    <cfRule type="duplicateValues" dxfId="750" priority="317"/>
  </conditionalFormatting>
  <conditionalFormatting sqref="J3491:J1048576">
    <cfRule type="duplicateValues" dxfId="749" priority="316"/>
  </conditionalFormatting>
  <conditionalFormatting sqref="L3482:L1048576">
    <cfRule type="duplicateValues" dxfId="748" priority="315"/>
  </conditionalFormatting>
  <conditionalFormatting sqref="N3473:N1048576">
    <cfRule type="duplicateValues" dxfId="747" priority="314"/>
  </conditionalFormatting>
  <conditionalFormatting sqref="G3466:G1048576">
    <cfRule type="duplicateValues" dxfId="746" priority="313"/>
  </conditionalFormatting>
  <conditionalFormatting sqref="I3459:I1048576">
    <cfRule type="duplicateValues" dxfId="745" priority="312"/>
  </conditionalFormatting>
  <conditionalFormatting sqref="K3452:K1048576">
    <cfRule type="duplicateValues" dxfId="744" priority="311"/>
  </conditionalFormatting>
  <conditionalFormatting sqref="M3445:M1048576">
    <cfRule type="duplicateValues" dxfId="743" priority="310"/>
  </conditionalFormatting>
  <conditionalFormatting sqref="D3436:D1048576">
    <cfRule type="duplicateValues" dxfId="742" priority="309"/>
  </conditionalFormatting>
  <conditionalFormatting sqref="E3427:E1048576">
    <cfRule type="duplicateValues" dxfId="741" priority="308"/>
  </conditionalFormatting>
  <conditionalFormatting sqref="F3420:F1048576">
    <cfRule type="duplicateValues" dxfId="740" priority="307"/>
  </conditionalFormatting>
  <conditionalFormatting sqref="H3413:H1048576">
    <cfRule type="duplicateValues" dxfId="739" priority="306"/>
  </conditionalFormatting>
  <conditionalFormatting sqref="J3406:J1048576">
    <cfRule type="duplicateValues" dxfId="738" priority="305"/>
  </conditionalFormatting>
  <conditionalFormatting sqref="L3399:L1048576">
    <cfRule type="duplicateValues" dxfId="737" priority="304"/>
  </conditionalFormatting>
  <conditionalFormatting sqref="N3392:N1048576">
    <cfRule type="duplicateValues" dxfId="736" priority="303"/>
  </conditionalFormatting>
  <conditionalFormatting sqref="G3385:G1048576">
    <cfRule type="duplicateValues" dxfId="735" priority="302"/>
  </conditionalFormatting>
  <conditionalFormatting sqref="I3378:I1048576">
    <cfRule type="duplicateValues" dxfId="734" priority="301"/>
  </conditionalFormatting>
  <conditionalFormatting sqref="K3371:K1048576">
    <cfRule type="duplicateValues" dxfId="733" priority="300"/>
  </conditionalFormatting>
  <conditionalFormatting sqref="M3364:M1048576">
    <cfRule type="duplicateValues" dxfId="732" priority="299"/>
  </conditionalFormatting>
  <conditionalFormatting sqref="D3357:D1048576">
    <cfRule type="duplicateValues" dxfId="731" priority="298"/>
  </conditionalFormatting>
  <conditionalFormatting sqref="E3350:E1048576">
    <cfRule type="duplicateValues" dxfId="730" priority="297"/>
  </conditionalFormatting>
  <conditionalFormatting sqref="F3343:F1048576">
    <cfRule type="duplicateValues" dxfId="729" priority="296"/>
  </conditionalFormatting>
  <conditionalFormatting sqref="H3336:H1048576">
    <cfRule type="duplicateValues" dxfId="728" priority="295"/>
  </conditionalFormatting>
  <conditionalFormatting sqref="J3329:J1048576">
    <cfRule type="duplicateValues" dxfId="727" priority="294"/>
  </conditionalFormatting>
  <conditionalFormatting sqref="L3322:L1048576">
    <cfRule type="duplicateValues" dxfId="726" priority="293"/>
  </conditionalFormatting>
  <conditionalFormatting sqref="N3315:N1048576">
    <cfRule type="duplicateValues" dxfId="725" priority="292"/>
  </conditionalFormatting>
  <conditionalFormatting sqref="G3308:G1048576">
    <cfRule type="duplicateValues" dxfId="724" priority="291"/>
  </conditionalFormatting>
  <conditionalFormatting sqref="I3301:I1048576">
    <cfRule type="duplicateValues" dxfId="723" priority="290"/>
  </conditionalFormatting>
  <conditionalFormatting sqref="K3294:K1048576">
    <cfRule type="duplicateValues" dxfId="722" priority="289"/>
  </conditionalFormatting>
  <conditionalFormatting sqref="M3287:M1048576">
    <cfRule type="duplicateValues" dxfId="721" priority="288"/>
  </conditionalFormatting>
  <conditionalFormatting sqref="D3278:D1048576">
    <cfRule type="duplicateValues" dxfId="720" priority="287"/>
  </conditionalFormatting>
  <conditionalFormatting sqref="E3269:E1048576">
    <cfRule type="duplicateValues" dxfId="719" priority="286"/>
  </conditionalFormatting>
  <conditionalFormatting sqref="F3260:F1048576">
    <cfRule type="duplicateValues" dxfId="718" priority="285"/>
  </conditionalFormatting>
  <conditionalFormatting sqref="H3251:H1048576">
    <cfRule type="duplicateValues" dxfId="717" priority="284"/>
  </conditionalFormatting>
  <conditionalFormatting sqref="J3242:J1048576">
    <cfRule type="duplicateValues" dxfId="716" priority="283"/>
  </conditionalFormatting>
  <conditionalFormatting sqref="L3233:L1048576">
    <cfRule type="duplicateValues" dxfId="715" priority="282"/>
  </conditionalFormatting>
  <conditionalFormatting sqref="N3224:N1048576">
    <cfRule type="duplicateValues" dxfId="714" priority="281"/>
  </conditionalFormatting>
  <conditionalFormatting sqref="G3215:G1048576">
    <cfRule type="duplicateValues" dxfId="713" priority="280"/>
  </conditionalFormatting>
  <conditionalFormatting sqref="I3206:I1048576">
    <cfRule type="duplicateValues" dxfId="712" priority="279"/>
  </conditionalFormatting>
  <conditionalFormatting sqref="K3197:K1048576">
    <cfRule type="duplicateValues" dxfId="711" priority="278"/>
  </conditionalFormatting>
  <conditionalFormatting sqref="M3188:M1048576">
    <cfRule type="duplicateValues" dxfId="710" priority="277"/>
  </conditionalFormatting>
  <conditionalFormatting sqref="D3179:D1048576">
    <cfRule type="duplicateValues" dxfId="709" priority="276"/>
  </conditionalFormatting>
  <conditionalFormatting sqref="E3170:E1048576">
    <cfRule type="duplicateValues" dxfId="708" priority="275"/>
  </conditionalFormatting>
  <conditionalFormatting sqref="F3161:F1048576">
    <cfRule type="duplicateValues" dxfId="707" priority="274"/>
  </conditionalFormatting>
  <conditionalFormatting sqref="H3152:H1048576">
    <cfRule type="duplicateValues" dxfId="706" priority="273"/>
  </conditionalFormatting>
  <conditionalFormatting sqref="J3143:J1048576">
    <cfRule type="duplicateValues" dxfId="705" priority="272"/>
  </conditionalFormatting>
  <conditionalFormatting sqref="L3134:L1048576">
    <cfRule type="duplicateValues" dxfId="704" priority="271"/>
  </conditionalFormatting>
  <conditionalFormatting sqref="N3125:N1048576">
    <cfRule type="duplicateValues" dxfId="703" priority="270"/>
  </conditionalFormatting>
  <conditionalFormatting sqref="G3116:G1048576">
    <cfRule type="duplicateValues" dxfId="702" priority="269"/>
  </conditionalFormatting>
  <conditionalFormatting sqref="I3107:I1048576">
    <cfRule type="duplicateValues" dxfId="701" priority="268"/>
  </conditionalFormatting>
  <conditionalFormatting sqref="K3098:K1048576">
    <cfRule type="duplicateValues" dxfId="700" priority="267"/>
  </conditionalFormatting>
  <conditionalFormatting sqref="M3089:M1048576">
    <cfRule type="duplicateValues" dxfId="699" priority="266"/>
  </conditionalFormatting>
  <conditionalFormatting sqref="D3080:D1048576">
    <cfRule type="duplicateValues" dxfId="698" priority="265"/>
  </conditionalFormatting>
  <conditionalFormatting sqref="E3071:E1048576">
    <cfRule type="duplicateValues" dxfId="697" priority="264"/>
  </conditionalFormatting>
  <conditionalFormatting sqref="F3062:F1048576">
    <cfRule type="duplicateValues" dxfId="696" priority="263"/>
  </conditionalFormatting>
  <conditionalFormatting sqref="H3053:H1048576">
    <cfRule type="duplicateValues" dxfId="695" priority="262"/>
  </conditionalFormatting>
  <conditionalFormatting sqref="J3044:J1048576">
    <cfRule type="duplicateValues" dxfId="694" priority="261"/>
  </conditionalFormatting>
  <conditionalFormatting sqref="L3035:L1048576">
    <cfRule type="duplicateValues" dxfId="693" priority="260"/>
  </conditionalFormatting>
  <conditionalFormatting sqref="N3026:N1048576">
    <cfRule type="duplicateValues" dxfId="692" priority="259"/>
  </conditionalFormatting>
  <conditionalFormatting sqref="G3017:G1048576">
    <cfRule type="duplicateValues" dxfId="691" priority="258"/>
  </conditionalFormatting>
  <conditionalFormatting sqref="I3008:I1048576">
    <cfRule type="duplicateValues" dxfId="690" priority="257"/>
  </conditionalFormatting>
  <conditionalFormatting sqref="K2999:K1048576">
    <cfRule type="duplicateValues" dxfId="689" priority="256"/>
  </conditionalFormatting>
  <conditionalFormatting sqref="M2990:M1048576">
    <cfRule type="duplicateValues" dxfId="688" priority="255"/>
  </conditionalFormatting>
  <conditionalFormatting sqref="D2981:D1048576">
    <cfRule type="duplicateValues" dxfId="687" priority="254"/>
  </conditionalFormatting>
  <conditionalFormatting sqref="E2972:E1048576">
    <cfRule type="duplicateValues" dxfId="686" priority="253"/>
  </conditionalFormatting>
  <conditionalFormatting sqref="F2963:F1048576">
    <cfRule type="duplicateValues" dxfId="685" priority="252"/>
  </conditionalFormatting>
  <conditionalFormatting sqref="H2954:H1048576">
    <cfRule type="duplicateValues" dxfId="684" priority="251"/>
  </conditionalFormatting>
  <conditionalFormatting sqref="J2945:J1048576">
    <cfRule type="duplicateValues" dxfId="683" priority="250"/>
  </conditionalFormatting>
  <conditionalFormatting sqref="L2936:L1048576">
    <cfRule type="duplicateValues" dxfId="682" priority="249"/>
  </conditionalFormatting>
  <conditionalFormatting sqref="N2927:N1048576">
    <cfRule type="duplicateValues" dxfId="681" priority="248"/>
  </conditionalFormatting>
  <conditionalFormatting sqref="G2918:G1048576">
    <cfRule type="duplicateValues" dxfId="680" priority="247"/>
  </conditionalFormatting>
  <conditionalFormatting sqref="I2909:I1048576">
    <cfRule type="duplicateValues" dxfId="679" priority="246"/>
  </conditionalFormatting>
  <conditionalFormatting sqref="K2900:K1048576">
    <cfRule type="duplicateValues" dxfId="678" priority="245"/>
  </conditionalFormatting>
  <conditionalFormatting sqref="M2891:M1048576">
    <cfRule type="duplicateValues" dxfId="677" priority="244"/>
  </conditionalFormatting>
  <conditionalFormatting sqref="D2882:D1048576">
    <cfRule type="duplicateValues" dxfId="676" priority="243"/>
  </conditionalFormatting>
  <conditionalFormatting sqref="E2873:E1048576">
    <cfRule type="duplicateValues" dxfId="675" priority="242"/>
  </conditionalFormatting>
  <conditionalFormatting sqref="F2864:F1048576">
    <cfRule type="duplicateValues" dxfId="674" priority="241"/>
  </conditionalFormatting>
  <conditionalFormatting sqref="H2855:H1048576">
    <cfRule type="duplicateValues" dxfId="673" priority="240"/>
  </conditionalFormatting>
  <conditionalFormatting sqref="J2846:J1048576">
    <cfRule type="duplicateValues" dxfId="672" priority="239"/>
  </conditionalFormatting>
  <conditionalFormatting sqref="L2837:L1048576">
    <cfRule type="duplicateValues" dxfId="671" priority="238"/>
  </conditionalFormatting>
  <conditionalFormatting sqref="N2828:N1048576">
    <cfRule type="duplicateValues" dxfId="670" priority="237"/>
  </conditionalFormatting>
  <conditionalFormatting sqref="G2819:G1048576">
    <cfRule type="duplicateValues" dxfId="669" priority="236"/>
  </conditionalFormatting>
  <conditionalFormatting sqref="I2810:I1048576">
    <cfRule type="duplicateValues" dxfId="668" priority="235"/>
  </conditionalFormatting>
  <conditionalFormatting sqref="K2801:K1048576">
    <cfRule type="duplicateValues" dxfId="667" priority="234"/>
  </conditionalFormatting>
  <conditionalFormatting sqref="M2792:M1048576">
    <cfRule type="duplicateValues" dxfId="666" priority="233"/>
  </conditionalFormatting>
  <conditionalFormatting sqref="D2783:D1048576">
    <cfRule type="duplicateValues" dxfId="665" priority="232"/>
  </conditionalFormatting>
  <conditionalFormatting sqref="E2776:E1048576">
    <cfRule type="duplicateValues" dxfId="664" priority="231"/>
  </conditionalFormatting>
  <conditionalFormatting sqref="F2769:F1048576">
    <cfRule type="duplicateValues" dxfId="663" priority="230"/>
  </conditionalFormatting>
  <conditionalFormatting sqref="H2762:H1048576">
    <cfRule type="duplicateValues" dxfId="662" priority="229"/>
  </conditionalFormatting>
  <conditionalFormatting sqref="J2755:J1048576">
    <cfRule type="duplicateValues" dxfId="661" priority="228"/>
  </conditionalFormatting>
  <conditionalFormatting sqref="L2748:L1048576">
    <cfRule type="duplicateValues" dxfId="660" priority="227"/>
  </conditionalFormatting>
  <conditionalFormatting sqref="N2741:N1048576">
    <cfRule type="duplicateValues" dxfId="659" priority="226"/>
  </conditionalFormatting>
  <conditionalFormatting sqref="G2732:G1048576">
    <cfRule type="duplicateValues" dxfId="658" priority="225"/>
  </conditionalFormatting>
  <conditionalFormatting sqref="I2723:I1048576">
    <cfRule type="duplicateValues" dxfId="657" priority="224"/>
  </conditionalFormatting>
  <conditionalFormatting sqref="K2714:K1048576">
    <cfRule type="duplicateValues" dxfId="656" priority="223"/>
  </conditionalFormatting>
  <conditionalFormatting sqref="M2705:M1048576">
    <cfRule type="duplicateValues" dxfId="655" priority="222"/>
  </conditionalFormatting>
  <conditionalFormatting sqref="D2696:D1048576">
    <cfRule type="duplicateValues" dxfId="654" priority="221"/>
  </conditionalFormatting>
  <conditionalFormatting sqref="E2687:E1048576">
    <cfRule type="duplicateValues" dxfId="653" priority="220"/>
  </conditionalFormatting>
  <conditionalFormatting sqref="F2678:F1048576">
    <cfRule type="duplicateValues" dxfId="652" priority="219"/>
  </conditionalFormatting>
  <conditionalFormatting sqref="H2669:H1048576">
    <cfRule type="duplicateValues" dxfId="651" priority="218"/>
  </conditionalFormatting>
  <conditionalFormatting sqref="J2660:J1048576">
    <cfRule type="duplicateValues" dxfId="650" priority="217"/>
  </conditionalFormatting>
  <conditionalFormatting sqref="L2651:L1048576">
    <cfRule type="duplicateValues" dxfId="649" priority="216"/>
  </conditionalFormatting>
  <conditionalFormatting sqref="N2644:N1048576">
    <cfRule type="duplicateValues" dxfId="648" priority="215"/>
  </conditionalFormatting>
  <conditionalFormatting sqref="G2637:G1048576">
    <cfRule type="duplicateValues" dxfId="647" priority="214"/>
  </conditionalFormatting>
  <conditionalFormatting sqref="I2630:I1048576">
    <cfRule type="duplicateValues" dxfId="646" priority="213"/>
  </conditionalFormatting>
  <conditionalFormatting sqref="K2623:K1048576">
    <cfRule type="duplicateValues" dxfId="645" priority="212"/>
  </conditionalFormatting>
  <conditionalFormatting sqref="M2614:M1048576">
    <cfRule type="duplicateValues" dxfId="644" priority="211"/>
  </conditionalFormatting>
  <conditionalFormatting sqref="D2605:D1048576">
    <cfRule type="duplicateValues" dxfId="643" priority="210"/>
  </conditionalFormatting>
  <conditionalFormatting sqref="E2598:E1048576">
    <cfRule type="duplicateValues" dxfId="642" priority="209"/>
  </conditionalFormatting>
  <conditionalFormatting sqref="F2591:F1048576">
    <cfRule type="duplicateValues" dxfId="641" priority="208"/>
  </conditionalFormatting>
  <conditionalFormatting sqref="H2584:H1048576">
    <cfRule type="duplicateValues" dxfId="640" priority="207"/>
  </conditionalFormatting>
  <conditionalFormatting sqref="J2577:J1048576">
    <cfRule type="duplicateValues" dxfId="639" priority="206"/>
  </conditionalFormatting>
  <conditionalFormatting sqref="L2570:L1048576">
    <cfRule type="duplicateValues" dxfId="638" priority="205"/>
  </conditionalFormatting>
  <conditionalFormatting sqref="N2563:N1048576">
    <cfRule type="duplicateValues" dxfId="637" priority="204"/>
  </conditionalFormatting>
  <conditionalFormatting sqref="G2556:G1048576">
    <cfRule type="duplicateValues" dxfId="636" priority="203"/>
  </conditionalFormatting>
  <conditionalFormatting sqref="I2549:I1048576">
    <cfRule type="duplicateValues" dxfId="635" priority="202"/>
  </conditionalFormatting>
  <conditionalFormatting sqref="K2542:K1048576">
    <cfRule type="duplicateValues" dxfId="634" priority="201"/>
  </conditionalFormatting>
  <conditionalFormatting sqref="M2535:M1048576">
    <cfRule type="duplicateValues" dxfId="633" priority="200"/>
  </conditionalFormatting>
  <conditionalFormatting sqref="D2528:D1048576">
    <cfRule type="duplicateValues" dxfId="632" priority="199"/>
  </conditionalFormatting>
  <conditionalFormatting sqref="E2521:E1048576">
    <cfRule type="duplicateValues" dxfId="631" priority="198"/>
  </conditionalFormatting>
  <conditionalFormatting sqref="F2514:F1048576">
    <cfRule type="duplicateValues" dxfId="630" priority="197"/>
  </conditionalFormatting>
  <conditionalFormatting sqref="H2507:H1048576">
    <cfRule type="duplicateValues" dxfId="629" priority="196"/>
  </conditionalFormatting>
  <conditionalFormatting sqref="J2500:J1048576">
    <cfRule type="duplicateValues" dxfId="628" priority="195"/>
  </conditionalFormatting>
  <conditionalFormatting sqref="L2493:L1048576">
    <cfRule type="duplicateValues" dxfId="627" priority="194"/>
  </conditionalFormatting>
  <conditionalFormatting sqref="N2484:N1048576">
    <cfRule type="duplicateValues" dxfId="626" priority="193"/>
  </conditionalFormatting>
  <conditionalFormatting sqref="G2475:G1048576">
    <cfRule type="duplicateValues" dxfId="625" priority="192"/>
  </conditionalFormatting>
  <conditionalFormatting sqref="I2466:I1048576">
    <cfRule type="duplicateValues" dxfId="624" priority="191"/>
  </conditionalFormatting>
  <conditionalFormatting sqref="K2457:K1048576">
    <cfRule type="duplicateValues" dxfId="623" priority="190"/>
  </conditionalFormatting>
  <conditionalFormatting sqref="M2448:M1048576">
    <cfRule type="duplicateValues" dxfId="622" priority="189"/>
  </conditionalFormatting>
  <conditionalFormatting sqref="D2439:D1048576">
    <cfRule type="duplicateValues" dxfId="621" priority="188"/>
  </conditionalFormatting>
  <conditionalFormatting sqref="E2430:E1048576">
    <cfRule type="duplicateValues" dxfId="620" priority="187"/>
  </conditionalFormatting>
  <conditionalFormatting sqref="F2421:F1048576">
    <cfRule type="duplicateValues" dxfId="619" priority="186"/>
  </conditionalFormatting>
  <conditionalFormatting sqref="H2412:H1048576">
    <cfRule type="duplicateValues" dxfId="618" priority="185"/>
  </conditionalFormatting>
  <conditionalFormatting sqref="J2403:J1048576">
    <cfRule type="duplicateValues" dxfId="617" priority="184"/>
  </conditionalFormatting>
  <conditionalFormatting sqref="L2394:L1048576">
    <cfRule type="duplicateValues" dxfId="616" priority="183"/>
  </conditionalFormatting>
  <conditionalFormatting sqref="N2385:N1048576">
    <cfRule type="duplicateValues" dxfId="615" priority="182"/>
  </conditionalFormatting>
  <conditionalFormatting sqref="G2376:G1048576">
    <cfRule type="duplicateValues" dxfId="614" priority="181"/>
  </conditionalFormatting>
  <conditionalFormatting sqref="I2367:I1048576">
    <cfRule type="duplicateValues" dxfId="613" priority="180"/>
  </conditionalFormatting>
  <conditionalFormatting sqref="K2358:K1048576">
    <cfRule type="duplicateValues" dxfId="612" priority="179"/>
  </conditionalFormatting>
  <conditionalFormatting sqref="M2349:M1048576">
    <cfRule type="duplicateValues" dxfId="611" priority="178"/>
  </conditionalFormatting>
  <conditionalFormatting sqref="D2340:D1048576">
    <cfRule type="duplicateValues" dxfId="610" priority="177"/>
  </conditionalFormatting>
  <conditionalFormatting sqref="E2331:E1048576">
    <cfRule type="duplicateValues" dxfId="609" priority="176"/>
  </conditionalFormatting>
  <conditionalFormatting sqref="F2322:F1048576">
    <cfRule type="duplicateValues" dxfId="608" priority="175"/>
  </conditionalFormatting>
  <conditionalFormatting sqref="H2313:H1048576">
    <cfRule type="duplicateValues" dxfId="607" priority="174"/>
  </conditionalFormatting>
  <conditionalFormatting sqref="J2306:J1048576">
    <cfRule type="duplicateValues" dxfId="606" priority="173"/>
  </conditionalFormatting>
  <conditionalFormatting sqref="L2299:L1048576">
    <cfRule type="duplicateValues" dxfId="605" priority="172"/>
  </conditionalFormatting>
  <conditionalFormatting sqref="N2292:N1048576">
    <cfRule type="duplicateValues" dxfId="604" priority="171"/>
  </conditionalFormatting>
  <conditionalFormatting sqref="G2285:G1048576">
    <cfRule type="duplicateValues" dxfId="603" priority="170"/>
  </conditionalFormatting>
  <conditionalFormatting sqref="I2278:I1048576">
    <cfRule type="duplicateValues" dxfId="602" priority="169"/>
  </conditionalFormatting>
  <conditionalFormatting sqref="K2271:K1048576">
    <cfRule type="duplicateValues" dxfId="601" priority="168"/>
  </conditionalFormatting>
  <conditionalFormatting sqref="M2264:M1048576">
    <cfRule type="duplicateValues" dxfId="600" priority="167"/>
  </conditionalFormatting>
  <conditionalFormatting sqref="D2257:D1048576">
    <cfRule type="duplicateValues" dxfId="599" priority="166"/>
  </conditionalFormatting>
  <conditionalFormatting sqref="E2250:E1048576">
    <cfRule type="duplicateValues" dxfId="598" priority="165"/>
  </conditionalFormatting>
  <conditionalFormatting sqref="F2243:F1048576">
    <cfRule type="duplicateValues" dxfId="597" priority="164"/>
  </conditionalFormatting>
  <conditionalFormatting sqref="H2236:H1048576">
    <cfRule type="duplicateValues" dxfId="596" priority="163"/>
  </conditionalFormatting>
  <conditionalFormatting sqref="J2229:J1048576">
    <cfRule type="duplicateValues" dxfId="595" priority="162"/>
  </conditionalFormatting>
  <conditionalFormatting sqref="L2220:L1048576">
    <cfRule type="duplicateValues" dxfId="594" priority="161"/>
  </conditionalFormatting>
  <conditionalFormatting sqref="N2211:N1048576">
    <cfRule type="duplicateValues" dxfId="593" priority="160"/>
  </conditionalFormatting>
  <conditionalFormatting sqref="G2202:G1048576">
    <cfRule type="duplicateValues" dxfId="592" priority="159"/>
  </conditionalFormatting>
  <conditionalFormatting sqref="I2193:I1048576">
    <cfRule type="duplicateValues" dxfId="591" priority="158"/>
  </conditionalFormatting>
  <conditionalFormatting sqref="K2184:K1048576">
    <cfRule type="duplicateValues" dxfId="590" priority="157"/>
  </conditionalFormatting>
  <conditionalFormatting sqref="M2175:M1048576">
    <cfRule type="duplicateValues" dxfId="589" priority="156"/>
  </conditionalFormatting>
  <conditionalFormatting sqref="D2166:D1048576">
    <cfRule type="duplicateValues" dxfId="588" priority="155"/>
  </conditionalFormatting>
  <conditionalFormatting sqref="E2157:E1048576">
    <cfRule type="duplicateValues" dxfId="587" priority="154"/>
  </conditionalFormatting>
  <conditionalFormatting sqref="F2148:F1048576">
    <cfRule type="duplicateValues" dxfId="586" priority="153"/>
  </conditionalFormatting>
  <conditionalFormatting sqref="H2139:H1048576">
    <cfRule type="duplicateValues" dxfId="585" priority="152"/>
  </conditionalFormatting>
  <conditionalFormatting sqref="J2130:J1048576">
    <cfRule type="duplicateValues" dxfId="584" priority="151"/>
  </conditionalFormatting>
  <conditionalFormatting sqref="L2121:L1048576">
    <cfRule type="duplicateValues" dxfId="583" priority="150"/>
  </conditionalFormatting>
  <conditionalFormatting sqref="N2112:N1048576">
    <cfRule type="duplicateValues" dxfId="582" priority="149"/>
  </conditionalFormatting>
  <conditionalFormatting sqref="G2103:G1048576">
    <cfRule type="duplicateValues" dxfId="581" priority="148"/>
  </conditionalFormatting>
  <conditionalFormatting sqref="I2092:I1048576">
    <cfRule type="duplicateValues" dxfId="580" priority="147"/>
  </conditionalFormatting>
  <conditionalFormatting sqref="K2083:K1048576">
    <cfRule type="duplicateValues" dxfId="579" priority="146"/>
  </conditionalFormatting>
  <conditionalFormatting sqref="M2074:M1048576">
    <cfRule type="duplicateValues" dxfId="578" priority="145"/>
  </conditionalFormatting>
  <conditionalFormatting sqref="D2065:D1048576">
    <cfRule type="duplicateValues" dxfId="577" priority="144"/>
  </conditionalFormatting>
  <conditionalFormatting sqref="E2056:E1048576">
    <cfRule type="duplicateValues" dxfId="576" priority="143"/>
  </conditionalFormatting>
  <conditionalFormatting sqref="F2047:F1048576">
    <cfRule type="duplicateValues" dxfId="575" priority="142"/>
  </conditionalFormatting>
  <conditionalFormatting sqref="H2038:H1048576">
    <cfRule type="duplicateValues" dxfId="574" priority="141"/>
  </conditionalFormatting>
  <conditionalFormatting sqref="J2029:J1048576">
    <cfRule type="duplicateValues" dxfId="573" priority="140"/>
  </conditionalFormatting>
  <conditionalFormatting sqref="L2020:L1048576">
    <cfRule type="duplicateValues" dxfId="572" priority="139"/>
  </conditionalFormatting>
  <conditionalFormatting sqref="N2011:N1048576">
    <cfRule type="duplicateValues" dxfId="571" priority="138"/>
  </conditionalFormatting>
  <conditionalFormatting sqref="G2002:G1048576">
    <cfRule type="duplicateValues" dxfId="570" priority="137"/>
  </conditionalFormatting>
  <conditionalFormatting sqref="I1993:I1048576">
    <cfRule type="duplicateValues" dxfId="569" priority="136"/>
  </conditionalFormatting>
  <conditionalFormatting sqref="K1984:K1048576">
    <cfRule type="duplicateValues" dxfId="568" priority="135"/>
  </conditionalFormatting>
  <conditionalFormatting sqref="M1975:M1048576">
    <cfRule type="duplicateValues" dxfId="567" priority="134"/>
  </conditionalFormatting>
  <conditionalFormatting sqref="D1966:D1048576">
    <cfRule type="duplicateValues" dxfId="566" priority="133"/>
  </conditionalFormatting>
  <conditionalFormatting sqref="E1957:E1048576">
    <cfRule type="duplicateValues" dxfId="565" priority="132"/>
  </conditionalFormatting>
  <conditionalFormatting sqref="F1948:F1048576">
    <cfRule type="duplicateValues" dxfId="564" priority="131"/>
  </conditionalFormatting>
  <conditionalFormatting sqref="H1939:H1048576">
    <cfRule type="duplicateValues" dxfId="563" priority="130"/>
  </conditionalFormatting>
  <conditionalFormatting sqref="J1930:J1048576">
    <cfRule type="duplicateValues" dxfId="562" priority="129"/>
  </conditionalFormatting>
  <conditionalFormatting sqref="L1921:L1048576">
    <cfRule type="duplicateValues" dxfId="561" priority="128"/>
  </conditionalFormatting>
  <conditionalFormatting sqref="N1912:N1048576">
    <cfRule type="duplicateValues" dxfId="560" priority="127"/>
  </conditionalFormatting>
  <conditionalFormatting sqref="G1903:G1048576">
    <cfRule type="duplicateValues" dxfId="559" priority="126"/>
  </conditionalFormatting>
  <conditionalFormatting sqref="I1892:I1048576">
    <cfRule type="duplicateValues" dxfId="558" priority="125"/>
  </conditionalFormatting>
  <conditionalFormatting sqref="K1881:K1048576">
    <cfRule type="duplicateValues" dxfId="557" priority="124"/>
  </conditionalFormatting>
  <conditionalFormatting sqref="M1870:M1048576">
    <cfRule type="duplicateValues" dxfId="556" priority="123"/>
  </conditionalFormatting>
  <conditionalFormatting sqref="D1859:D1048576">
    <cfRule type="duplicateValues" dxfId="555" priority="122"/>
  </conditionalFormatting>
  <conditionalFormatting sqref="E1848:E1048576">
    <cfRule type="duplicateValues" dxfId="554" priority="121"/>
  </conditionalFormatting>
  <conditionalFormatting sqref="F1837:F1048576">
    <cfRule type="duplicateValues" dxfId="553" priority="120"/>
  </conditionalFormatting>
  <conditionalFormatting sqref="H1826:H1048576">
    <cfRule type="duplicateValues" dxfId="552" priority="119"/>
  </conditionalFormatting>
  <conditionalFormatting sqref="J1815:J1048576">
    <cfRule type="duplicateValues" dxfId="551" priority="118"/>
  </conditionalFormatting>
  <conditionalFormatting sqref="L1804:L1048576">
    <cfRule type="duplicateValues" dxfId="550" priority="117"/>
  </conditionalFormatting>
  <conditionalFormatting sqref="N1793:N1048576">
    <cfRule type="duplicateValues" dxfId="549" priority="116"/>
  </conditionalFormatting>
  <conditionalFormatting sqref="G1782:G1048576">
    <cfRule type="duplicateValues" dxfId="548" priority="115"/>
  </conditionalFormatting>
  <conditionalFormatting sqref="I1773:I1048576">
    <cfRule type="duplicateValues" dxfId="547" priority="114"/>
  </conditionalFormatting>
  <conditionalFormatting sqref="K1764:K1048576">
    <cfRule type="duplicateValues" dxfId="546" priority="113"/>
  </conditionalFormatting>
  <conditionalFormatting sqref="M1760:M1048576">
    <cfRule type="duplicateValues" dxfId="545" priority="112"/>
  </conditionalFormatting>
  <conditionalFormatting sqref="D1758:D1048576">
    <cfRule type="duplicateValues" dxfId="544" priority="111"/>
  </conditionalFormatting>
  <conditionalFormatting sqref="E1746:E1048576">
    <cfRule type="duplicateValues" dxfId="543" priority="110"/>
  </conditionalFormatting>
  <conditionalFormatting sqref="F1734:F1048576">
    <cfRule type="duplicateValues" dxfId="542" priority="109"/>
  </conditionalFormatting>
  <conditionalFormatting sqref="H1722:H1048576">
    <cfRule type="duplicateValues" dxfId="541" priority="108"/>
  </conditionalFormatting>
  <conditionalFormatting sqref="J1711:J1048576">
    <cfRule type="duplicateValues" dxfId="540" priority="107"/>
  </conditionalFormatting>
  <conditionalFormatting sqref="L1700:L1048576">
    <cfRule type="duplicateValues" dxfId="539" priority="106"/>
  </conditionalFormatting>
  <conditionalFormatting sqref="N1689:N1048576">
    <cfRule type="duplicateValues" dxfId="538" priority="105"/>
  </conditionalFormatting>
  <conditionalFormatting sqref="G1678:G1048576">
    <cfRule type="duplicateValues" dxfId="537" priority="104"/>
  </conditionalFormatting>
  <conditionalFormatting sqref="I1667:I1048576">
    <cfRule type="duplicateValues" dxfId="536" priority="103"/>
  </conditionalFormatting>
  <conditionalFormatting sqref="K1656:K1048576">
    <cfRule type="duplicateValues" dxfId="535" priority="102"/>
  </conditionalFormatting>
  <conditionalFormatting sqref="M1645:M1048576">
    <cfRule type="duplicateValues" dxfId="534" priority="101"/>
  </conditionalFormatting>
  <conditionalFormatting sqref="D1634:D1048576">
    <cfRule type="duplicateValues" dxfId="533" priority="100"/>
  </conditionalFormatting>
  <conditionalFormatting sqref="E1622:E1048576">
    <cfRule type="duplicateValues" dxfId="532" priority="99"/>
  </conditionalFormatting>
  <conditionalFormatting sqref="F1610:F1048576">
    <cfRule type="duplicateValues" dxfId="531" priority="98"/>
  </conditionalFormatting>
  <conditionalFormatting sqref="H1598:H1048576">
    <cfRule type="duplicateValues" dxfId="530" priority="97"/>
  </conditionalFormatting>
  <conditionalFormatting sqref="J1586:J1048576">
    <cfRule type="duplicateValues" dxfId="529" priority="96"/>
  </conditionalFormatting>
  <conditionalFormatting sqref="L1574:L1048576">
    <cfRule type="duplicateValues" dxfId="528" priority="95"/>
  </conditionalFormatting>
  <conditionalFormatting sqref="N1562:N1048576">
    <cfRule type="duplicateValues" dxfId="527" priority="94"/>
  </conditionalFormatting>
  <conditionalFormatting sqref="G1550:G1048576">
    <cfRule type="duplicateValues" dxfId="526" priority="93"/>
  </conditionalFormatting>
  <conditionalFormatting sqref="I1538:I1048576">
    <cfRule type="duplicateValues" dxfId="525" priority="92"/>
  </conditionalFormatting>
  <conditionalFormatting sqref="K1526:K1048576">
    <cfRule type="duplicateValues" dxfId="524" priority="91"/>
  </conditionalFormatting>
  <conditionalFormatting sqref="M1514:M1048576">
    <cfRule type="duplicateValues" dxfId="523" priority="90"/>
  </conditionalFormatting>
  <conditionalFormatting sqref="D1502:D1048576">
    <cfRule type="duplicateValues" dxfId="522" priority="89"/>
  </conditionalFormatting>
  <conditionalFormatting sqref="E1490:E1048576">
    <cfRule type="duplicateValues" dxfId="521" priority="88"/>
  </conditionalFormatting>
  <conditionalFormatting sqref="F1478:F1048576">
    <cfRule type="duplicateValues" dxfId="520" priority="87"/>
  </conditionalFormatting>
  <conditionalFormatting sqref="H1466:H1048576">
    <cfRule type="duplicateValues" dxfId="519" priority="86"/>
  </conditionalFormatting>
  <conditionalFormatting sqref="J1454:J1048576">
    <cfRule type="duplicateValues" dxfId="518" priority="85"/>
  </conditionalFormatting>
  <conditionalFormatting sqref="L1442:L1048576">
    <cfRule type="duplicateValues" dxfId="517" priority="84"/>
  </conditionalFormatting>
  <conditionalFormatting sqref="N1430:N1048576">
    <cfRule type="duplicateValues" dxfId="516" priority="83"/>
  </conditionalFormatting>
  <conditionalFormatting sqref="G1418:G1048576">
    <cfRule type="duplicateValues" dxfId="515" priority="82"/>
  </conditionalFormatting>
  <conditionalFormatting sqref="I1407:I1048576">
    <cfRule type="duplicateValues" dxfId="514" priority="81"/>
  </conditionalFormatting>
  <conditionalFormatting sqref="K1396:K1048576">
    <cfRule type="duplicateValues" dxfId="513" priority="80"/>
  </conditionalFormatting>
  <conditionalFormatting sqref="M1383:M1048576">
    <cfRule type="duplicateValues" dxfId="512" priority="79"/>
  </conditionalFormatting>
  <conditionalFormatting sqref="D1370:D1048576">
    <cfRule type="duplicateValues" dxfId="511" priority="78"/>
  </conditionalFormatting>
  <conditionalFormatting sqref="E1357:E1048576">
    <cfRule type="duplicateValues" dxfId="510" priority="77"/>
  </conditionalFormatting>
  <conditionalFormatting sqref="F1344:F1048576">
    <cfRule type="duplicateValues" dxfId="509" priority="76"/>
  </conditionalFormatting>
  <conditionalFormatting sqref="H1331:H1048576">
    <cfRule type="duplicateValues" dxfId="508" priority="75"/>
  </conditionalFormatting>
  <conditionalFormatting sqref="J1318:J1048576">
    <cfRule type="duplicateValues" dxfId="507" priority="74"/>
  </conditionalFormatting>
  <conditionalFormatting sqref="L1305:L1048576">
    <cfRule type="duplicateValues" dxfId="506" priority="73"/>
  </conditionalFormatting>
  <conditionalFormatting sqref="N1292:N1048576">
    <cfRule type="duplicateValues" dxfId="505" priority="72"/>
  </conditionalFormatting>
  <conditionalFormatting sqref="G1279:G1048576">
    <cfRule type="duplicateValues" dxfId="504" priority="71"/>
  </conditionalFormatting>
  <conditionalFormatting sqref="I1266:I1048576">
    <cfRule type="duplicateValues" dxfId="503" priority="70"/>
  </conditionalFormatting>
  <conditionalFormatting sqref="K1255:K1048576">
    <cfRule type="duplicateValues" dxfId="502" priority="69"/>
  </conditionalFormatting>
  <conditionalFormatting sqref="M1244:M1048576">
    <cfRule type="duplicateValues" dxfId="501" priority="68"/>
  </conditionalFormatting>
  <conditionalFormatting sqref="D1233:D1048576">
    <cfRule type="duplicateValues" dxfId="500" priority="67"/>
  </conditionalFormatting>
  <conditionalFormatting sqref="E1222:E1048576">
    <cfRule type="duplicateValues" dxfId="499" priority="66"/>
  </conditionalFormatting>
  <conditionalFormatting sqref="F1211:F1048576">
    <cfRule type="duplicateValues" dxfId="498" priority="65"/>
  </conditionalFormatting>
  <conditionalFormatting sqref="H1200:H1048576">
    <cfRule type="duplicateValues" dxfId="497" priority="64"/>
  </conditionalFormatting>
  <conditionalFormatting sqref="J1189:J1048576">
    <cfRule type="duplicateValues" dxfId="496" priority="63"/>
  </conditionalFormatting>
  <conditionalFormatting sqref="L1178:L1048576">
    <cfRule type="duplicateValues" dxfId="495" priority="62"/>
  </conditionalFormatting>
  <conditionalFormatting sqref="N1167:N1048576">
    <cfRule type="duplicateValues" dxfId="494" priority="61"/>
  </conditionalFormatting>
  <conditionalFormatting sqref="G1156:G1048576">
    <cfRule type="duplicateValues" dxfId="493" priority="60"/>
  </conditionalFormatting>
  <conditionalFormatting sqref="I1145:I1048576">
    <cfRule type="duplicateValues" dxfId="492" priority="59"/>
  </conditionalFormatting>
  <conditionalFormatting sqref="K1134:K1048576">
    <cfRule type="duplicateValues" dxfId="491" priority="58"/>
  </conditionalFormatting>
  <conditionalFormatting sqref="M1123:M1048576">
    <cfRule type="duplicateValues" dxfId="490" priority="57"/>
  </conditionalFormatting>
  <conditionalFormatting sqref="D1112:D1048576">
    <cfRule type="duplicateValues" dxfId="489" priority="56"/>
  </conditionalFormatting>
  <conditionalFormatting sqref="E1101:E1048576">
    <cfRule type="duplicateValues" dxfId="488" priority="55"/>
  </conditionalFormatting>
  <conditionalFormatting sqref="F1090:F1048576">
    <cfRule type="duplicateValues" dxfId="487" priority="54"/>
  </conditionalFormatting>
  <conditionalFormatting sqref="H1079:H1048576">
    <cfRule type="duplicateValues" dxfId="486" priority="53"/>
  </conditionalFormatting>
  <conditionalFormatting sqref="J1068:J1048576">
    <cfRule type="duplicateValues" dxfId="485" priority="52"/>
  </conditionalFormatting>
  <conditionalFormatting sqref="L1057:L1048576">
    <cfRule type="duplicateValues" dxfId="484" priority="51"/>
  </conditionalFormatting>
  <conditionalFormatting sqref="N1046:N1048576">
    <cfRule type="duplicateValues" dxfId="483" priority="50"/>
  </conditionalFormatting>
  <conditionalFormatting sqref="G1035:G1048576">
    <cfRule type="duplicateValues" dxfId="482" priority="49"/>
  </conditionalFormatting>
  <conditionalFormatting sqref="I1024:I1048576">
    <cfRule type="duplicateValues" dxfId="481" priority="48"/>
  </conditionalFormatting>
  <conditionalFormatting sqref="K1013:K1048576">
    <cfRule type="duplicateValues" dxfId="480" priority="47"/>
  </conditionalFormatting>
  <conditionalFormatting sqref="M1002:M1048576">
    <cfRule type="duplicateValues" dxfId="479" priority="46"/>
  </conditionalFormatting>
  <conditionalFormatting sqref="D989:D1048576">
    <cfRule type="duplicateValues" dxfId="478" priority="45"/>
  </conditionalFormatting>
  <conditionalFormatting sqref="E976:E1048576">
    <cfRule type="duplicateValues" dxfId="477" priority="44"/>
  </conditionalFormatting>
  <conditionalFormatting sqref="F963:F1048576">
    <cfRule type="duplicateValues" dxfId="476" priority="43"/>
  </conditionalFormatting>
  <conditionalFormatting sqref="H950:H1048576">
    <cfRule type="duplicateValues" dxfId="475" priority="42"/>
  </conditionalFormatting>
  <conditionalFormatting sqref="J937:J1048576">
    <cfRule type="duplicateValues" dxfId="474" priority="41"/>
  </conditionalFormatting>
  <conditionalFormatting sqref="L924:L1048576">
    <cfRule type="duplicateValues" dxfId="473" priority="40"/>
  </conditionalFormatting>
  <conditionalFormatting sqref="N913:N1048576">
    <cfRule type="duplicateValues" dxfId="472" priority="39"/>
  </conditionalFormatting>
  <conditionalFormatting sqref="G902:G1048576">
    <cfRule type="duplicateValues" dxfId="471" priority="38"/>
  </conditionalFormatting>
  <conditionalFormatting sqref="I891:I1048576">
    <cfRule type="duplicateValues" dxfId="470" priority="37"/>
  </conditionalFormatting>
  <conditionalFormatting sqref="K880:K1048576">
    <cfRule type="duplicateValues" dxfId="469" priority="36"/>
  </conditionalFormatting>
  <conditionalFormatting sqref="M871:M1048576">
    <cfRule type="duplicateValues" dxfId="468" priority="35"/>
  </conditionalFormatting>
  <conditionalFormatting sqref="D862:D1048576">
    <cfRule type="duplicateValues" dxfId="467" priority="34"/>
  </conditionalFormatting>
  <conditionalFormatting sqref="E853:E1048576">
    <cfRule type="duplicateValues" dxfId="466" priority="33"/>
  </conditionalFormatting>
  <conditionalFormatting sqref="F844:F1048576">
    <cfRule type="duplicateValues" dxfId="465" priority="32"/>
  </conditionalFormatting>
  <conditionalFormatting sqref="H835:H1048576">
    <cfRule type="duplicateValues" dxfId="464" priority="31"/>
  </conditionalFormatting>
  <conditionalFormatting sqref="J824:J1048576">
    <cfRule type="duplicateValues" dxfId="463" priority="30"/>
  </conditionalFormatting>
  <conditionalFormatting sqref="L813:L1048576">
    <cfRule type="duplicateValues" dxfId="462" priority="29"/>
  </conditionalFormatting>
  <conditionalFormatting sqref="N802:N1048576">
    <cfRule type="duplicateValues" dxfId="461" priority="28"/>
  </conditionalFormatting>
  <conditionalFormatting sqref="G791:G1048576">
    <cfRule type="duplicateValues" dxfId="460" priority="27"/>
  </conditionalFormatting>
  <conditionalFormatting sqref="I780:I1048576">
    <cfRule type="duplicateValues" dxfId="459" priority="26"/>
  </conditionalFormatting>
  <conditionalFormatting sqref="K769:K1048576">
    <cfRule type="duplicateValues" dxfId="458" priority="25"/>
  </conditionalFormatting>
  <conditionalFormatting sqref="M758:M1048576">
    <cfRule type="duplicateValues" dxfId="457" priority="24"/>
  </conditionalFormatting>
  <conditionalFormatting sqref="D747:D1048576">
    <cfRule type="duplicateValues" dxfId="456" priority="23"/>
  </conditionalFormatting>
  <conditionalFormatting sqref="E734:E1048576">
    <cfRule type="duplicateValues" dxfId="455" priority="22"/>
  </conditionalFormatting>
  <conditionalFormatting sqref="F721:F1048576">
    <cfRule type="duplicateValues" dxfId="454" priority="21"/>
  </conditionalFormatting>
  <conditionalFormatting sqref="H710:H1048576">
    <cfRule type="duplicateValues" dxfId="453" priority="20"/>
  </conditionalFormatting>
  <conditionalFormatting sqref="J699:J1048576">
    <cfRule type="duplicateValues" dxfId="452" priority="19"/>
  </conditionalFormatting>
  <conditionalFormatting sqref="L688:L1048576">
    <cfRule type="duplicateValues" dxfId="451" priority="18"/>
  </conditionalFormatting>
  <conditionalFormatting sqref="N677:N1048576">
    <cfRule type="duplicateValues" dxfId="450" priority="17"/>
  </conditionalFormatting>
  <conditionalFormatting sqref="G666:G1048576">
    <cfRule type="duplicateValues" dxfId="449" priority="16"/>
  </conditionalFormatting>
  <conditionalFormatting sqref="I655:I1048576">
    <cfRule type="duplicateValues" dxfId="448" priority="15"/>
  </conditionalFormatting>
  <conditionalFormatting sqref="K644:K1048576">
    <cfRule type="duplicateValues" dxfId="447" priority="14"/>
  </conditionalFormatting>
  <conditionalFormatting sqref="M633:M1048576">
    <cfRule type="duplicateValues" dxfId="446" priority="13"/>
  </conditionalFormatting>
  <conditionalFormatting sqref="D622:D1048576">
    <cfRule type="duplicateValues" dxfId="445" priority="12"/>
  </conditionalFormatting>
  <conditionalFormatting sqref="E611:E1048576">
    <cfRule type="duplicateValues" dxfId="444" priority="11"/>
  </conditionalFormatting>
  <conditionalFormatting sqref="F600:F1048576">
    <cfRule type="duplicateValues" dxfId="443" priority="10"/>
  </conditionalFormatting>
  <conditionalFormatting sqref="H589:H1048576">
    <cfRule type="duplicateValues" dxfId="442" priority="9"/>
  </conditionalFormatting>
  <conditionalFormatting sqref="J578:J1048576">
    <cfRule type="duplicateValues" dxfId="441" priority="8"/>
  </conditionalFormatting>
  <conditionalFormatting sqref="L567:L1048576">
    <cfRule type="duplicateValues" dxfId="440" priority="7"/>
  </conditionalFormatting>
  <conditionalFormatting sqref="N556:N1048576">
    <cfRule type="duplicateValues" dxfId="439" priority="6"/>
  </conditionalFormatting>
  <conditionalFormatting sqref="G545:G1048576">
    <cfRule type="duplicateValues" dxfId="438" priority="5"/>
  </conditionalFormatting>
  <conditionalFormatting sqref="I534:I1048576">
    <cfRule type="duplicateValues" dxfId="437" priority="4"/>
  </conditionalFormatting>
  <conditionalFormatting sqref="K523:K1048576">
    <cfRule type="duplicateValues" dxfId="436" priority="3"/>
  </conditionalFormatting>
  <conditionalFormatting sqref="M512:M1048576">
    <cfRule type="duplicateValues" dxfId="435" priority="2"/>
  </conditionalFormatting>
  <conditionalFormatting sqref="D1:D2 D4:D1048576">
    <cfRule type="duplicateValues" dxfId="434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F5E26A-F0A6-472E-9F81-B0792B8CEBDB}">
  <sheetPr codeName="Sheet8"/>
  <dimension ref="B3:M71"/>
  <sheetViews>
    <sheetView showGridLines="0" tabSelected="1" topLeftCell="A26" workbookViewId="0">
      <selection activeCell="E48" sqref="E48"/>
    </sheetView>
  </sheetViews>
  <sheetFormatPr defaultRowHeight="15" x14ac:dyDescent="0.25"/>
  <cols>
    <col min="2" max="2" width="9.140625" hidden="1" customWidth="1"/>
    <col min="3" max="3" width="7.28515625" bestFit="1" customWidth="1"/>
    <col min="4" max="4" width="13.28515625" bestFit="1" customWidth="1"/>
    <col min="5" max="5" width="37.85546875" customWidth="1"/>
    <col min="6" max="6" width="18.7109375" bestFit="1" customWidth="1"/>
    <col min="7" max="7" width="21.28515625" bestFit="1" customWidth="1"/>
    <col min="8" max="8" width="26.7109375" customWidth="1"/>
    <col min="9" max="9" width="21.85546875" customWidth="1"/>
    <col min="10" max="10" width="15.28515625" bestFit="1" customWidth="1"/>
    <col min="11" max="11" width="12" bestFit="1" customWidth="1"/>
    <col min="12" max="12" width="14.28515625" bestFit="1" customWidth="1"/>
    <col min="13" max="13" width="12.140625" bestFit="1" customWidth="1"/>
  </cols>
  <sheetData>
    <row r="3" spans="2:12" ht="24" thickBot="1" x14ac:dyDescent="0.4">
      <c r="D3" s="226" t="s">
        <v>89</v>
      </c>
      <c r="E3" s="226"/>
      <c r="F3" s="226"/>
      <c r="G3" s="226"/>
      <c r="H3" s="226"/>
      <c r="I3" s="226"/>
      <c r="J3" s="226"/>
      <c r="K3" s="226"/>
    </row>
    <row r="4" spans="2:12" ht="15.75" thickBot="1" x14ac:dyDescent="0.3">
      <c r="D4" s="221" t="s">
        <v>4</v>
      </c>
      <c r="E4" s="221" t="s">
        <v>71</v>
      </c>
      <c r="F4" s="221" t="s">
        <v>72</v>
      </c>
      <c r="G4" s="221" t="s">
        <v>211</v>
      </c>
      <c r="H4" s="221" t="s">
        <v>187</v>
      </c>
      <c r="I4" s="221" t="s">
        <v>67</v>
      </c>
      <c r="J4" s="221" t="s">
        <v>62</v>
      </c>
      <c r="K4" s="222" t="s">
        <v>53</v>
      </c>
    </row>
    <row r="5" spans="2:12" x14ac:dyDescent="0.25">
      <c r="D5" s="17"/>
      <c r="H5" s="20"/>
      <c r="I5" s="20"/>
      <c r="J5" s="15"/>
      <c r="K5" s="16"/>
    </row>
    <row r="6" spans="2:12" ht="15.75" thickBot="1" x14ac:dyDescent="0.3">
      <c r="B6" t="s">
        <v>18</v>
      </c>
      <c r="D6" s="9" t="s">
        <v>27</v>
      </c>
      <c r="E6" s="26" t="s">
        <v>506</v>
      </c>
      <c r="F6" s="26" t="s">
        <v>252</v>
      </c>
      <c r="G6" s="26" t="s">
        <v>74</v>
      </c>
      <c r="H6" s="27">
        <v>50000000</v>
      </c>
      <c r="I6" s="27">
        <v>1624524</v>
      </c>
      <c r="J6" s="30">
        <f>H6+I6</f>
        <v>51624524</v>
      </c>
      <c r="K6" s="28">
        <v>46359</v>
      </c>
    </row>
    <row r="7" spans="2:12" ht="15.75" thickBot="1" x14ac:dyDescent="0.3">
      <c r="B7" t="s">
        <v>18</v>
      </c>
      <c r="D7" s="201"/>
      <c r="E7" s="202"/>
      <c r="F7" s="202"/>
      <c r="G7" s="203" t="s">
        <v>54</v>
      </c>
      <c r="H7" s="204">
        <f>SUM(H6)</f>
        <v>50000000</v>
      </c>
      <c r="I7" s="204">
        <f>SUM(I6)</f>
        <v>1624524</v>
      </c>
      <c r="J7" s="204">
        <f>SUM(J6)</f>
        <v>51624524</v>
      </c>
      <c r="K7" s="205"/>
    </row>
    <row r="8" spans="2:12" ht="15.75" thickBot="1" x14ac:dyDescent="0.3">
      <c r="D8" s="17"/>
      <c r="H8" s="20"/>
      <c r="I8" s="20"/>
      <c r="J8" s="15"/>
      <c r="K8" s="16"/>
    </row>
    <row r="9" spans="2:12" ht="15.75" thickBot="1" x14ac:dyDescent="0.3">
      <c r="C9" s="195" t="s">
        <v>18</v>
      </c>
      <c r="D9" s="189"/>
      <c r="E9" s="196"/>
      <c r="F9" s="196"/>
      <c r="G9" s="197" t="s">
        <v>209</v>
      </c>
      <c r="H9" s="198">
        <f>H7</f>
        <v>50000000</v>
      </c>
      <c r="I9" s="198">
        <f>I7</f>
        <v>1624524</v>
      </c>
      <c r="J9" s="198">
        <f>J7</f>
        <v>51624524</v>
      </c>
      <c r="K9" s="199"/>
    </row>
    <row r="10" spans="2:12" x14ac:dyDescent="0.25">
      <c r="D10" s="17"/>
      <c r="H10" s="20"/>
      <c r="I10" s="20"/>
      <c r="J10" s="15"/>
      <c r="K10" s="16"/>
    </row>
    <row r="11" spans="2:12" x14ac:dyDescent="0.25">
      <c r="B11" t="s">
        <v>22</v>
      </c>
      <c r="D11" s="9" t="s">
        <v>151</v>
      </c>
      <c r="E11" s="171" t="s">
        <v>359</v>
      </c>
      <c r="F11" s="26" t="s">
        <v>230</v>
      </c>
      <c r="G11" s="171" t="s">
        <v>74</v>
      </c>
      <c r="H11" s="194">
        <v>50000000</v>
      </c>
      <c r="I11" s="194">
        <v>231381</v>
      </c>
      <c r="J11" s="158">
        <f>H11+I11</f>
        <v>50231381</v>
      </c>
      <c r="K11" s="172">
        <v>46201</v>
      </c>
      <c r="L11" s="16"/>
    </row>
    <row r="12" spans="2:12" x14ac:dyDescent="0.25">
      <c r="B12" t="s">
        <v>22</v>
      </c>
      <c r="D12" s="193"/>
      <c r="E12" s="171" t="s">
        <v>333</v>
      </c>
      <c r="F12" s="26" t="s">
        <v>230</v>
      </c>
      <c r="G12" s="171" t="s">
        <v>74</v>
      </c>
      <c r="H12" s="194">
        <f>20000000/2</f>
        <v>10000000</v>
      </c>
      <c r="I12" s="194">
        <v>150176.54</v>
      </c>
      <c r="J12" s="158">
        <f>H12+I12</f>
        <v>10150176.539999999</v>
      </c>
      <c r="K12" s="172">
        <v>46219</v>
      </c>
    </row>
    <row r="13" spans="2:12" x14ac:dyDescent="0.25">
      <c r="B13" t="s">
        <v>22</v>
      </c>
      <c r="D13" s="9"/>
      <c r="E13" s="26" t="s">
        <v>479</v>
      </c>
      <c r="F13" s="26" t="s">
        <v>230</v>
      </c>
      <c r="G13" s="26" t="s">
        <v>74</v>
      </c>
      <c r="H13" s="27">
        <f>20000000/2</f>
        <v>10000000</v>
      </c>
      <c r="I13" s="27">
        <v>103481</v>
      </c>
      <c r="J13" s="30">
        <f>H13+I13</f>
        <v>10103481</v>
      </c>
      <c r="K13" s="28">
        <v>46219</v>
      </c>
    </row>
    <row r="14" spans="2:12" x14ac:dyDescent="0.25">
      <c r="B14" t="s">
        <v>22</v>
      </c>
      <c r="D14" s="9"/>
      <c r="E14" s="26" t="s">
        <v>478</v>
      </c>
      <c r="F14" s="26" t="s">
        <v>230</v>
      </c>
      <c r="G14" s="26" t="s">
        <v>74</v>
      </c>
      <c r="H14" s="27">
        <f>20000000/2</f>
        <v>10000000</v>
      </c>
      <c r="I14" s="27">
        <v>155221</v>
      </c>
      <c r="J14" s="30">
        <f>H14+I14</f>
        <v>10155221</v>
      </c>
      <c r="K14" s="28">
        <v>46249</v>
      </c>
    </row>
    <row r="15" spans="2:12" ht="15.75" thickBot="1" x14ac:dyDescent="0.3">
      <c r="B15" t="s">
        <v>22</v>
      </c>
      <c r="D15" s="9"/>
      <c r="E15" s="26" t="s">
        <v>562</v>
      </c>
      <c r="F15" s="26" t="s">
        <v>230</v>
      </c>
      <c r="G15" s="26" t="s">
        <v>74</v>
      </c>
      <c r="H15" s="223">
        <v>20000000</v>
      </c>
      <c r="I15" s="27">
        <v>1272232</v>
      </c>
      <c r="J15" s="30">
        <f>H15+I15</f>
        <v>21272232</v>
      </c>
      <c r="K15" s="28">
        <v>46559</v>
      </c>
    </row>
    <row r="16" spans="2:12" ht="15.75" thickBot="1" x14ac:dyDescent="0.3">
      <c r="B16" t="s">
        <v>22</v>
      </c>
      <c r="D16" s="201"/>
      <c r="E16" s="202"/>
      <c r="F16" s="202"/>
      <c r="G16" s="203" t="s">
        <v>54</v>
      </c>
      <c r="H16" s="204">
        <f>SUM(H11:H15)</f>
        <v>100000000</v>
      </c>
      <c r="I16" s="204">
        <f>SUM(I11:I15)</f>
        <v>1912491.54</v>
      </c>
      <c r="J16" s="204">
        <f>SUM(J11:J15)</f>
        <v>101912491.53999999</v>
      </c>
      <c r="K16" s="205"/>
    </row>
    <row r="17" spans="2:12" x14ac:dyDescent="0.25">
      <c r="B17" t="s">
        <v>22</v>
      </c>
      <c r="D17" s="17"/>
      <c r="H17" s="31"/>
      <c r="I17" s="31"/>
      <c r="J17" s="21"/>
      <c r="K17" s="16"/>
    </row>
    <row r="18" spans="2:12" x14ac:dyDescent="0.25">
      <c r="B18" t="s">
        <v>22</v>
      </c>
      <c r="D18" s="9" t="s">
        <v>116</v>
      </c>
      <c r="E18" s="162" t="s">
        <v>290</v>
      </c>
      <c r="F18" s="162" t="s">
        <v>73</v>
      </c>
      <c r="G18" s="162" t="s">
        <v>74</v>
      </c>
      <c r="H18" s="220">
        <v>3000000</v>
      </c>
      <c r="I18" s="180">
        <v>99645</v>
      </c>
      <c r="J18" s="157">
        <f>H18+I18</f>
        <v>3099645</v>
      </c>
      <c r="K18" s="174">
        <v>46203</v>
      </c>
      <c r="L18" s="16"/>
    </row>
    <row r="19" spans="2:12" x14ac:dyDescent="0.25">
      <c r="B19" t="s">
        <v>22</v>
      </c>
      <c r="D19" s="193"/>
      <c r="E19" s="162" t="s">
        <v>332</v>
      </c>
      <c r="F19" s="162" t="s">
        <v>73</v>
      </c>
      <c r="G19" s="162" t="s">
        <v>74</v>
      </c>
      <c r="H19" s="180">
        <v>20000000</v>
      </c>
      <c r="I19" s="180">
        <v>300743</v>
      </c>
      <c r="J19" s="157">
        <f>H19+I19</f>
        <v>20300743</v>
      </c>
      <c r="K19" s="174">
        <v>46220</v>
      </c>
    </row>
    <row r="20" spans="2:12" ht="15.75" thickBot="1" x14ac:dyDescent="0.3">
      <c r="B20" t="s">
        <v>22</v>
      </c>
      <c r="D20" s="193"/>
      <c r="E20" s="171" t="s">
        <v>546</v>
      </c>
      <c r="F20" s="171" t="s">
        <v>73</v>
      </c>
      <c r="G20" s="171" t="s">
        <v>74</v>
      </c>
      <c r="H20" s="194">
        <v>20000000</v>
      </c>
      <c r="I20" s="194">
        <v>312298</v>
      </c>
      <c r="J20" s="158">
        <f>H20+I20</f>
        <v>20312298</v>
      </c>
      <c r="K20" s="172">
        <v>46278</v>
      </c>
    </row>
    <row r="21" spans="2:12" ht="15.75" thickBot="1" x14ac:dyDescent="0.3">
      <c r="B21" t="s">
        <v>22</v>
      </c>
      <c r="D21" s="201"/>
      <c r="E21" s="202"/>
      <c r="F21" s="202"/>
      <c r="G21" s="203" t="s">
        <v>54</v>
      </c>
      <c r="H21" s="204">
        <f>SUM(H18:H20)</f>
        <v>43000000</v>
      </c>
      <c r="I21" s="204">
        <f>SUM(I18:I20)</f>
        <v>712686</v>
      </c>
      <c r="J21" s="204">
        <f>SUM(J18:J20)</f>
        <v>43712686</v>
      </c>
      <c r="K21" s="216"/>
    </row>
    <row r="22" spans="2:12" ht="15.75" thickBot="1" x14ac:dyDescent="0.3">
      <c r="C22" s="17"/>
      <c r="D22" s="17"/>
      <c r="G22" s="188"/>
      <c r="H22" s="192"/>
      <c r="I22" s="192"/>
      <c r="J22" s="192"/>
      <c r="K22" s="16"/>
    </row>
    <row r="23" spans="2:12" ht="15.75" thickBot="1" x14ac:dyDescent="0.3">
      <c r="C23" s="195" t="s">
        <v>22</v>
      </c>
      <c r="D23" s="189"/>
      <c r="E23" s="196"/>
      <c r="F23" s="196"/>
      <c r="G23" s="197" t="s">
        <v>210</v>
      </c>
      <c r="H23" s="198">
        <f>H21+H16</f>
        <v>143000000</v>
      </c>
      <c r="I23" s="198">
        <f>I21+I16</f>
        <v>2625177.54</v>
      </c>
      <c r="J23" s="198">
        <f>J21+J16</f>
        <v>145625177.53999999</v>
      </c>
      <c r="K23" s="199"/>
    </row>
    <row r="25" spans="2:12" ht="15.75" thickBot="1" x14ac:dyDescent="0.3">
      <c r="B25" t="s">
        <v>69</v>
      </c>
      <c r="D25" s="9" t="s">
        <v>116</v>
      </c>
      <c r="E25" s="162" t="s">
        <v>476</v>
      </c>
      <c r="F25" s="26" t="s">
        <v>231</v>
      </c>
      <c r="G25" s="162" t="s">
        <v>74</v>
      </c>
      <c r="H25" s="180">
        <v>50000000</v>
      </c>
      <c r="I25" s="180">
        <v>1101848</v>
      </c>
      <c r="J25" s="158">
        <f>H25+I25</f>
        <v>51101848</v>
      </c>
      <c r="K25" s="172">
        <v>46280</v>
      </c>
      <c r="L25" s="16"/>
    </row>
    <row r="26" spans="2:12" ht="15.75" thickBot="1" x14ac:dyDescent="0.3">
      <c r="B26" t="s">
        <v>69</v>
      </c>
      <c r="D26" s="201"/>
      <c r="E26" s="202"/>
      <c r="F26" s="202"/>
      <c r="G26" s="203" t="s">
        <v>54</v>
      </c>
      <c r="H26" s="204">
        <f>SUM(H25:H25)</f>
        <v>50000000</v>
      </c>
      <c r="I26" s="204">
        <f>SUM(I25:I25)</f>
        <v>1101848</v>
      </c>
      <c r="J26" s="204">
        <f>SUM(J25:J25)</f>
        <v>51101848</v>
      </c>
      <c r="K26" s="216"/>
    </row>
    <row r="27" spans="2:12" x14ac:dyDescent="0.25">
      <c r="D27" s="17"/>
      <c r="H27" s="31"/>
      <c r="I27" s="31"/>
      <c r="J27" s="21"/>
      <c r="K27" s="16"/>
    </row>
    <row r="28" spans="2:12" ht="15.75" thickBot="1" x14ac:dyDescent="0.3">
      <c r="B28" t="s">
        <v>69</v>
      </c>
      <c r="D28" s="9" t="s">
        <v>27</v>
      </c>
      <c r="E28" s="162" t="s">
        <v>538</v>
      </c>
      <c r="F28" s="26" t="s">
        <v>252</v>
      </c>
      <c r="G28" s="162" t="s">
        <v>74</v>
      </c>
      <c r="H28" s="180">
        <v>25000000</v>
      </c>
      <c r="I28" s="180">
        <v>553464</v>
      </c>
      <c r="J28" s="158">
        <f>H28+I28</f>
        <v>25553464</v>
      </c>
      <c r="K28" s="172">
        <v>46296</v>
      </c>
      <c r="L28" s="16"/>
    </row>
    <row r="29" spans="2:12" ht="15.75" thickBot="1" x14ac:dyDescent="0.3">
      <c r="B29" t="s">
        <v>69</v>
      </c>
      <c r="D29" s="201"/>
      <c r="E29" s="202"/>
      <c r="F29" s="202"/>
      <c r="G29" s="203" t="s">
        <v>54</v>
      </c>
      <c r="H29" s="204">
        <f>SUM(H28:H28)</f>
        <v>25000000</v>
      </c>
      <c r="I29" s="204">
        <f>SUM(I28:I28)</f>
        <v>553464</v>
      </c>
      <c r="J29" s="204">
        <f>SUM(J28:J28)</f>
        <v>25553464</v>
      </c>
      <c r="K29" s="216"/>
    </row>
    <row r="30" spans="2:12" ht="15.75" thickBot="1" x14ac:dyDescent="0.3">
      <c r="D30" s="17"/>
      <c r="H30" s="31"/>
      <c r="I30" s="31"/>
      <c r="J30" s="21"/>
      <c r="K30" s="16"/>
    </row>
    <row r="31" spans="2:12" ht="15.75" thickBot="1" x14ac:dyDescent="0.3">
      <c r="C31" s="195" t="s">
        <v>69</v>
      </c>
      <c r="D31" s="189"/>
      <c r="E31" s="196"/>
      <c r="F31" s="196"/>
      <c r="G31" s="197" t="s">
        <v>344</v>
      </c>
      <c r="H31" s="198">
        <f>SUM(H26+H29)</f>
        <v>75000000</v>
      </c>
      <c r="I31" s="198">
        <f>SUM(I26+I29)</f>
        <v>1655312</v>
      </c>
      <c r="J31" s="198">
        <f>SUM(J26+J29)</f>
        <v>76655312</v>
      </c>
      <c r="K31" s="199"/>
    </row>
    <row r="32" spans="2:12" x14ac:dyDescent="0.25">
      <c r="D32" s="17"/>
      <c r="H32" s="31"/>
      <c r="I32" s="31"/>
      <c r="J32" s="21"/>
      <c r="K32" s="16"/>
    </row>
    <row r="33" spans="2:13" ht="15.75" thickBot="1" x14ac:dyDescent="0.3">
      <c r="B33" t="s">
        <v>28</v>
      </c>
      <c r="D33" s="193"/>
      <c r="E33" s="171"/>
      <c r="F33" s="171"/>
      <c r="G33" s="171"/>
      <c r="H33" s="194"/>
      <c r="I33" s="194"/>
      <c r="J33" s="158"/>
      <c r="K33" s="172"/>
    </row>
    <row r="34" spans="2:13" ht="15.75" thickBot="1" x14ac:dyDescent="0.3">
      <c r="C34" s="195" t="s">
        <v>28</v>
      </c>
      <c r="D34" s="189"/>
      <c r="E34" s="196"/>
      <c r="F34" s="196"/>
      <c r="G34" s="197" t="s">
        <v>345</v>
      </c>
      <c r="H34" s="198">
        <f>SUM(H33:H33)</f>
        <v>0</v>
      </c>
      <c r="I34" s="198">
        <f>SUM(I33:I33)</f>
        <v>0</v>
      </c>
      <c r="J34" s="198">
        <f>SUM(J33:J33)</f>
        <v>0</v>
      </c>
      <c r="K34" s="199"/>
    </row>
    <row r="35" spans="2:13" x14ac:dyDescent="0.25">
      <c r="D35" s="17"/>
      <c r="H35" s="31"/>
      <c r="I35" s="31"/>
      <c r="J35" s="21"/>
      <c r="K35" s="16"/>
    </row>
    <row r="36" spans="2:13" x14ac:dyDescent="0.25">
      <c r="B36" t="s">
        <v>25</v>
      </c>
      <c r="D36" s="9" t="s">
        <v>116</v>
      </c>
      <c r="E36" s="218" t="s">
        <v>541</v>
      </c>
      <c r="F36" s="162" t="s">
        <v>73</v>
      </c>
      <c r="G36" s="162" t="s">
        <v>74</v>
      </c>
      <c r="H36" s="180">
        <v>15000000</v>
      </c>
      <c r="I36" s="180">
        <v>73752</v>
      </c>
      <c r="J36" s="157">
        <f>H36+I36</f>
        <v>15073752</v>
      </c>
      <c r="K36" s="174">
        <v>46212</v>
      </c>
      <c r="L36" s="16"/>
    </row>
    <row r="37" spans="2:13" ht="15.75" thickBot="1" x14ac:dyDescent="0.3">
      <c r="B37" t="s">
        <v>25</v>
      </c>
      <c r="D37" s="9"/>
      <c r="E37" s="218" t="s">
        <v>554</v>
      </c>
      <c r="F37" s="162" t="s">
        <v>73</v>
      </c>
      <c r="G37" s="162" t="s">
        <v>74</v>
      </c>
      <c r="H37" s="180">
        <v>45000000</v>
      </c>
      <c r="I37" s="180">
        <v>220945</v>
      </c>
      <c r="J37" s="157">
        <f>H37+I37</f>
        <v>45220945</v>
      </c>
      <c r="K37" s="174">
        <v>46218</v>
      </c>
      <c r="L37" s="16"/>
    </row>
    <row r="38" spans="2:13" ht="15.75" thickBot="1" x14ac:dyDescent="0.3">
      <c r="B38" t="s">
        <v>25</v>
      </c>
      <c r="D38" s="201"/>
      <c r="E38" s="202"/>
      <c r="F38" s="202"/>
      <c r="G38" s="203" t="s">
        <v>54</v>
      </c>
      <c r="H38" s="204">
        <f>SUM(H36:H37)</f>
        <v>60000000</v>
      </c>
      <c r="I38" s="204">
        <f>SUM(I36:I37)</f>
        <v>294697</v>
      </c>
      <c r="J38" s="204">
        <f>SUM(J36:J37)</f>
        <v>60294697</v>
      </c>
      <c r="K38" s="216"/>
    </row>
    <row r="39" spans="2:13" x14ac:dyDescent="0.25">
      <c r="D39" s="17"/>
      <c r="H39" s="31"/>
      <c r="I39" s="31"/>
      <c r="J39" s="21"/>
      <c r="K39" s="16"/>
    </row>
    <row r="40" spans="2:13" x14ac:dyDescent="0.25">
      <c r="B40" t="s">
        <v>25</v>
      </c>
      <c r="D40" s="193" t="s">
        <v>117</v>
      </c>
      <c r="E40" s="171" t="s">
        <v>441</v>
      </c>
      <c r="F40" s="171" t="s">
        <v>233</v>
      </c>
      <c r="G40" s="171"/>
      <c r="H40" s="194">
        <f>4576500-1424938-926760.77-987215</f>
        <v>1237586.23</v>
      </c>
      <c r="I40" s="194">
        <f>71925-2397-20378.84-34764</f>
        <v>14385.160000000003</v>
      </c>
      <c r="J40" s="158">
        <f t="shared" ref="J40:J53" si="0">H40+I40</f>
        <v>1251971.3899999999</v>
      </c>
      <c r="K40" s="172">
        <v>46223</v>
      </c>
    </row>
    <row r="41" spans="2:13" x14ac:dyDescent="0.25">
      <c r="B41" t="s">
        <v>25</v>
      </c>
      <c r="D41" s="193"/>
      <c r="E41" s="171" t="s">
        <v>477</v>
      </c>
      <c r="F41" s="171" t="s">
        <v>233</v>
      </c>
      <c r="G41" s="171"/>
      <c r="H41" s="194">
        <v>772132</v>
      </c>
      <c r="I41" s="194">
        <v>12023</v>
      </c>
      <c r="J41" s="158">
        <f t="shared" si="0"/>
        <v>784155</v>
      </c>
      <c r="K41" s="172">
        <v>46246</v>
      </c>
      <c r="L41" s="4"/>
      <c r="M41" s="4"/>
    </row>
    <row r="42" spans="2:13" x14ac:dyDescent="0.25">
      <c r="B42" t="s">
        <v>25</v>
      </c>
      <c r="D42" s="193"/>
      <c r="E42" s="171" t="s">
        <v>507</v>
      </c>
      <c r="F42" s="171" t="s">
        <v>233</v>
      </c>
      <c r="G42" s="171"/>
      <c r="H42" s="194">
        <v>3683379</v>
      </c>
      <c r="I42" s="194">
        <v>56861</v>
      </c>
      <c r="J42" s="158">
        <f t="shared" si="0"/>
        <v>3740240</v>
      </c>
      <c r="K42" s="172">
        <v>46266</v>
      </c>
    </row>
    <row r="43" spans="2:13" x14ac:dyDescent="0.25">
      <c r="B43" t="s">
        <v>25</v>
      </c>
      <c r="D43" s="193"/>
      <c r="E43" s="171" t="s">
        <v>555</v>
      </c>
      <c r="F43" s="171" t="s">
        <v>233</v>
      </c>
      <c r="G43" s="171"/>
      <c r="H43" s="194">
        <v>1001751</v>
      </c>
      <c r="I43" s="194">
        <v>15709</v>
      </c>
      <c r="J43" s="158">
        <f t="shared" si="0"/>
        <v>1017460</v>
      </c>
      <c r="K43" s="172">
        <v>46274</v>
      </c>
    </row>
    <row r="44" spans="2:13" x14ac:dyDescent="0.25">
      <c r="B44" t="s">
        <v>25</v>
      </c>
      <c r="D44" s="193"/>
      <c r="E44" s="171" t="s">
        <v>232</v>
      </c>
      <c r="F44" s="171" t="s">
        <v>233</v>
      </c>
      <c r="G44" s="171"/>
      <c r="H44" s="194">
        <f>28601876-279342-3446643-1185832-851661.56-846748</f>
        <v>21991649.440000001</v>
      </c>
      <c r="I44" s="194">
        <f>1314227-543663-62903-241503-95748-175230</f>
        <v>195180</v>
      </c>
      <c r="J44" s="158">
        <f t="shared" si="0"/>
        <v>22186829.440000001</v>
      </c>
      <c r="K44" s="172">
        <v>46275</v>
      </c>
    </row>
    <row r="45" spans="2:13" x14ac:dyDescent="0.25">
      <c r="B45" t="s">
        <v>25</v>
      </c>
      <c r="D45" s="193"/>
      <c r="E45" s="171" t="s">
        <v>238</v>
      </c>
      <c r="F45" s="171" t="s">
        <v>233</v>
      </c>
      <c r="G45" s="171"/>
      <c r="H45" s="194">
        <v>5000000</v>
      </c>
      <c r="I45" s="194">
        <v>324512</v>
      </c>
      <c r="J45" s="158">
        <f t="shared" si="0"/>
        <v>5324512</v>
      </c>
      <c r="K45" s="172">
        <v>46285</v>
      </c>
    </row>
    <row r="46" spans="2:13" x14ac:dyDescent="0.25">
      <c r="B46" t="s">
        <v>25</v>
      </c>
      <c r="D46" s="193"/>
      <c r="E46" s="171" t="s">
        <v>573</v>
      </c>
      <c r="F46" s="171" t="s">
        <v>233</v>
      </c>
      <c r="G46" s="171"/>
      <c r="H46" s="194">
        <v>4445796</v>
      </c>
      <c r="I46" s="194">
        <v>68888</v>
      </c>
      <c r="J46" s="158">
        <f t="shared" si="0"/>
        <v>4514684</v>
      </c>
      <c r="K46" s="172">
        <v>46286</v>
      </c>
    </row>
    <row r="47" spans="2:13" x14ac:dyDescent="0.25">
      <c r="B47" t="s">
        <v>25</v>
      </c>
      <c r="D47" s="193"/>
      <c r="E47" s="171" t="s">
        <v>249</v>
      </c>
      <c r="F47" s="171" t="s">
        <v>233</v>
      </c>
      <c r="G47" s="171"/>
      <c r="H47" s="194">
        <v>5300000</v>
      </c>
      <c r="I47" s="194">
        <v>346836</v>
      </c>
      <c r="J47" s="158">
        <f t="shared" si="0"/>
        <v>5646836</v>
      </c>
      <c r="K47" s="172">
        <v>46306</v>
      </c>
    </row>
    <row r="48" spans="2:13" x14ac:dyDescent="0.25">
      <c r="B48" t="s">
        <v>25</v>
      </c>
      <c r="D48" s="193"/>
      <c r="E48" s="26" t="s">
        <v>251</v>
      </c>
      <c r="F48" s="171" t="s">
        <v>233</v>
      </c>
      <c r="G48" s="26"/>
      <c r="H48" s="27">
        <v>7500000</v>
      </c>
      <c r="I48" s="27">
        <v>489114</v>
      </c>
      <c r="J48" s="30">
        <f t="shared" si="0"/>
        <v>7989114</v>
      </c>
      <c r="K48" s="28">
        <v>46313</v>
      </c>
    </row>
    <row r="49" spans="2:11" x14ac:dyDescent="0.25">
      <c r="B49" t="s">
        <v>25</v>
      </c>
      <c r="D49" s="193"/>
      <c r="E49" s="26" t="s">
        <v>291</v>
      </c>
      <c r="F49" s="171" t="s">
        <v>233</v>
      </c>
      <c r="G49" s="26"/>
      <c r="H49" s="27">
        <f>8322383-516285-1457304</f>
        <v>6348794</v>
      </c>
      <c r="I49" s="27">
        <f>963976-306720-36514</f>
        <v>620742</v>
      </c>
      <c r="J49" s="30">
        <f t="shared" si="0"/>
        <v>6969536</v>
      </c>
      <c r="K49" s="28">
        <v>46369</v>
      </c>
    </row>
    <row r="50" spans="2:11" x14ac:dyDescent="0.25">
      <c r="B50" t="s">
        <v>25</v>
      </c>
      <c r="D50" s="193"/>
      <c r="E50" s="26" t="s">
        <v>339</v>
      </c>
      <c r="F50" s="171" t="s">
        <v>233</v>
      </c>
      <c r="G50" s="26"/>
      <c r="H50" s="27">
        <v>10000000</v>
      </c>
      <c r="I50" s="27">
        <v>632542</v>
      </c>
      <c r="J50" s="30">
        <f t="shared" si="0"/>
        <v>10632542</v>
      </c>
      <c r="K50" s="28">
        <v>46418</v>
      </c>
    </row>
    <row r="51" spans="2:11" x14ac:dyDescent="0.25">
      <c r="B51" t="s">
        <v>25</v>
      </c>
      <c r="D51" s="193"/>
      <c r="E51" s="26" t="s">
        <v>340</v>
      </c>
      <c r="F51" s="171" t="s">
        <v>233</v>
      </c>
      <c r="G51" s="26"/>
      <c r="H51" s="27">
        <v>2355259</v>
      </c>
      <c r="I51" s="27">
        <v>148384</v>
      </c>
      <c r="J51" s="30">
        <f t="shared" si="0"/>
        <v>2503643</v>
      </c>
      <c r="K51" s="28">
        <v>46422</v>
      </c>
    </row>
    <row r="52" spans="2:11" x14ac:dyDescent="0.25">
      <c r="B52" t="s">
        <v>25</v>
      </c>
      <c r="D52" s="193"/>
      <c r="E52" s="26" t="s">
        <v>341</v>
      </c>
      <c r="F52" s="171" t="s">
        <v>233</v>
      </c>
      <c r="G52" s="26"/>
      <c r="H52" s="27">
        <v>11000000</v>
      </c>
      <c r="I52" s="27">
        <v>693011</v>
      </c>
      <c r="J52" s="30">
        <f t="shared" si="0"/>
        <v>11693011</v>
      </c>
      <c r="K52" s="28">
        <v>46422</v>
      </c>
    </row>
    <row r="53" spans="2:11" ht="15.75" thickBot="1" x14ac:dyDescent="0.3">
      <c r="B53" t="s">
        <v>25</v>
      </c>
      <c r="D53" s="193"/>
      <c r="E53" s="26" t="s">
        <v>365</v>
      </c>
      <c r="F53" s="171" t="s">
        <v>233</v>
      </c>
      <c r="G53" s="26"/>
      <c r="H53" s="27">
        <v>2029970</v>
      </c>
      <c r="I53" s="27">
        <v>127475</v>
      </c>
      <c r="J53" s="30">
        <f t="shared" si="0"/>
        <v>2157445</v>
      </c>
      <c r="K53" s="28">
        <v>46443</v>
      </c>
    </row>
    <row r="54" spans="2:11" ht="15.75" thickBot="1" x14ac:dyDescent="0.3">
      <c r="B54" t="s">
        <v>25</v>
      </c>
      <c r="D54" s="201"/>
      <c r="E54" s="202"/>
      <c r="F54" s="202"/>
      <c r="G54" s="203" t="s">
        <v>54</v>
      </c>
      <c r="H54" s="204">
        <f>SUM(H40:H53)</f>
        <v>82666316.670000002</v>
      </c>
      <c r="I54" s="204">
        <f>SUM(I40:I53)</f>
        <v>3745662.16</v>
      </c>
      <c r="J54" s="204">
        <f>SUM(J40:J53)</f>
        <v>86411978.829999998</v>
      </c>
      <c r="K54" s="216"/>
    </row>
    <row r="55" spans="2:11" ht="15.75" thickBot="1" x14ac:dyDescent="0.3">
      <c r="D55" s="17"/>
      <c r="H55" s="31"/>
      <c r="I55" s="31"/>
      <c r="J55" s="21"/>
      <c r="K55" s="16"/>
    </row>
    <row r="56" spans="2:11" ht="15.75" thickBot="1" x14ac:dyDescent="0.3">
      <c r="C56" s="195" t="s">
        <v>25</v>
      </c>
      <c r="D56" s="189"/>
      <c r="E56" s="196"/>
      <c r="F56" s="196"/>
      <c r="G56" s="197" t="s">
        <v>343</v>
      </c>
      <c r="H56" s="198">
        <f>SUM(H54+H38)</f>
        <v>142666316.67000002</v>
      </c>
      <c r="I56" s="198">
        <f>I54+I38</f>
        <v>4040359.16</v>
      </c>
      <c r="J56" s="198">
        <f>J54+J38</f>
        <v>146706675.82999998</v>
      </c>
      <c r="K56" s="199"/>
    </row>
    <row r="57" spans="2:11" x14ac:dyDescent="0.25">
      <c r="D57" s="17"/>
      <c r="H57" s="20"/>
      <c r="I57" s="20"/>
      <c r="J57" s="15"/>
      <c r="K57" s="16"/>
    </row>
    <row r="58" spans="2:11" ht="15.75" thickBot="1" x14ac:dyDescent="0.3">
      <c r="B58" t="s">
        <v>68</v>
      </c>
      <c r="D58" s="9" t="s">
        <v>267</v>
      </c>
      <c r="E58" s="26" t="s">
        <v>443</v>
      </c>
      <c r="F58" s="171" t="s">
        <v>444</v>
      </c>
      <c r="G58" s="171"/>
      <c r="H58" s="27">
        <v>15000000</v>
      </c>
      <c r="I58" s="27">
        <v>506768</v>
      </c>
      <c r="J58" s="30">
        <f t="shared" ref="J58" si="1">H58+I58</f>
        <v>15506768</v>
      </c>
      <c r="K58" s="174">
        <v>46318</v>
      </c>
    </row>
    <row r="59" spans="2:11" ht="15.75" thickBot="1" x14ac:dyDescent="0.3">
      <c r="B59" t="s">
        <v>68</v>
      </c>
      <c r="D59" s="201"/>
      <c r="E59" s="202"/>
      <c r="F59" s="202"/>
      <c r="G59" s="203" t="s">
        <v>54</v>
      </c>
      <c r="H59" s="204">
        <f>SUM(H58:H58)</f>
        <v>15000000</v>
      </c>
      <c r="I59" s="204">
        <f>SUM(I58:I58)</f>
        <v>506768</v>
      </c>
      <c r="J59" s="204">
        <f>SUM(J58:J58)</f>
        <v>15506768</v>
      </c>
      <c r="K59" s="205"/>
    </row>
    <row r="60" spans="2:11" x14ac:dyDescent="0.25">
      <c r="D60" s="17"/>
      <c r="H60" s="20"/>
      <c r="I60" s="20"/>
      <c r="J60" s="15"/>
      <c r="K60" s="16"/>
    </row>
    <row r="61" spans="2:11" x14ac:dyDescent="0.25">
      <c r="B61" t="s">
        <v>68</v>
      </c>
      <c r="D61" s="9" t="s">
        <v>116</v>
      </c>
      <c r="E61" s="171" t="s">
        <v>369</v>
      </c>
      <c r="F61" s="26" t="s">
        <v>73</v>
      </c>
      <c r="G61" s="26" t="s">
        <v>74</v>
      </c>
      <c r="H61" s="42">
        <v>4824432</v>
      </c>
      <c r="I61" s="27">
        <v>107157</v>
      </c>
      <c r="J61" s="30">
        <f>H61+I61</f>
        <v>4931589</v>
      </c>
      <c r="K61" s="28">
        <v>46209</v>
      </c>
    </row>
    <row r="62" spans="2:11" ht="15.75" thickBot="1" x14ac:dyDescent="0.3">
      <c r="B62" t="s">
        <v>68</v>
      </c>
      <c r="D62" s="193"/>
      <c r="E62" s="171" t="s">
        <v>540</v>
      </c>
      <c r="F62" s="171" t="s">
        <v>73</v>
      </c>
      <c r="G62" s="171" t="s">
        <v>74</v>
      </c>
      <c r="H62" s="42">
        <f>5500000-1780668</f>
        <v>3719332</v>
      </c>
      <c r="I62" s="194">
        <v>82904</v>
      </c>
      <c r="J62" s="158">
        <f>H62+I62</f>
        <v>3802236</v>
      </c>
      <c r="K62" s="172">
        <v>46299</v>
      </c>
    </row>
    <row r="63" spans="2:11" ht="15.75" thickBot="1" x14ac:dyDescent="0.3">
      <c r="B63" t="s">
        <v>68</v>
      </c>
      <c r="D63" s="201"/>
      <c r="E63" s="202"/>
      <c r="F63" s="202"/>
      <c r="G63" s="203" t="s">
        <v>54</v>
      </c>
      <c r="H63" s="204">
        <f>SUM(H61:H62)</f>
        <v>8543764</v>
      </c>
      <c r="I63" s="204">
        <f>SUM(I61:I62)</f>
        <v>190061</v>
      </c>
      <c r="J63" s="204">
        <f>SUM(J61:J62)</f>
        <v>8733825</v>
      </c>
      <c r="K63" s="205"/>
    </row>
    <row r="64" spans="2:11" ht="15.75" thickBot="1" x14ac:dyDescent="0.3">
      <c r="D64" s="17"/>
      <c r="H64" s="20"/>
      <c r="I64" s="20"/>
      <c r="J64" s="15"/>
      <c r="K64" s="16"/>
    </row>
    <row r="65" spans="3:11" ht="15.75" thickBot="1" x14ac:dyDescent="0.3">
      <c r="C65" s="195" t="s">
        <v>68</v>
      </c>
      <c r="D65" s="189"/>
      <c r="E65" s="196"/>
      <c r="F65" s="196"/>
      <c r="G65" s="197" t="s">
        <v>342</v>
      </c>
      <c r="H65" s="198">
        <f>H63+H59</f>
        <v>23543764</v>
      </c>
      <c r="I65" s="198">
        <f>I63+I59</f>
        <v>696829</v>
      </c>
      <c r="J65" s="198">
        <f>J63+J59</f>
        <v>24240593</v>
      </c>
      <c r="K65" s="199"/>
    </row>
    <row r="66" spans="3:11" ht="15.75" thickBot="1" x14ac:dyDescent="0.3"/>
    <row r="67" spans="3:11" ht="15.75" thickBot="1" x14ac:dyDescent="0.3">
      <c r="D67" s="19"/>
      <c r="E67" s="18"/>
      <c r="F67" s="18"/>
      <c r="G67" s="32" t="s">
        <v>55</v>
      </c>
      <c r="H67" s="52">
        <f ca="1">SUMIF($G$5:H65,$G$63,H5:H65)</f>
        <v>434210080.67000002</v>
      </c>
      <c r="I67" s="29">
        <f ca="1">SUMIF($G$5:I65,$G$63,I5:I65)</f>
        <v>10642201.699999999</v>
      </c>
      <c r="J67" s="29">
        <f ca="1">SUMIF($G$5:J65,$G$63,J5:J65)</f>
        <v>444852282.36999995</v>
      </c>
      <c r="K67" s="33"/>
    </row>
    <row r="71" spans="3:11" x14ac:dyDescent="0.25">
      <c r="H71" s="4"/>
    </row>
  </sheetData>
  <sortState xmlns:xlrd2="http://schemas.microsoft.com/office/spreadsheetml/2017/richdata2" ref="E40:K53">
    <sortCondition ref="K40:K53"/>
  </sortState>
  <mergeCells count="1">
    <mergeCell ref="D3:K3"/>
  </mergeCells>
  <conditionalFormatting sqref="K55:K67 K22:K25 K30:K37 K27:K28 K5:K20 K39:K53">
    <cfRule type="timePeriod" dxfId="893" priority="1" timePeriod="thisWeek">
      <formula>AND(TODAY()-ROUNDDOWN(K5,0)&lt;=WEEKDAY(TODAY())-1,ROUNDDOWN(K5,0)-TODAY()&lt;=7-WEEKDAY(TODAY()))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A90DE-F7B2-4765-8E0D-FC4FC5A71BED}">
  <sheetPr codeName="PT_Detailed_Report"/>
  <dimension ref="A3:V159"/>
  <sheetViews>
    <sheetView workbookViewId="0">
      <selection activeCell="A6" sqref="A6"/>
    </sheetView>
  </sheetViews>
  <sheetFormatPr defaultRowHeight="15" x14ac:dyDescent="0.25"/>
  <cols>
    <col min="1" max="1" width="25.140625" bestFit="1" customWidth="1"/>
    <col min="2" max="2" width="7.7109375" bestFit="1" customWidth="1"/>
    <col min="3" max="3" width="15" bestFit="1" customWidth="1"/>
    <col min="4" max="4" width="12.85546875" bestFit="1" customWidth="1"/>
    <col min="5" max="5" width="61.5703125" bestFit="1" customWidth="1"/>
    <col min="6" max="6" width="13.85546875" bestFit="1" customWidth="1"/>
    <col min="7" max="7" width="12.85546875" bestFit="1" customWidth="1"/>
    <col min="8" max="8" width="12.5703125" bestFit="1" customWidth="1"/>
    <col min="9" max="21" width="15.42578125" bestFit="1" customWidth="1"/>
    <col min="22" max="28" width="15.28515625" bestFit="1" customWidth="1"/>
    <col min="29" max="29" width="15.140625" bestFit="1" customWidth="1"/>
  </cols>
  <sheetData>
    <row r="3" spans="1:22" x14ac:dyDescent="0.25">
      <c r="A3" s="3" t="s">
        <v>41</v>
      </c>
      <c r="I3" s="3" t="s">
        <v>49</v>
      </c>
      <c r="J3" s="3" t="s">
        <v>50</v>
      </c>
    </row>
    <row r="4" spans="1:22" x14ac:dyDescent="0.25">
      <c r="I4" s="1">
        <v>46194</v>
      </c>
      <c r="J4" s="1">
        <v>46201</v>
      </c>
      <c r="K4" s="1">
        <v>46208</v>
      </c>
      <c r="L4" s="1">
        <v>46215</v>
      </c>
      <c r="M4" s="1">
        <v>46222</v>
      </c>
      <c r="N4" s="1">
        <v>46229</v>
      </c>
      <c r="O4" s="1">
        <v>46236</v>
      </c>
      <c r="P4" s="1">
        <v>46243</v>
      </c>
      <c r="Q4" s="1">
        <v>46250</v>
      </c>
      <c r="R4" s="1">
        <v>46257</v>
      </c>
      <c r="S4" s="1">
        <v>46264</v>
      </c>
      <c r="T4" s="1">
        <v>46278</v>
      </c>
      <c r="U4" t="s">
        <v>51</v>
      </c>
      <c r="V4" t="s">
        <v>40</v>
      </c>
    </row>
    <row r="5" spans="1:22" x14ac:dyDescent="0.25">
      <c r="A5" s="3" t="s">
        <v>4</v>
      </c>
      <c r="B5" s="3" t="s">
        <v>15</v>
      </c>
      <c r="C5" s="3" t="s">
        <v>0</v>
      </c>
      <c r="D5" s="3" t="s">
        <v>14</v>
      </c>
      <c r="E5" s="3" t="s">
        <v>2</v>
      </c>
      <c r="F5" s="3" t="s">
        <v>8</v>
      </c>
      <c r="G5" s="3" t="s">
        <v>9</v>
      </c>
      <c r="H5" s="3" t="s">
        <v>11</v>
      </c>
      <c r="I5" s="1">
        <v>46200</v>
      </c>
      <c r="J5" s="1">
        <v>46207</v>
      </c>
      <c r="K5" s="1">
        <v>46214</v>
      </c>
      <c r="L5" s="1">
        <v>46221</v>
      </c>
      <c r="M5" s="1">
        <v>46228</v>
      </c>
      <c r="N5" s="1">
        <v>46235</v>
      </c>
      <c r="O5" s="1">
        <v>46242</v>
      </c>
      <c r="P5" s="1">
        <v>46249</v>
      </c>
      <c r="Q5" s="1">
        <v>46256</v>
      </c>
      <c r="R5" s="1">
        <v>46263</v>
      </c>
      <c r="S5" s="1">
        <v>46270</v>
      </c>
      <c r="T5" s="1">
        <v>46284</v>
      </c>
      <c r="U5" t="s">
        <v>51</v>
      </c>
    </row>
    <row r="6" spans="1:22" x14ac:dyDescent="0.25">
      <c r="A6" t="s">
        <v>31</v>
      </c>
      <c r="B6" t="s">
        <v>19</v>
      </c>
      <c r="C6" t="s">
        <v>223</v>
      </c>
      <c r="D6" t="s">
        <v>28</v>
      </c>
      <c r="E6" t="s">
        <v>217</v>
      </c>
      <c r="F6">
        <v>2741025</v>
      </c>
      <c r="G6">
        <v>1641337.5</v>
      </c>
      <c r="H6">
        <v>0</v>
      </c>
      <c r="I6" s="4">
        <v>902623.5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4">
        <v>0</v>
      </c>
      <c r="R6" s="4">
        <v>0</v>
      </c>
      <c r="S6" s="4">
        <v>0</v>
      </c>
      <c r="T6" s="4">
        <v>197064</v>
      </c>
      <c r="U6" s="4">
        <v>0</v>
      </c>
      <c r="V6" s="4">
        <v>1099687.5</v>
      </c>
    </row>
    <row r="7" spans="1:22" x14ac:dyDescent="0.25">
      <c r="A7" t="s">
        <v>31</v>
      </c>
      <c r="B7" t="s">
        <v>19</v>
      </c>
      <c r="C7" t="s">
        <v>468</v>
      </c>
      <c r="D7" t="s">
        <v>28</v>
      </c>
      <c r="E7" t="s">
        <v>461</v>
      </c>
      <c r="F7">
        <v>735855</v>
      </c>
      <c r="G7">
        <v>0</v>
      </c>
      <c r="H7">
        <v>735855</v>
      </c>
      <c r="I7" s="4">
        <v>0</v>
      </c>
      <c r="J7" s="4">
        <v>0</v>
      </c>
      <c r="K7" s="4">
        <v>0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4">
        <v>0</v>
      </c>
      <c r="R7" s="4">
        <v>0</v>
      </c>
      <c r="S7" s="4">
        <v>0</v>
      </c>
      <c r="T7" s="4">
        <v>0</v>
      </c>
      <c r="U7" s="4">
        <v>0</v>
      </c>
      <c r="V7" s="4">
        <v>0</v>
      </c>
    </row>
    <row r="8" spans="1:22" x14ac:dyDescent="0.25">
      <c r="A8" t="s">
        <v>31</v>
      </c>
      <c r="B8" t="s">
        <v>19</v>
      </c>
      <c r="C8" t="s">
        <v>469</v>
      </c>
      <c r="D8" t="s">
        <v>28</v>
      </c>
      <c r="E8" t="s">
        <v>463</v>
      </c>
      <c r="F8">
        <v>1325316</v>
      </c>
      <c r="G8">
        <v>0</v>
      </c>
      <c r="H8">
        <v>1325316</v>
      </c>
      <c r="I8" s="4">
        <v>0</v>
      </c>
      <c r="J8" s="4">
        <v>0</v>
      </c>
      <c r="K8" s="4">
        <v>0</v>
      </c>
      <c r="L8" s="4">
        <v>0</v>
      </c>
      <c r="M8" s="4">
        <v>0</v>
      </c>
      <c r="N8" s="4">
        <v>0</v>
      </c>
      <c r="O8" s="4">
        <v>0</v>
      </c>
      <c r="P8" s="4">
        <v>0</v>
      </c>
      <c r="Q8" s="4">
        <v>0</v>
      </c>
      <c r="R8" s="4">
        <v>0</v>
      </c>
      <c r="S8" s="4">
        <v>0</v>
      </c>
      <c r="T8" s="4">
        <v>0</v>
      </c>
      <c r="U8" s="4">
        <v>0</v>
      </c>
      <c r="V8" s="4">
        <v>0</v>
      </c>
    </row>
    <row r="9" spans="1:22" x14ac:dyDescent="0.25">
      <c r="A9" t="s">
        <v>31</v>
      </c>
      <c r="B9" t="s">
        <v>19</v>
      </c>
      <c r="C9" t="s">
        <v>481</v>
      </c>
      <c r="D9" t="s">
        <v>28</v>
      </c>
      <c r="E9" t="s">
        <v>473</v>
      </c>
      <c r="F9">
        <v>772046</v>
      </c>
      <c r="G9">
        <v>0</v>
      </c>
      <c r="H9">
        <v>772046</v>
      </c>
      <c r="I9" s="4">
        <v>0</v>
      </c>
      <c r="J9" s="4">
        <v>0</v>
      </c>
      <c r="K9" s="4">
        <v>0</v>
      </c>
      <c r="L9" s="4">
        <v>0</v>
      </c>
      <c r="M9" s="4">
        <v>0</v>
      </c>
      <c r="N9" s="4">
        <v>0</v>
      </c>
      <c r="O9" s="4">
        <v>0</v>
      </c>
      <c r="P9" s="4">
        <v>0</v>
      </c>
      <c r="Q9" s="4">
        <v>0</v>
      </c>
      <c r="R9" s="4">
        <v>0</v>
      </c>
      <c r="S9" s="4">
        <v>0</v>
      </c>
      <c r="T9" s="4">
        <v>0</v>
      </c>
      <c r="U9" s="4">
        <v>0</v>
      </c>
      <c r="V9" s="4">
        <v>0</v>
      </c>
    </row>
    <row r="10" spans="1:22" x14ac:dyDescent="0.25">
      <c r="A10" t="s">
        <v>31</v>
      </c>
      <c r="B10" t="s">
        <v>19</v>
      </c>
      <c r="C10" t="s">
        <v>563</v>
      </c>
      <c r="D10" t="s">
        <v>28</v>
      </c>
      <c r="E10" t="s">
        <v>550</v>
      </c>
      <c r="F10">
        <v>2000000</v>
      </c>
      <c r="G10">
        <v>0</v>
      </c>
      <c r="H10">
        <v>2000000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</row>
    <row r="11" spans="1:22" x14ac:dyDescent="0.25">
      <c r="A11" t="s">
        <v>27</v>
      </c>
      <c r="B11" t="s">
        <v>19</v>
      </c>
      <c r="C11" t="s">
        <v>202</v>
      </c>
      <c r="D11" t="s">
        <v>28</v>
      </c>
      <c r="E11" t="s">
        <v>199</v>
      </c>
      <c r="F11">
        <v>1400000</v>
      </c>
      <c r="G11">
        <v>1385426.0200000003</v>
      </c>
      <c r="H11">
        <v>14573.98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</row>
    <row r="12" spans="1:22" x14ac:dyDescent="0.25">
      <c r="A12" t="s">
        <v>27</v>
      </c>
      <c r="B12" t="s">
        <v>19</v>
      </c>
      <c r="C12" t="s">
        <v>207</v>
      </c>
      <c r="D12" t="s">
        <v>28</v>
      </c>
      <c r="E12" t="s">
        <v>201</v>
      </c>
      <c r="F12">
        <v>500000</v>
      </c>
      <c r="G12">
        <v>98871.6</v>
      </c>
      <c r="H12">
        <v>401128.4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</row>
    <row r="13" spans="1:22" x14ac:dyDescent="0.25">
      <c r="A13" t="s">
        <v>27</v>
      </c>
      <c r="B13" t="s">
        <v>19</v>
      </c>
      <c r="C13" t="s">
        <v>208</v>
      </c>
      <c r="D13" t="s">
        <v>28</v>
      </c>
      <c r="E13" t="s">
        <v>204</v>
      </c>
      <c r="F13">
        <v>550000.15</v>
      </c>
      <c r="G13">
        <v>482497.13</v>
      </c>
      <c r="H13">
        <v>67503.02</v>
      </c>
      <c r="I13" s="4">
        <v>0</v>
      </c>
      <c r="J13" s="4">
        <v>0</v>
      </c>
      <c r="K13" s="4">
        <v>0</v>
      </c>
      <c r="L13" s="4">
        <v>0</v>
      </c>
      <c r="M13" s="4">
        <v>0</v>
      </c>
      <c r="N13" s="4">
        <v>0</v>
      </c>
      <c r="O13" s="4">
        <v>0</v>
      </c>
      <c r="P13" s="4">
        <v>0</v>
      </c>
      <c r="Q13" s="4">
        <v>0</v>
      </c>
      <c r="R13" s="4">
        <v>0</v>
      </c>
      <c r="S13" s="4">
        <v>0</v>
      </c>
      <c r="T13" s="4">
        <v>0</v>
      </c>
      <c r="U13" s="4">
        <v>0</v>
      </c>
      <c r="V13" s="4">
        <v>0</v>
      </c>
    </row>
    <row r="14" spans="1:22" x14ac:dyDescent="0.25">
      <c r="A14" t="s">
        <v>27</v>
      </c>
      <c r="B14" t="s">
        <v>19</v>
      </c>
      <c r="C14" t="s">
        <v>320</v>
      </c>
      <c r="D14" t="s">
        <v>28</v>
      </c>
      <c r="E14" t="s">
        <v>289</v>
      </c>
      <c r="F14">
        <v>1269458.03</v>
      </c>
      <c r="G14">
        <v>0</v>
      </c>
      <c r="H14">
        <v>1269458.03</v>
      </c>
      <c r="I14" s="4">
        <v>0</v>
      </c>
      <c r="J14" s="4">
        <v>0</v>
      </c>
      <c r="K14" s="4">
        <v>0</v>
      </c>
      <c r="L14" s="4">
        <v>0</v>
      </c>
      <c r="M14" s="4">
        <v>0</v>
      </c>
      <c r="N14" s="4">
        <v>0</v>
      </c>
      <c r="O14" s="4">
        <v>0</v>
      </c>
      <c r="P14" s="4">
        <v>0</v>
      </c>
      <c r="Q14" s="4">
        <v>0</v>
      </c>
      <c r="R14" s="4">
        <v>0</v>
      </c>
      <c r="S14" s="4">
        <v>0</v>
      </c>
      <c r="T14" s="4">
        <v>0</v>
      </c>
      <c r="U14" s="4">
        <v>0</v>
      </c>
      <c r="V14" s="4">
        <v>0</v>
      </c>
    </row>
    <row r="15" spans="1:22" x14ac:dyDescent="0.25">
      <c r="A15" t="s">
        <v>27</v>
      </c>
      <c r="B15" t="s">
        <v>19</v>
      </c>
      <c r="C15" t="s">
        <v>371</v>
      </c>
      <c r="D15" t="s">
        <v>69</v>
      </c>
      <c r="E15" t="s">
        <v>366</v>
      </c>
      <c r="F15">
        <v>67000000</v>
      </c>
      <c r="G15">
        <v>25000000</v>
      </c>
      <c r="H15">
        <v>0</v>
      </c>
      <c r="I15" s="4">
        <v>0</v>
      </c>
      <c r="J15" s="4">
        <v>42000000</v>
      </c>
      <c r="K15" s="4">
        <v>0</v>
      </c>
      <c r="L15" s="4">
        <v>0</v>
      </c>
      <c r="M15" s="4">
        <v>0</v>
      </c>
      <c r="N15" s="4">
        <v>0</v>
      </c>
      <c r="O15" s="4">
        <v>0</v>
      </c>
      <c r="P15" s="4">
        <v>0</v>
      </c>
      <c r="Q15" s="4">
        <v>0</v>
      </c>
      <c r="R15" s="4">
        <v>0</v>
      </c>
      <c r="S15" s="4">
        <v>0</v>
      </c>
      <c r="T15" s="4">
        <v>0</v>
      </c>
      <c r="U15" s="4">
        <v>0</v>
      </c>
      <c r="V15" s="4">
        <v>42000000</v>
      </c>
    </row>
    <row r="16" spans="1:22" x14ac:dyDescent="0.25">
      <c r="A16" t="s">
        <v>27</v>
      </c>
      <c r="B16" t="s">
        <v>19</v>
      </c>
      <c r="C16" t="s">
        <v>376</v>
      </c>
      <c r="D16" t="s">
        <v>28</v>
      </c>
      <c r="E16" t="s">
        <v>374</v>
      </c>
      <c r="F16">
        <v>10000000</v>
      </c>
      <c r="G16">
        <v>0</v>
      </c>
      <c r="H16">
        <v>0</v>
      </c>
      <c r="I16" s="4">
        <v>0</v>
      </c>
      <c r="J16" s="4">
        <v>0</v>
      </c>
      <c r="K16" s="4">
        <v>0</v>
      </c>
      <c r="L16" s="4">
        <v>0</v>
      </c>
      <c r="M16" s="4">
        <v>0</v>
      </c>
      <c r="N16" s="4">
        <v>0</v>
      </c>
      <c r="O16" s="4">
        <v>10000000</v>
      </c>
      <c r="P16" s="4">
        <v>0</v>
      </c>
      <c r="Q16" s="4">
        <v>0</v>
      </c>
      <c r="R16" s="4">
        <v>0</v>
      </c>
      <c r="S16" s="4">
        <v>0</v>
      </c>
      <c r="T16" s="4">
        <v>0</v>
      </c>
      <c r="U16" s="4">
        <v>0</v>
      </c>
      <c r="V16" s="4">
        <v>10000000</v>
      </c>
    </row>
    <row r="17" spans="1:22" x14ac:dyDescent="0.25">
      <c r="A17" t="s">
        <v>27</v>
      </c>
      <c r="B17" t="s">
        <v>19</v>
      </c>
      <c r="C17" t="s">
        <v>420</v>
      </c>
      <c r="D17" t="s">
        <v>18</v>
      </c>
      <c r="E17" t="s">
        <v>374</v>
      </c>
      <c r="F17">
        <v>21481033</v>
      </c>
      <c r="G17">
        <v>0</v>
      </c>
      <c r="H17">
        <v>0</v>
      </c>
      <c r="I17" s="4">
        <v>0</v>
      </c>
      <c r="J17" s="4">
        <v>0</v>
      </c>
      <c r="K17" s="4">
        <v>0</v>
      </c>
      <c r="L17" s="4">
        <v>0</v>
      </c>
      <c r="M17" s="4">
        <v>0</v>
      </c>
      <c r="N17" s="4">
        <v>0</v>
      </c>
      <c r="O17" s="4">
        <v>21481033</v>
      </c>
      <c r="P17" s="4">
        <v>0</v>
      </c>
      <c r="Q17" s="4">
        <v>0</v>
      </c>
      <c r="R17" s="4">
        <v>0</v>
      </c>
      <c r="S17" s="4">
        <v>0</v>
      </c>
      <c r="T17" s="4">
        <v>0</v>
      </c>
      <c r="U17" s="4">
        <v>0</v>
      </c>
      <c r="V17" s="4">
        <v>21481033</v>
      </c>
    </row>
    <row r="18" spans="1:22" x14ac:dyDescent="0.25">
      <c r="A18" t="s">
        <v>17</v>
      </c>
      <c r="B18" t="s">
        <v>19</v>
      </c>
      <c r="C18" t="s">
        <v>180</v>
      </c>
      <c r="D18" t="s">
        <v>18</v>
      </c>
      <c r="E18" t="s">
        <v>175</v>
      </c>
      <c r="F18">
        <v>381276.62</v>
      </c>
      <c r="G18">
        <v>140641.01</v>
      </c>
      <c r="H18">
        <v>240635.61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</row>
    <row r="19" spans="1:22" x14ac:dyDescent="0.25">
      <c r="A19" t="s">
        <v>17</v>
      </c>
      <c r="B19" t="s">
        <v>19</v>
      </c>
      <c r="C19" t="s">
        <v>258</v>
      </c>
      <c r="D19" t="s">
        <v>18</v>
      </c>
      <c r="E19" t="s">
        <v>255</v>
      </c>
      <c r="F19">
        <v>3487033.23</v>
      </c>
      <c r="G19">
        <v>1989866.83</v>
      </c>
      <c r="H19">
        <v>1497166.4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</row>
    <row r="20" spans="1:22" x14ac:dyDescent="0.25">
      <c r="A20" t="s">
        <v>17</v>
      </c>
      <c r="B20" t="s">
        <v>19</v>
      </c>
      <c r="C20" t="s">
        <v>259</v>
      </c>
      <c r="D20" t="s">
        <v>18</v>
      </c>
      <c r="E20" t="s">
        <v>256</v>
      </c>
      <c r="F20">
        <v>565057.47</v>
      </c>
      <c r="G20">
        <v>332244.19</v>
      </c>
      <c r="H20">
        <v>232813.28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4">
        <v>0</v>
      </c>
      <c r="P20" s="4">
        <v>0</v>
      </c>
      <c r="Q20" s="4">
        <v>0</v>
      </c>
      <c r="R20" s="4">
        <v>0</v>
      </c>
      <c r="S20" s="4">
        <v>0</v>
      </c>
      <c r="T20" s="4">
        <v>0</v>
      </c>
      <c r="U20" s="4">
        <v>0</v>
      </c>
      <c r="V20" s="4">
        <v>0</v>
      </c>
    </row>
    <row r="21" spans="1:22" x14ac:dyDescent="0.25">
      <c r="A21" t="s">
        <v>17</v>
      </c>
      <c r="B21" t="s">
        <v>19</v>
      </c>
      <c r="C21" t="s">
        <v>269</v>
      </c>
      <c r="D21" t="s">
        <v>18</v>
      </c>
      <c r="E21" t="s">
        <v>108</v>
      </c>
      <c r="F21">
        <v>337933.93759999995</v>
      </c>
      <c r="G21">
        <v>0</v>
      </c>
      <c r="H21">
        <v>337933.94</v>
      </c>
      <c r="I21" s="4">
        <v>0</v>
      </c>
      <c r="J21" s="4">
        <v>0</v>
      </c>
      <c r="K21" s="4">
        <v>0</v>
      </c>
      <c r="L21" s="4">
        <v>0</v>
      </c>
      <c r="M21" s="4">
        <v>0</v>
      </c>
      <c r="N21" s="4">
        <v>0</v>
      </c>
      <c r="O21" s="4">
        <v>0</v>
      </c>
      <c r="P21" s="4">
        <v>0</v>
      </c>
      <c r="Q21" s="4">
        <v>0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</row>
    <row r="22" spans="1:22" x14ac:dyDescent="0.25">
      <c r="A22" t="s">
        <v>17</v>
      </c>
      <c r="B22" t="s">
        <v>19</v>
      </c>
      <c r="C22" t="s">
        <v>276</v>
      </c>
      <c r="D22" t="s">
        <v>18</v>
      </c>
      <c r="E22" t="s">
        <v>310</v>
      </c>
      <c r="F22">
        <v>7592941.7549999999</v>
      </c>
      <c r="G22">
        <v>703586.90607999999</v>
      </c>
      <c r="H22">
        <v>6889354.8499999996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</row>
    <row r="23" spans="1:22" x14ac:dyDescent="0.25">
      <c r="A23" t="s">
        <v>17</v>
      </c>
      <c r="B23" t="s">
        <v>19</v>
      </c>
      <c r="C23" t="s">
        <v>277</v>
      </c>
      <c r="D23" t="s">
        <v>18</v>
      </c>
      <c r="E23" t="s">
        <v>108</v>
      </c>
      <c r="F23">
        <v>7118602.9487999994</v>
      </c>
      <c r="G23">
        <v>363328.54672888498</v>
      </c>
      <c r="H23">
        <v>6755274.4000000004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</row>
    <row r="24" spans="1:22" x14ac:dyDescent="0.25">
      <c r="A24" t="s">
        <v>17</v>
      </c>
      <c r="B24" t="s">
        <v>19</v>
      </c>
      <c r="C24" t="s">
        <v>421</v>
      </c>
      <c r="D24" t="s">
        <v>18</v>
      </c>
      <c r="E24" t="s">
        <v>418</v>
      </c>
      <c r="F24">
        <v>20000000</v>
      </c>
      <c r="G24">
        <v>0</v>
      </c>
      <c r="H24">
        <v>11762891.02</v>
      </c>
      <c r="I24" s="4">
        <v>0</v>
      </c>
      <c r="J24" s="4">
        <v>0</v>
      </c>
      <c r="K24" s="4">
        <v>0</v>
      </c>
      <c r="L24" s="4">
        <v>0</v>
      </c>
      <c r="M24" s="4">
        <v>5643717.4500000002</v>
      </c>
      <c r="N24" s="4">
        <v>0</v>
      </c>
      <c r="O24" s="4">
        <v>0</v>
      </c>
      <c r="P24" s="4">
        <v>2593391.5299999998</v>
      </c>
      <c r="Q24" s="4">
        <v>0</v>
      </c>
      <c r="R24" s="4">
        <v>0</v>
      </c>
      <c r="S24" s="4">
        <v>0</v>
      </c>
      <c r="T24" s="4">
        <v>0</v>
      </c>
      <c r="U24" s="4">
        <v>0</v>
      </c>
      <c r="V24" s="4">
        <v>8237108.9800000004</v>
      </c>
    </row>
    <row r="25" spans="1:22" x14ac:dyDescent="0.25">
      <c r="A25" t="s">
        <v>151</v>
      </c>
      <c r="B25" t="s">
        <v>19</v>
      </c>
      <c r="C25" t="s">
        <v>159</v>
      </c>
      <c r="D25" t="s">
        <v>22</v>
      </c>
      <c r="E25" t="s">
        <v>310</v>
      </c>
      <c r="F25">
        <v>42588000</v>
      </c>
      <c r="G25">
        <v>12335918.542009998</v>
      </c>
      <c r="H25">
        <v>20724744.149999999</v>
      </c>
      <c r="I25" s="4">
        <v>4960446.9619200006</v>
      </c>
      <c r="J25" s="4">
        <v>4566890.3481600005</v>
      </c>
      <c r="K25" s="4">
        <v>0</v>
      </c>
      <c r="L25" s="4">
        <v>0</v>
      </c>
      <c r="M25" s="4">
        <v>0</v>
      </c>
      <c r="N25" s="4">
        <v>0</v>
      </c>
      <c r="O25" s="4">
        <v>0</v>
      </c>
      <c r="P25" s="4">
        <v>0</v>
      </c>
      <c r="Q25" s="4">
        <v>0</v>
      </c>
      <c r="R25" s="4">
        <v>0</v>
      </c>
      <c r="S25" s="4">
        <v>0</v>
      </c>
      <c r="T25" s="4">
        <v>0</v>
      </c>
      <c r="U25" s="4">
        <v>0</v>
      </c>
      <c r="V25" s="4">
        <v>9527337.3100800011</v>
      </c>
    </row>
    <row r="26" spans="1:22" x14ac:dyDescent="0.25">
      <c r="A26" t="s">
        <v>151</v>
      </c>
      <c r="B26" t="s">
        <v>19</v>
      </c>
      <c r="C26" t="s">
        <v>254</v>
      </c>
      <c r="D26" t="s">
        <v>22</v>
      </c>
      <c r="E26" t="s">
        <v>253</v>
      </c>
      <c r="F26">
        <v>18703391.850000001</v>
      </c>
      <c r="G26">
        <v>17787660.100000001</v>
      </c>
      <c r="H26">
        <v>915731.75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</row>
    <row r="27" spans="1:22" x14ac:dyDescent="0.25">
      <c r="A27" t="s">
        <v>151</v>
      </c>
      <c r="B27" t="s">
        <v>19</v>
      </c>
      <c r="C27" t="s">
        <v>272</v>
      </c>
      <c r="D27" t="s">
        <v>22</v>
      </c>
      <c r="E27" t="s">
        <v>271</v>
      </c>
      <c r="F27">
        <v>2072033.2</v>
      </c>
      <c r="G27">
        <v>463730.6</v>
      </c>
      <c r="H27">
        <v>955797.2</v>
      </c>
      <c r="I27" s="4">
        <v>0</v>
      </c>
      <c r="J27" s="4">
        <v>652505.4</v>
      </c>
      <c r="K27" s="4">
        <v>0</v>
      </c>
      <c r="L27" s="4">
        <v>0</v>
      </c>
      <c r="M27" s="4">
        <v>0</v>
      </c>
      <c r="N27" s="4">
        <v>0</v>
      </c>
      <c r="O27" s="4">
        <v>0</v>
      </c>
      <c r="P27" s="4">
        <v>0</v>
      </c>
      <c r="Q27" s="4">
        <v>0</v>
      </c>
      <c r="R27" s="4">
        <v>0</v>
      </c>
      <c r="S27" s="4">
        <v>0</v>
      </c>
      <c r="T27" s="4">
        <v>0</v>
      </c>
      <c r="U27" s="4">
        <v>0</v>
      </c>
      <c r="V27" s="4">
        <v>652505.4</v>
      </c>
    </row>
    <row r="28" spans="1:22" x14ac:dyDescent="0.25">
      <c r="A28" t="s">
        <v>151</v>
      </c>
      <c r="B28" t="s">
        <v>19</v>
      </c>
      <c r="C28" t="s">
        <v>325</v>
      </c>
      <c r="D28" t="s">
        <v>22</v>
      </c>
      <c r="E28" t="s">
        <v>322</v>
      </c>
      <c r="F28">
        <v>400000</v>
      </c>
      <c r="G28">
        <v>0</v>
      </c>
      <c r="H28">
        <v>400000</v>
      </c>
      <c r="I28" s="4">
        <v>0</v>
      </c>
      <c r="J28" s="4">
        <v>0</v>
      </c>
      <c r="K28" s="4">
        <v>0</v>
      </c>
      <c r="L28" s="4">
        <v>0</v>
      </c>
      <c r="M28" s="4">
        <v>0</v>
      </c>
      <c r="N28" s="4">
        <v>0</v>
      </c>
      <c r="O28" s="4">
        <v>0</v>
      </c>
      <c r="P28" s="4">
        <v>0</v>
      </c>
      <c r="Q28" s="4">
        <v>0</v>
      </c>
      <c r="R28" s="4">
        <v>0</v>
      </c>
      <c r="S28" s="4">
        <v>0</v>
      </c>
      <c r="T28" s="4">
        <v>0</v>
      </c>
      <c r="U28" s="4">
        <v>0</v>
      </c>
      <c r="V28" s="4">
        <v>0</v>
      </c>
    </row>
    <row r="29" spans="1:22" x14ac:dyDescent="0.25">
      <c r="A29" t="s">
        <v>151</v>
      </c>
      <c r="B29" t="s">
        <v>19</v>
      </c>
      <c r="C29" t="s">
        <v>352</v>
      </c>
      <c r="D29" t="s">
        <v>22</v>
      </c>
      <c r="E29" t="s">
        <v>349</v>
      </c>
      <c r="F29">
        <v>274384</v>
      </c>
      <c r="G29">
        <v>0</v>
      </c>
      <c r="H29">
        <v>274384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0</v>
      </c>
      <c r="T29" s="4">
        <v>0</v>
      </c>
      <c r="U29" s="4">
        <v>0</v>
      </c>
      <c r="V29" s="4">
        <v>0</v>
      </c>
    </row>
    <row r="30" spans="1:22" x14ac:dyDescent="0.25">
      <c r="A30" t="s">
        <v>151</v>
      </c>
      <c r="B30" t="s">
        <v>19</v>
      </c>
      <c r="C30" t="s">
        <v>354</v>
      </c>
      <c r="D30" t="s">
        <v>22</v>
      </c>
      <c r="E30" t="s">
        <v>348</v>
      </c>
      <c r="F30">
        <v>400000</v>
      </c>
      <c r="G30">
        <v>0</v>
      </c>
      <c r="H30">
        <v>400000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</row>
    <row r="31" spans="1:22" x14ac:dyDescent="0.25">
      <c r="A31" t="s">
        <v>151</v>
      </c>
      <c r="B31" t="s">
        <v>19</v>
      </c>
      <c r="C31" t="s">
        <v>367</v>
      </c>
      <c r="D31" t="s">
        <v>22</v>
      </c>
      <c r="E31" t="s">
        <v>351</v>
      </c>
      <c r="F31">
        <v>500000</v>
      </c>
      <c r="G31">
        <v>0</v>
      </c>
      <c r="H31">
        <v>0</v>
      </c>
      <c r="I31" s="4">
        <v>0</v>
      </c>
      <c r="J31" s="4">
        <v>0</v>
      </c>
      <c r="K31" s="4">
        <v>0</v>
      </c>
      <c r="L31" s="4">
        <v>500000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500000</v>
      </c>
    </row>
    <row r="32" spans="1:22" x14ac:dyDescent="0.25">
      <c r="A32" t="s">
        <v>151</v>
      </c>
      <c r="B32" t="s">
        <v>19</v>
      </c>
      <c r="C32" t="s">
        <v>417</v>
      </c>
      <c r="D32" t="s">
        <v>22</v>
      </c>
      <c r="E32" t="s">
        <v>396</v>
      </c>
      <c r="F32">
        <v>650000</v>
      </c>
      <c r="G32">
        <v>0</v>
      </c>
      <c r="H32">
        <v>650000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</row>
    <row r="33" spans="1:22" x14ac:dyDescent="0.25">
      <c r="A33" t="s">
        <v>151</v>
      </c>
      <c r="B33" t="s">
        <v>19</v>
      </c>
      <c r="C33" t="s">
        <v>422</v>
      </c>
      <c r="D33" t="s">
        <v>22</v>
      </c>
      <c r="E33" t="s">
        <v>253</v>
      </c>
      <c r="F33">
        <v>7446132.75</v>
      </c>
      <c r="G33">
        <v>2500000</v>
      </c>
      <c r="H33">
        <v>4946132.75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</row>
    <row r="34" spans="1:22" x14ac:dyDescent="0.25">
      <c r="A34" t="s">
        <v>151</v>
      </c>
      <c r="B34" t="s">
        <v>19</v>
      </c>
      <c r="C34" t="s">
        <v>423</v>
      </c>
      <c r="D34" t="s">
        <v>22</v>
      </c>
      <c r="E34" t="s">
        <v>107</v>
      </c>
      <c r="F34">
        <v>2193076</v>
      </c>
      <c r="G34">
        <v>0</v>
      </c>
      <c r="H34">
        <v>0</v>
      </c>
      <c r="I34" s="4">
        <v>0</v>
      </c>
      <c r="J34" s="4">
        <v>0</v>
      </c>
      <c r="K34" s="4">
        <v>0</v>
      </c>
      <c r="L34" s="4">
        <v>0</v>
      </c>
      <c r="M34" s="4">
        <v>2193076</v>
      </c>
      <c r="N34" s="4">
        <v>0</v>
      </c>
      <c r="O34" s="4">
        <v>0</v>
      </c>
      <c r="P34" s="4">
        <v>0</v>
      </c>
      <c r="Q34" s="4">
        <v>0</v>
      </c>
      <c r="R34" s="4">
        <v>0</v>
      </c>
      <c r="S34" s="4">
        <v>0</v>
      </c>
      <c r="T34" s="4">
        <v>0</v>
      </c>
      <c r="U34" s="4">
        <v>0</v>
      </c>
      <c r="V34" s="4">
        <v>2193076</v>
      </c>
    </row>
    <row r="35" spans="1:22" x14ac:dyDescent="0.25">
      <c r="A35" t="s">
        <v>151</v>
      </c>
      <c r="B35" t="s">
        <v>19</v>
      </c>
      <c r="C35" t="s">
        <v>445</v>
      </c>
      <c r="D35" t="s">
        <v>22</v>
      </c>
      <c r="E35" t="s">
        <v>438</v>
      </c>
      <c r="F35">
        <v>6000000</v>
      </c>
      <c r="G35">
        <v>0</v>
      </c>
      <c r="H35">
        <v>6000000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</row>
    <row r="36" spans="1:22" x14ac:dyDescent="0.25">
      <c r="A36" t="s">
        <v>151</v>
      </c>
      <c r="B36" t="s">
        <v>19</v>
      </c>
      <c r="C36" t="s">
        <v>467</v>
      </c>
      <c r="D36" t="s">
        <v>22</v>
      </c>
      <c r="E36" t="s">
        <v>460</v>
      </c>
      <c r="F36">
        <v>2896770</v>
      </c>
      <c r="G36">
        <v>0</v>
      </c>
      <c r="H36">
        <v>2509911.0499999998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386858.95</v>
      </c>
      <c r="R36" s="4">
        <v>0</v>
      </c>
      <c r="S36" s="4">
        <v>0</v>
      </c>
      <c r="T36" s="4">
        <v>0</v>
      </c>
      <c r="U36" s="4">
        <v>0</v>
      </c>
      <c r="V36" s="4">
        <v>386858.95</v>
      </c>
    </row>
    <row r="37" spans="1:22" x14ac:dyDescent="0.25">
      <c r="A37" t="s">
        <v>151</v>
      </c>
      <c r="B37" t="s">
        <v>19</v>
      </c>
      <c r="C37" t="s">
        <v>531</v>
      </c>
      <c r="D37" t="s">
        <v>22</v>
      </c>
      <c r="E37" t="s">
        <v>471</v>
      </c>
      <c r="F37">
        <v>700000</v>
      </c>
      <c r="G37">
        <v>0</v>
      </c>
      <c r="H37">
        <v>700000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</row>
    <row r="38" spans="1:22" x14ac:dyDescent="0.25">
      <c r="A38" t="s">
        <v>151</v>
      </c>
      <c r="B38" t="s">
        <v>19</v>
      </c>
      <c r="C38" t="s">
        <v>539</v>
      </c>
      <c r="D38" t="s">
        <v>22</v>
      </c>
      <c r="E38" t="s">
        <v>483</v>
      </c>
      <c r="F38">
        <v>5000000</v>
      </c>
      <c r="G38">
        <v>0</v>
      </c>
      <c r="H38">
        <v>5000000</v>
      </c>
      <c r="I38" s="4">
        <v>0</v>
      </c>
      <c r="J38" s="4">
        <v>0</v>
      </c>
      <c r="K38" s="4">
        <v>0</v>
      </c>
      <c r="L38" s="4">
        <v>0</v>
      </c>
      <c r="M38" s="4">
        <v>0</v>
      </c>
      <c r="N38" s="4">
        <v>0</v>
      </c>
      <c r="O38" s="4">
        <v>0</v>
      </c>
      <c r="P38" s="4">
        <v>0</v>
      </c>
      <c r="Q38" s="4">
        <v>0</v>
      </c>
      <c r="R38" s="4">
        <v>0</v>
      </c>
      <c r="S38" s="4">
        <v>0</v>
      </c>
      <c r="T38" s="4">
        <v>0</v>
      </c>
      <c r="U38" s="4">
        <v>0</v>
      </c>
      <c r="V38" s="4">
        <v>0</v>
      </c>
    </row>
    <row r="39" spans="1:22" x14ac:dyDescent="0.25">
      <c r="A39" t="s">
        <v>151</v>
      </c>
      <c r="B39" t="s">
        <v>19</v>
      </c>
      <c r="C39" t="s">
        <v>543</v>
      </c>
      <c r="D39" t="s">
        <v>22</v>
      </c>
      <c r="E39" t="s">
        <v>449</v>
      </c>
      <c r="F39">
        <v>26518417.458099999</v>
      </c>
      <c r="G39">
        <v>0</v>
      </c>
      <c r="H39">
        <v>26518417.460000001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v>0</v>
      </c>
    </row>
    <row r="40" spans="1:22" x14ac:dyDescent="0.25">
      <c r="A40" t="s">
        <v>151</v>
      </c>
      <c r="B40" t="s">
        <v>19</v>
      </c>
      <c r="C40" t="s">
        <v>564</v>
      </c>
      <c r="D40" t="s">
        <v>22</v>
      </c>
      <c r="E40" t="s">
        <v>557</v>
      </c>
      <c r="F40">
        <v>11188186.699999999</v>
      </c>
      <c r="G40">
        <v>0</v>
      </c>
      <c r="H40">
        <v>11188186.699999999</v>
      </c>
      <c r="I40" s="4">
        <v>0</v>
      </c>
      <c r="J40" s="4">
        <v>0</v>
      </c>
      <c r="K40" s="4">
        <v>0</v>
      </c>
      <c r="L40" s="4">
        <v>0</v>
      </c>
      <c r="M40" s="4">
        <v>0</v>
      </c>
      <c r="N40" s="4">
        <v>0</v>
      </c>
      <c r="O40" s="4">
        <v>0</v>
      </c>
      <c r="P40" s="4">
        <v>0</v>
      </c>
      <c r="Q40" s="4">
        <v>0</v>
      </c>
      <c r="R40" s="4">
        <v>0</v>
      </c>
      <c r="S40" s="4">
        <v>0</v>
      </c>
      <c r="T40" s="4">
        <v>0</v>
      </c>
      <c r="U40" s="4">
        <v>0</v>
      </c>
      <c r="V40" s="4">
        <v>0</v>
      </c>
    </row>
    <row r="41" spans="1:22" x14ac:dyDescent="0.25">
      <c r="A41" t="s">
        <v>103</v>
      </c>
      <c r="B41" t="s">
        <v>19</v>
      </c>
      <c r="C41" t="s">
        <v>145</v>
      </c>
      <c r="D41" t="s">
        <v>22</v>
      </c>
      <c r="E41" t="s">
        <v>144</v>
      </c>
      <c r="F41">
        <v>900000</v>
      </c>
      <c r="G41">
        <v>781791.28</v>
      </c>
      <c r="H41">
        <v>118208.72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</row>
    <row r="42" spans="1:22" x14ac:dyDescent="0.25">
      <c r="A42" t="s">
        <v>103</v>
      </c>
      <c r="B42" t="s">
        <v>19</v>
      </c>
      <c r="C42" t="s">
        <v>185</v>
      </c>
      <c r="D42" t="s">
        <v>18</v>
      </c>
      <c r="E42" t="s">
        <v>160</v>
      </c>
      <c r="F42">
        <v>922106.57</v>
      </c>
      <c r="G42">
        <v>207691.38</v>
      </c>
      <c r="H42">
        <v>11827.52</v>
      </c>
      <c r="I42" s="4">
        <v>0</v>
      </c>
      <c r="J42" s="4">
        <v>0</v>
      </c>
      <c r="K42" s="4">
        <v>0</v>
      </c>
      <c r="L42" s="4">
        <v>0</v>
      </c>
      <c r="M42" s="4">
        <v>0</v>
      </c>
      <c r="N42" s="4">
        <v>702587.67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702587.67</v>
      </c>
    </row>
    <row r="43" spans="1:22" x14ac:dyDescent="0.25">
      <c r="A43" t="s">
        <v>103</v>
      </c>
      <c r="B43" t="s">
        <v>19</v>
      </c>
      <c r="C43" t="s">
        <v>186</v>
      </c>
      <c r="D43" t="s">
        <v>18</v>
      </c>
      <c r="E43" t="s">
        <v>184</v>
      </c>
      <c r="F43">
        <v>250000</v>
      </c>
      <c r="G43">
        <v>0</v>
      </c>
      <c r="H43">
        <v>250000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</row>
    <row r="44" spans="1:22" x14ac:dyDescent="0.25">
      <c r="A44" t="s">
        <v>105</v>
      </c>
      <c r="B44" t="s">
        <v>19</v>
      </c>
      <c r="C44" t="s">
        <v>274</v>
      </c>
      <c r="D44" t="s">
        <v>18</v>
      </c>
      <c r="E44" t="s">
        <v>270</v>
      </c>
      <c r="F44">
        <v>22200000.000000004</v>
      </c>
      <c r="G44">
        <v>20908277</v>
      </c>
      <c r="H44">
        <v>93058</v>
      </c>
      <c r="I44" s="4">
        <v>1198665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</v>
      </c>
      <c r="Q44" s="4">
        <v>0</v>
      </c>
      <c r="R44" s="4">
        <v>0</v>
      </c>
      <c r="S44" s="4">
        <v>0</v>
      </c>
      <c r="T44" s="4">
        <v>0</v>
      </c>
      <c r="U44" s="4">
        <v>0</v>
      </c>
      <c r="V44" s="4">
        <v>1198665</v>
      </c>
    </row>
    <row r="45" spans="1:22" x14ac:dyDescent="0.25">
      <c r="A45" t="s">
        <v>105</v>
      </c>
      <c r="B45" t="s">
        <v>19</v>
      </c>
      <c r="C45" t="s">
        <v>347</v>
      </c>
      <c r="D45" t="s">
        <v>18</v>
      </c>
      <c r="E45" t="s">
        <v>366</v>
      </c>
      <c r="F45">
        <v>19000000</v>
      </c>
      <c r="G45">
        <v>13000000</v>
      </c>
      <c r="H45">
        <v>0</v>
      </c>
      <c r="I45" s="4">
        <v>0</v>
      </c>
      <c r="J45" s="4">
        <v>6000000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6000000</v>
      </c>
    </row>
    <row r="46" spans="1:22" x14ac:dyDescent="0.25">
      <c r="A46" t="s">
        <v>105</v>
      </c>
      <c r="B46" t="s">
        <v>19</v>
      </c>
      <c r="C46" t="s">
        <v>432</v>
      </c>
      <c r="D46" t="s">
        <v>18</v>
      </c>
      <c r="E46" t="s">
        <v>429</v>
      </c>
      <c r="F46">
        <v>5693645.4199999999</v>
      </c>
      <c r="G46">
        <v>0</v>
      </c>
      <c r="H46">
        <v>5693645.4199999999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</v>
      </c>
      <c r="Q46" s="4">
        <v>0</v>
      </c>
      <c r="R46" s="4">
        <v>0</v>
      </c>
      <c r="S46" s="4">
        <v>0</v>
      </c>
      <c r="T46" s="4">
        <v>0</v>
      </c>
      <c r="U46" s="4">
        <v>0</v>
      </c>
      <c r="V46" s="4">
        <v>0</v>
      </c>
    </row>
    <row r="47" spans="1:22" x14ac:dyDescent="0.25">
      <c r="A47" t="s">
        <v>105</v>
      </c>
      <c r="B47" t="s">
        <v>19</v>
      </c>
      <c r="C47" t="s">
        <v>433</v>
      </c>
      <c r="D47" t="s">
        <v>18</v>
      </c>
      <c r="E47" t="s">
        <v>427</v>
      </c>
      <c r="F47">
        <v>5120131</v>
      </c>
      <c r="G47">
        <v>0</v>
      </c>
      <c r="H47">
        <v>5120131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</row>
    <row r="48" spans="1:22" x14ac:dyDescent="0.25">
      <c r="A48" t="s">
        <v>105</v>
      </c>
      <c r="B48" t="s">
        <v>19</v>
      </c>
      <c r="C48" t="s">
        <v>434</v>
      </c>
      <c r="D48" t="s">
        <v>18</v>
      </c>
      <c r="E48" t="s">
        <v>428</v>
      </c>
      <c r="F48">
        <v>15724333.939999999</v>
      </c>
      <c r="G48">
        <v>0</v>
      </c>
      <c r="H48">
        <v>0</v>
      </c>
      <c r="I48" s="4">
        <v>0</v>
      </c>
      <c r="J48" s="4">
        <v>0</v>
      </c>
      <c r="K48" s="4">
        <v>0</v>
      </c>
      <c r="L48" s="4">
        <v>11724333.940000001</v>
      </c>
      <c r="M48" s="4">
        <v>4000000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15724333.940000001</v>
      </c>
    </row>
    <row r="49" spans="1:22" x14ac:dyDescent="0.25">
      <c r="A49" t="s">
        <v>105</v>
      </c>
      <c r="B49" t="s">
        <v>19</v>
      </c>
      <c r="C49" t="s">
        <v>480</v>
      </c>
      <c r="D49" t="s">
        <v>18</v>
      </c>
      <c r="E49" t="s">
        <v>279</v>
      </c>
      <c r="F49">
        <v>2000000</v>
      </c>
      <c r="G49">
        <v>0</v>
      </c>
      <c r="H49">
        <v>2000000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0</v>
      </c>
    </row>
    <row r="50" spans="1:22" x14ac:dyDescent="0.25">
      <c r="A50" t="s">
        <v>106</v>
      </c>
      <c r="B50" t="s">
        <v>19</v>
      </c>
      <c r="C50" t="s">
        <v>196</v>
      </c>
      <c r="D50" t="s">
        <v>22</v>
      </c>
      <c r="E50" t="s">
        <v>195</v>
      </c>
      <c r="F50">
        <v>2826301.05</v>
      </c>
      <c r="G50">
        <v>1261168.18</v>
      </c>
      <c r="H50">
        <v>1565132.87</v>
      </c>
      <c r="I50" s="4">
        <v>0</v>
      </c>
      <c r="J50" s="4">
        <v>0</v>
      </c>
      <c r="K50" s="4">
        <v>0</v>
      </c>
      <c r="L50" s="4">
        <v>0</v>
      </c>
      <c r="M50" s="4">
        <v>0</v>
      </c>
      <c r="N50" s="4">
        <v>0</v>
      </c>
      <c r="O50" s="4">
        <v>0</v>
      </c>
      <c r="P50" s="4">
        <v>0</v>
      </c>
      <c r="Q50" s="4">
        <v>0</v>
      </c>
      <c r="R50" s="4">
        <v>0</v>
      </c>
      <c r="S50" s="4">
        <v>0</v>
      </c>
      <c r="T50" s="4">
        <v>0</v>
      </c>
      <c r="U50" s="4">
        <v>0</v>
      </c>
      <c r="V50" s="4">
        <v>0</v>
      </c>
    </row>
    <row r="51" spans="1:22" x14ac:dyDescent="0.25">
      <c r="A51" t="s">
        <v>106</v>
      </c>
      <c r="B51" t="s">
        <v>19</v>
      </c>
      <c r="C51" t="s">
        <v>216</v>
      </c>
      <c r="D51" t="s">
        <v>18</v>
      </c>
      <c r="E51" t="s">
        <v>181</v>
      </c>
      <c r="F51">
        <v>3009600</v>
      </c>
      <c r="G51">
        <v>1850554.97</v>
      </c>
      <c r="H51">
        <v>1159045.03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v>0</v>
      </c>
    </row>
    <row r="52" spans="1:22" x14ac:dyDescent="0.25">
      <c r="A52" t="s">
        <v>106</v>
      </c>
      <c r="B52" t="s">
        <v>19</v>
      </c>
      <c r="C52" t="s">
        <v>237</v>
      </c>
      <c r="D52" t="s">
        <v>18</v>
      </c>
      <c r="E52" t="s">
        <v>227</v>
      </c>
      <c r="F52">
        <v>5308039.3600000003</v>
      </c>
      <c r="G52">
        <v>5072714.3</v>
      </c>
      <c r="H52">
        <v>235325.06</v>
      </c>
      <c r="I52" s="4">
        <v>0</v>
      </c>
      <c r="J52" s="4">
        <v>0</v>
      </c>
      <c r="K52" s="4">
        <v>0</v>
      </c>
      <c r="L52" s="4">
        <v>0</v>
      </c>
      <c r="M52" s="4">
        <v>0</v>
      </c>
      <c r="N52" s="4">
        <v>0</v>
      </c>
      <c r="O52" s="4">
        <v>0</v>
      </c>
      <c r="P52" s="4">
        <v>0</v>
      </c>
      <c r="Q52" s="4">
        <v>0</v>
      </c>
      <c r="R52" s="4">
        <v>0</v>
      </c>
      <c r="S52" s="4">
        <v>0</v>
      </c>
      <c r="T52" s="4">
        <v>0</v>
      </c>
      <c r="U52" s="4">
        <v>0</v>
      </c>
      <c r="V52" s="4">
        <v>0</v>
      </c>
    </row>
    <row r="53" spans="1:22" x14ac:dyDescent="0.25">
      <c r="A53" t="s">
        <v>106</v>
      </c>
      <c r="B53" t="s">
        <v>19</v>
      </c>
      <c r="C53" t="s">
        <v>239</v>
      </c>
      <c r="D53" t="s">
        <v>18</v>
      </c>
      <c r="E53" t="s">
        <v>174</v>
      </c>
      <c r="F53">
        <v>2074312.5</v>
      </c>
      <c r="G53">
        <v>1365320.5099999998</v>
      </c>
      <c r="H53">
        <v>708991.99</v>
      </c>
      <c r="I53" s="4">
        <v>0</v>
      </c>
      <c r="J53" s="4">
        <v>0</v>
      </c>
      <c r="K53" s="4">
        <v>0</v>
      </c>
      <c r="L53" s="4">
        <v>0</v>
      </c>
      <c r="M53" s="4">
        <v>0</v>
      </c>
      <c r="N53" s="4">
        <v>0</v>
      </c>
      <c r="O53" s="4">
        <v>0</v>
      </c>
      <c r="P53" s="4">
        <v>0</v>
      </c>
      <c r="Q53" s="4">
        <v>0</v>
      </c>
      <c r="R53" s="4">
        <v>0</v>
      </c>
      <c r="S53" s="4">
        <v>0</v>
      </c>
      <c r="T53" s="4">
        <v>0</v>
      </c>
      <c r="U53" s="4">
        <v>0</v>
      </c>
      <c r="V53" s="4">
        <v>0</v>
      </c>
    </row>
    <row r="54" spans="1:22" x14ac:dyDescent="0.25">
      <c r="A54" t="s">
        <v>106</v>
      </c>
      <c r="B54" t="s">
        <v>19</v>
      </c>
      <c r="C54" t="s">
        <v>240</v>
      </c>
      <c r="D54" t="s">
        <v>18</v>
      </c>
      <c r="E54" t="s">
        <v>235</v>
      </c>
      <c r="F54">
        <v>7670500</v>
      </c>
      <c r="G54">
        <v>4347795.32</v>
      </c>
      <c r="H54">
        <v>2910204.68</v>
      </c>
      <c r="I54" s="4">
        <v>0</v>
      </c>
      <c r="J54" s="4">
        <v>412500</v>
      </c>
      <c r="K54" s="4">
        <v>0</v>
      </c>
      <c r="L54" s="4">
        <v>0</v>
      </c>
      <c r="M54" s="4">
        <v>0</v>
      </c>
      <c r="N54" s="4">
        <v>0</v>
      </c>
      <c r="O54" s="4">
        <v>0</v>
      </c>
      <c r="P54" s="4">
        <v>0</v>
      </c>
      <c r="Q54" s="4">
        <v>0</v>
      </c>
      <c r="R54" s="4">
        <v>0</v>
      </c>
      <c r="S54" s="4">
        <v>0</v>
      </c>
      <c r="T54" s="4">
        <v>0</v>
      </c>
      <c r="U54" s="4">
        <v>0</v>
      </c>
      <c r="V54" s="4">
        <v>412500</v>
      </c>
    </row>
    <row r="55" spans="1:22" x14ac:dyDescent="0.25">
      <c r="A55" t="s">
        <v>106</v>
      </c>
      <c r="B55" t="s">
        <v>19</v>
      </c>
      <c r="C55" t="s">
        <v>353</v>
      </c>
      <c r="D55" t="s">
        <v>22</v>
      </c>
      <c r="E55" t="s">
        <v>350</v>
      </c>
      <c r="F55">
        <v>2140124.1600000001</v>
      </c>
      <c r="G55">
        <v>1696396.49</v>
      </c>
      <c r="H55">
        <v>443727.67</v>
      </c>
      <c r="I55" s="4">
        <v>0</v>
      </c>
      <c r="J55" s="4">
        <v>0</v>
      </c>
      <c r="K55" s="4">
        <v>0</v>
      </c>
      <c r="L55" s="4">
        <v>0</v>
      </c>
      <c r="M55" s="4">
        <v>0</v>
      </c>
      <c r="N55" s="4">
        <v>0</v>
      </c>
      <c r="O55" s="4">
        <v>0</v>
      </c>
      <c r="P55" s="4">
        <v>0</v>
      </c>
      <c r="Q55" s="4">
        <v>0</v>
      </c>
      <c r="R55" s="4">
        <v>0</v>
      </c>
      <c r="S55" s="4">
        <v>0</v>
      </c>
      <c r="T55" s="4">
        <v>0</v>
      </c>
      <c r="U55" s="4">
        <v>0</v>
      </c>
      <c r="V55" s="4">
        <v>0</v>
      </c>
    </row>
    <row r="56" spans="1:22" x14ac:dyDescent="0.25">
      <c r="A56" t="s">
        <v>106</v>
      </c>
      <c r="B56" t="s">
        <v>19</v>
      </c>
      <c r="C56" t="s">
        <v>360</v>
      </c>
      <c r="D56" t="s">
        <v>18</v>
      </c>
      <c r="E56" t="s">
        <v>355</v>
      </c>
      <c r="F56">
        <v>2495972.17</v>
      </c>
      <c r="G56">
        <v>1548792.03</v>
      </c>
      <c r="H56">
        <v>947180.14</v>
      </c>
      <c r="I56" s="4">
        <v>0</v>
      </c>
      <c r="J56" s="4">
        <v>0</v>
      </c>
      <c r="K56" s="4">
        <v>0</v>
      </c>
      <c r="L56" s="4">
        <v>0</v>
      </c>
      <c r="M56" s="4">
        <v>0</v>
      </c>
      <c r="N56" s="4">
        <v>0</v>
      </c>
      <c r="O56" s="4">
        <v>0</v>
      </c>
      <c r="P56" s="4">
        <v>0</v>
      </c>
      <c r="Q56" s="4">
        <v>0</v>
      </c>
      <c r="R56" s="4">
        <v>0</v>
      </c>
      <c r="S56" s="4">
        <v>0</v>
      </c>
      <c r="T56" s="4">
        <v>0</v>
      </c>
      <c r="U56" s="4">
        <v>0</v>
      </c>
      <c r="V56" s="4">
        <v>0</v>
      </c>
    </row>
    <row r="57" spans="1:22" x14ac:dyDescent="0.25">
      <c r="A57" t="s">
        <v>75</v>
      </c>
      <c r="B57" t="s">
        <v>19</v>
      </c>
      <c r="C57" t="s">
        <v>155</v>
      </c>
      <c r="D57" t="s">
        <v>69</v>
      </c>
      <c r="E57" t="s">
        <v>150</v>
      </c>
      <c r="F57">
        <v>863693.45</v>
      </c>
      <c r="G57">
        <v>0</v>
      </c>
      <c r="H57">
        <v>863693.45</v>
      </c>
      <c r="I57" s="4">
        <v>0</v>
      </c>
      <c r="J57" s="4">
        <v>0</v>
      </c>
      <c r="K57" s="4">
        <v>0</v>
      </c>
      <c r="L57" s="4">
        <v>0</v>
      </c>
      <c r="M57" s="4">
        <v>0</v>
      </c>
      <c r="N57" s="4">
        <v>0</v>
      </c>
      <c r="O57" s="4">
        <v>0</v>
      </c>
      <c r="P57" s="4">
        <v>0</v>
      </c>
      <c r="Q57" s="4">
        <v>0</v>
      </c>
      <c r="R57" s="4">
        <v>0</v>
      </c>
      <c r="S57" s="4">
        <v>0</v>
      </c>
      <c r="T57" s="4">
        <v>0</v>
      </c>
      <c r="U57" s="4">
        <v>0</v>
      </c>
      <c r="V57" s="4">
        <v>0</v>
      </c>
    </row>
    <row r="58" spans="1:22" x14ac:dyDescent="0.25">
      <c r="A58" t="s">
        <v>75</v>
      </c>
      <c r="B58" t="s">
        <v>19</v>
      </c>
      <c r="C58" t="s">
        <v>157</v>
      </c>
      <c r="D58" t="s">
        <v>69</v>
      </c>
      <c r="E58" t="s">
        <v>154</v>
      </c>
      <c r="F58">
        <v>527850.01</v>
      </c>
      <c r="G58">
        <v>263925</v>
      </c>
      <c r="H58">
        <v>263925.01</v>
      </c>
      <c r="I58" s="4">
        <v>0</v>
      </c>
      <c r="J58" s="4">
        <v>0</v>
      </c>
      <c r="K58" s="4">
        <v>0</v>
      </c>
      <c r="L58" s="4">
        <v>0</v>
      </c>
      <c r="M58" s="4">
        <v>0</v>
      </c>
      <c r="N58" s="4">
        <v>0</v>
      </c>
      <c r="O58" s="4">
        <v>0</v>
      </c>
      <c r="P58" s="4">
        <v>0</v>
      </c>
      <c r="Q58" s="4">
        <v>0</v>
      </c>
      <c r="R58" s="4">
        <v>0</v>
      </c>
      <c r="S58" s="4">
        <v>0</v>
      </c>
      <c r="T58" s="4">
        <v>0</v>
      </c>
      <c r="U58" s="4">
        <v>0</v>
      </c>
      <c r="V58" s="4">
        <v>0</v>
      </c>
    </row>
    <row r="59" spans="1:22" x14ac:dyDescent="0.25">
      <c r="A59" t="s">
        <v>75</v>
      </c>
      <c r="B59" t="s">
        <v>19</v>
      </c>
      <c r="C59" t="s">
        <v>171</v>
      </c>
      <c r="D59" t="s">
        <v>69</v>
      </c>
      <c r="E59" t="s">
        <v>170</v>
      </c>
      <c r="F59">
        <v>1033453.25</v>
      </c>
      <c r="G59">
        <v>391176.24</v>
      </c>
      <c r="H59">
        <v>642277.01</v>
      </c>
      <c r="I59" s="4">
        <v>0</v>
      </c>
      <c r="J59" s="4">
        <v>0</v>
      </c>
      <c r="K59" s="4">
        <v>0</v>
      </c>
      <c r="L59" s="4">
        <v>0</v>
      </c>
      <c r="M59" s="4">
        <v>0</v>
      </c>
      <c r="N59" s="4">
        <v>0</v>
      </c>
      <c r="O59" s="4">
        <v>0</v>
      </c>
      <c r="P59" s="4">
        <v>0</v>
      </c>
      <c r="Q59" s="4">
        <v>0</v>
      </c>
      <c r="R59" s="4">
        <v>0</v>
      </c>
      <c r="S59" s="4">
        <v>0</v>
      </c>
      <c r="T59" s="4">
        <v>0</v>
      </c>
      <c r="U59" s="4">
        <v>0</v>
      </c>
      <c r="V59" s="4">
        <v>0</v>
      </c>
    </row>
    <row r="60" spans="1:22" x14ac:dyDescent="0.25">
      <c r="A60" t="s">
        <v>75</v>
      </c>
      <c r="B60" t="s">
        <v>19</v>
      </c>
      <c r="C60" t="s">
        <v>373</v>
      </c>
      <c r="D60" t="s">
        <v>69</v>
      </c>
      <c r="E60" t="s">
        <v>179</v>
      </c>
      <c r="F60">
        <v>312828.75</v>
      </c>
      <c r="G60">
        <v>262776.15000000002</v>
      </c>
      <c r="H60">
        <v>50052.6</v>
      </c>
      <c r="I60" s="4">
        <v>0</v>
      </c>
      <c r="J60" s="4">
        <v>0</v>
      </c>
      <c r="K60" s="4">
        <v>0</v>
      </c>
      <c r="L60" s="4">
        <v>0</v>
      </c>
      <c r="M60" s="4">
        <v>0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  <c r="V60" s="4">
        <v>0</v>
      </c>
    </row>
    <row r="61" spans="1:22" x14ac:dyDescent="0.25">
      <c r="A61" t="s">
        <v>75</v>
      </c>
      <c r="B61" t="s">
        <v>19</v>
      </c>
      <c r="C61" t="s">
        <v>190</v>
      </c>
      <c r="D61" t="s">
        <v>69</v>
      </c>
      <c r="E61" t="s">
        <v>188</v>
      </c>
      <c r="F61">
        <v>101623.2</v>
      </c>
      <c r="G61">
        <v>0</v>
      </c>
      <c r="H61">
        <v>101623.2</v>
      </c>
      <c r="I61" s="4">
        <v>0</v>
      </c>
      <c r="J61" s="4">
        <v>0</v>
      </c>
      <c r="K61" s="4">
        <v>0</v>
      </c>
      <c r="L61" s="4">
        <v>0</v>
      </c>
      <c r="M61" s="4">
        <v>0</v>
      </c>
      <c r="N61" s="4">
        <v>0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  <c r="V61" s="4">
        <v>0</v>
      </c>
    </row>
    <row r="62" spans="1:22" x14ac:dyDescent="0.25">
      <c r="A62" t="s">
        <v>75</v>
      </c>
      <c r="B62" t="s">
        <v>19</v>
      </c>
      <c r="C62" t="s">
        <v>193</v>
      </c>
      <c r="D62" t="s">
        <v>69</v>
      </c>
      <c r="E62" t="s">
        <v>189</v>
      </c>
      <c r="F62">
        <v>12956001.199999999</v>
      </c>
      <c r="G62">
        <v>1509410.02</v>
      </c>
      <c r="H62">
        <v>11446591.18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v>0</v>
      </c>
    </row>
    <row r="63" spans="1:22" x14ac:dyDescent="0.25">
      <c r="A63" t="s">
        <v>75</v>
      </c>
      <c r="B63" t="s">
        <v>19</v>
      </c>
      <c r="C63" t="s">
        <v>220</v>
      </c>
      <c r="D63" t="s">
        <v>69</v>
      </c>
      <c r="E63" t="s">
        <v>212</v>
      </c>
      <c r="F63">
        <v>10000000</v>
      </c>
      <c r="G63">
        <v>2924152.4000000004</v>
      </c>
      <c r="H63">
        <v>7075847.5999999996</v>
      </c>
      <c r="I63" s="4">
        <v>0</v>
      </c>
      <c r="J63" s="4">
        <v>0</v>
      </c>
      <c r="K63" s="4">
        <v>0</v>
      </c>
      <c r="L63" s="4">
        <v>0</v>
      </c>
      <c r="M63" s="4">
        <v>0</v>
      </c>
      <c r="N63" s="4">
        <v>0</v>
      </c>
      <c r="O63" s="4">
        <v>0</v>
      </c>
      <c r="P63" s="4">
        <v>0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0</v>
      </c>
    </row>
    <row r="64" spans="1:22" x14ac:dyDescent="0.25">
      <c r="A64" t="s">
        <v>75</v>
      </c>
      <c r="B64" t="s">
        <v>19</v>
      </c>
      <c r="C64" t="s">
        <v>221</v>
      </c>
      <c r="D64" t="s">
        <v>69</v>
      </c>
      <c r="E64" t="s">
        <v>214</v>
      </c>
      <c r="F64">
        <v>501144.18</v>
      </c>
      <c r="G64">
        <v>42591.07</v>
      </c>
      <c r="H64">
        <v>259159.21</v>
      </c>
      <c r="I64" s="4">
        <v>0</v>
      </c>
      <c r="J64" s="4">
        <v>0</v>
      </c>
      <c r="K64" s="4">
        <v>199393.9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199393.9</v>
      </c>
    </row>
    <row r="65" spans="1:22" x14ac:dyDescent="0.25">
      <c r="A65" t="s">
        <v>75</v>
      </c>
      <c r="B65" t="s">
        <v>19</v>
      </c>
      <c r="C65" t="s">
        <v>222</v>
      </c>
      <c r="D65" t="s">
        <v>69</v>
      </c>
      <c r="E65" t="s">
        <v>213</v>
      </c>
      <c r="F65">
        <v>250000</v>
      </c>
      <c r="G65">
        <v>0</v>
      </c>
      <c r="H65">
        <v>250000</v>
      </c>
      <c r="I65" s="4">
        <v>0</v>
      </c>
      <c r="J65" s="4">
        <v>0</v>
      </c>
      <c r="K65" s="4">
        <v>0</v>
      </c>
      <c r="L65" s="4">
        <v>0</v>
      </c>
      <c r="M65" s="4">
        <v>0</v>
      </c>
      <c r="N65" s="4">
        <v>0</v>
      </c>
      <c r="O65" s="4">
        <v>0</v>
      </c>
      <c r="P65" s="4">
        <v>0</v>
      </c>
      <c r="Q65" s="4">
        <v>0</v>
      </c>
      <c r="R65" s="4">
        <v>0</v>
      </c>
      <c r="S65" s="4">
        <v>0</v>
      </c>
      <c r="T65" s="4">
        <v>0</v>
      </c>
      <c r="U65" s="4">
        <v>0</v>
      </c>
      <c r="V65" s="4">
        <v>0</v>
      </c>
    </row>
    <row r="66" spans="1:22" x14ac:dyDescent="0.25">
      <c r="A66" t="s">
        <v>75</v>
      </c>
      <c r="B66" t="s">
        <v>19</v>
      </c>
      <c r="C66" t="s">
        <v>250</v>
      </c>
      <c r="D66" t="s">
        <v>69</v>
      </c>
      <c r="E66" t="s">
        <v>246</v>
      </c>
      <c r="F66">
        <v>16731764</v>
      </c>
      <c r="G66">
        <v>5732513.5999999996</v>
      </c>
      <c r="H66">
        <v>10999250.4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</row>
    <row r="67" spans="1:22" x14ac:dyDescent="0.25">
      <c r="A67" t="s">
        <v>75</v>
      </c>
      <c r="B67" t="s">
        <v>19</v>
      </c>
      <c r="C67" t="s">
        <v>293</v>
      </c>
      <c r="D67" t="s">
        <v>69</v>
      </c>
      <c r="E67" t="s">
        <v>279</v>
      </c>
      <c r="F67">
        <v>5802900</v>
      </c>
      <c r="G67">
        <v>495832.85</v>
      </c>
      <c r="H67">
        <v>5194866.25</v>
      </c>
      <c r="I67" s="4">
        <v>0</v>
      </c>
      <c r="J67" s="4">
        <v>0</v>
      </c>
      <c r="K67" s="4">
        <v>0</v>
      </c>
      <c r="L67" s="4">
        <v>112200.9</v>
      </c>
      <c r="M67" s="4">
        <v>0</v>
      </c>
      <c r="N67" s="4">
        <v>0</v>
      </c>
      <c r="O67" s="4">
        <v>0</v>
      </c>
      <c r="P67" s="4">
        <v>0</v>
      </c>
      <c r="Q67" s="4">
        <v>0</v>
      </c>
      <c r="R67" s="4">
        <v>0</v>
      </c>
      <c r="S67" s="4">
        <v>0</v>
      </c>
      <c r="T67" s="4">
        <v>0</v>
      </c>
      <c r="U67" s="4">
        <v>0</v>
      </c>
      <c r="V67" s="4">
        <v>112200.9</v>
      </c>
    </row>
    <row r="68" spans="1:22" x14ac:dyDescent="0.25">
      <c r="A68" t="s">
        <v>75</v>
      </c>
      <c r="B68" t="s">
        <v>19</v>
      </c>
      <c r="C68" t="s">
        <v>307</v>
      </c>
      <c r="D68" t="s">
        <v>69</v>
      </c>
      <c r="E68" t="s">
        <v>29</v>
      </c>
      <c r="F68">
        <v>1500000</v>
      </c>
      <c r="G68">
        <v>1478254.88</v>
      </c>
      <c r="H68">
        <v>21745.119999999999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v>0</v>
      </c>
    </row>
    <row r="69" spans="1:22" x14ac:dyDescent="0.25">
      <c r="A69" t="s">
        <v>75</v>
      </c>
      <c r="B69" t="s">
        <v>19</v>
      </c>
      <c r="C69" t="s">
        <v>308</v>
      </c>
      <c r="D69" t="s">
        <v>69</v>
      </c>
      <c r="E69" t="s">
        <v>304</v>
      </c>
      <c r="F69">
        <v>739450</v>
      </c>
      <c r="G69">
        <v>0</v>
      </c>
      <c r="H69">
        <v>739450</v>
      </c>
      <c r="I69" s="4">
        <v>0</v>
      </c>
      <c r="J69" s="4">
        <v>0</v>
      </c>
      <c r="K69" s="4">
        <v>0</v>
      </c>
      <c r="L69" s="4">
        <v>0</v>
      </c>
      <c r="M69" s="4">
        <v>0</v>
      </c>
      <c r="N69" s="4">
        <v>0</v>
      </c>
      <c r="O69" s="4">
        <v>0</v>
      </c>
      <c r="P69" s="4">
        <v>0</v>
      </c>
      <c r="Q69" s="4">
        <v>0</v>
      </c>
      <c r="R69" s="4">
        <v>0</v>
      </c>
      <c r="S69" s="4">
        <v>0</v>
      </c>
      <c r="T69" s="4">
        <v>0</v>
      </c>
      <c r="U69" s="4">
        <v>0</v>
      </c>
      <c r="V69" s="4">
        <v>0</v>
      </c>
    </row>
    <row r="70" spans="1:22" x14ac:dyDescent="0.25">
      <c r="A70" t="s">
        <v>75</v>
      </c>
      <c r="B70" t="s">
        <v>19</v>
      </c>
      <c r="C70" t="s">
        <v>309</v>
      </c>
      <c r="D70" t="s">
        <v>69</v>
      </c>
      <c r="E70" t="s">
        <v>303</v>
      </c>
      <c r="F70">
        <v>424699.6</v>
      </c>
      <c r="G70">
        <v>212349.8</v>
      </c>
      <c r="H70">
        <v>212349.8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0</v>
      </c>
    </row>
    <row r="71" spans="1:22" x14ac:dyDescent="0.25">
      <c r="A71" t="s">
        <v>75</v>
      </c>
      <c r="B71" t="s">
        <v>19</v>
      </c>
      <c r="C71" t="s">
        <v>466</v>
      </c>
      <c r="D71" t="s">
        <v>69</v>
      </c>
      <c r="E71" t="s">
        <v>451</v>
      </c>
      <c r="F71">
        <v>600000</v>
      </c>
      <c r="G71">
        <v>0</v>
      </c>
      <c r="H71">
        <v>600000</v>
      </c>
      <c r="I71" s="4">
        <v>0</v>
      </c>
      <c r="J71" s="4">
        <v>0</v>
      </c>
      <c r="K71" s="4">
        <v>0</v>
      </c>
      <c r="L71" s="4">
        <v>0</v>
      </c>
      <c r="M71" s="4">
        <v>0</v>
      </c>
      <c r="N71" s="4">
        <v>0</v>
      </c>
      <c r="O71" s="4">
        <v>0</v>
      </c>
      <c r="P71" s="4">
        <v>0</v>
      </c>
      <c r="Q71" s="4">
        <v>0</v>
      </c>
      <c r="R71" s="4">
        <v>0</v>
      </c>
      <c r="S71" s="4">
        <v>0</v>
      </c>
      <c r="T71" s="4">
        <v>0</v>
      </c>
      <c r="U71" s="4">
        <v>0</v>
      </c>
      <c r="V71" s="4">
        <v>0</v>
      </c>
    </row>
    <row r="72" spans="1:22" x14ac:dyDescent="0.25">
      <c r="A72" t="s">
        <v>75</v>
      </c>
      <c r="B72" t="s">
        <v>19</v>
      </c>
      <c r="C72" t="s">
        <v>548</v>
      </c>
      <c r="D72" t="s">
        <v>69</v>
      </c>
      <c r="E72" t="s">
        <v>504</v>
      </c>
      <c r="F72">
        <v>5000000</v>
      </c>
      <c r="G72">
        <v>0</v>
      </c>
      <c r="H72">
        <v>5000000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v>0</v>
      </c>
    </row>
    <row r="73" spans="1:22" x14ac:dyDescent="0.25">
      <c r="A73" t="s">
        <v>152</v>
      </c>
      <c r="B73" t="s">
        <v>19</v>
      </c>
      <c r="C73" t="s">
        <v>172</v>
      </c>
      <c r="D73" t="s">
        <v>28</v>
      </c>
      <c r="E73" t="s">
        <v>169</v>
      </c>
      <c r="F73">
        <v>1000000</v>
      </c>
      <c r="G73">
        <v>732234.90999999992</v>
      </c>
      <c r="H73">
        <v>267765.09000000003</v>
      </c>
      <c r="I73" s="4">
        <v>0</v>
      </c>
      <c r="J73" s="4">
        <v>0</v>
      </c>
      <c r="K73" s="4">
        <v>0</v>
      </c>
      <c r="L73" s="4">
        <v>0</v>
      </c>
      <c r="M73" s="4">
        <v>0</v>
      </c>
      <c r="N73" s="4">
        <v>0</v>
      </c>
      <c r="O73" s="4">
        <v>0</v>
      </c>
      <c r="P73" s="4">
        <v>0</v>
      </c>
      <c r="Q73" s="4">
        <v>0</v>
      </c>
      <c r="R73" s="4">
        <v>0</v>
      </c>
      <c r="S73" s="4">
        <v>0</v>
      </c>
      <c r="T73" s="4">
        <v>0</v>
      </c>
      <c r="U73" s="4">
        <v>0</v>
      </c>
      <c r="V73" s="4">
        <v>0</v>
      </c>
    </row>
    <row r="74" spans="1:22" x14ac:dyDescent="0.25">
      <c r="A74" t="s">
        <v>152</v>
      </c>
      <c r="B74" t="s">
        <v>19</v>
      </c>
      <c r="C74" t="s">
        <v>194</v>
      </c>
      <c r="D74" t="s">
        <v>28</v>
      </c>
      <c r="E74" t="s">
        <v>192</v>
      </c>
      <c r="F74">
        <v>300000.01</v>
      </c>
      <c r="G74">
        <v>137792.10999999999</v>
      </c>
      <c r="H74">
        <v>162207.9</v>
      </c>
      <c r="I74" s="4">
        <v>0</v>
      </c>
      <c r="J74" s="4">
        <v>0</v>
      </c>
      <c r="K74" s="4">
        <v>0</v>
      </c>
      <c r="L74" s="4">
        <v>0</v>
      </c>
      <c r="M74" s="4">
        <v>0</v>
      </c>
      <c r="N74" s="4">
        <v>0</v>
      </c>
      <c r="O74" s="4">
        <v>0</v>
      </c>
      <c r="P74" s="4">
        <v>0</v>
      </c>
      <c r="Q74" s="4">
        <v>0</v>
      </c>
      <c r="R74" s="4">
        <v>0</v>
      </c>
      <c r="S74" s="4">
        <v>0</v>
      </c>
      <c r="T74" s="4">
        <v>0</v>
      </c>
      <c r="U74" s="4">
        <v>0</v>
      </c>
      <c r="V74" s="4">
        <v>0</v>
      </c>
    </row>
    <row r="75" spans="1:22" x14ac:dyDescent="0.25">
      <c r="A75" t="s">
        <v>152</v>
      </c>
      <c r="B75" t="s">
        <v>19</v>
      </c>
      <c r="C75" t="s">
        <v>228</v>
      </c>
      <c r="D75" t="s">
        <v>28</v>
      </c>
      <c r="E75" t="s">
        <v>225</v>
      </c>
      <c r="F75">
        <v>1500000</v>
      </c>
      <c r="G75">
        <v>1071489.43</v>
      </c>
      <c r="H75">
        <v>703.77</v>
      </c>
      <c r="I75" s="4">
        <v>0</v>
      </c>
      <c r="J75" s="4">
        <v>0</v>
      </c>
      <c r="K75" s="4">
        <v>0</v>
      </c>
      <c r="L75" s="4">
        <v>427806.8</v>
      </c>
      <c r="M75" s="4">
        <v>0</v>
      </c>
      <c r="N75" s="4">
        <v>0</v>
      </c>
      <c r="O75" s="4">
        <v>0</v>
      </c>
      <c r="P75" s="4">
        <v>0</v>
      </c>
      <c r="Q75" s="4">
        <v>0</v>
      </c>
      <c r="R75" s="4">
        <v>0</v>
      </c>
      <c r="S75" s="4">
        <v>0</v>
      </c>
      <c r="T75" s="4">
        <v>0</v>
      </c>
      <c r="U75" s="4">
        <v>0</v>
      </c>
      <c r="V75" s="4">
        <v>427806.8</v>
      </c>
    </row>
    <row r="76" spans="1:22" x14ac:dyDescent="0.25">
      <c r="A76" t="s">
        <v>152</v>
      </c>
      <c r="B76" t="s">
        <v>19</v>
      </c>
      <c r="C76" t="s">
        <v>229</v>
      </c>
      <c r="D76" t="s">
        <v>28</v>
      </c>
      <c r="E76" t="s">
        <v>226</v>
      </c>
      <c r="F76">
        <v>300000</v>
      </c>
      <c r="G76">
        <v>0</v>
      </c>
      <c r="H76">
        <v>300000</v>
      </c>
      <c r="I76" s="4">
        <v>0</v>
      </c>
      <c r="J76" s="4">
        <v>0</v>
      </c>
      <c r="K76" s="4">
        <v>0</v>
      </c>
      <c r="L76" s="4">
        <v>0</v>
      </c>
      <c r="M76" s="4">
        <v>0</v>
      </c>
      <c r="N76" s="4">
        <v>0</v>
      </c>
      <c r="O76" s="4">
        <v>0</v>
      </c>
      <c r="P76" s="4">
        <v>0</v>
      </c>
      <c r="Q76" s="4">
        <v>0</v>
      </c>
      <c r="R76" s="4">
        <v>0</v>
      </c>
      <c r="S76" s="4">
        <v>0</v>
      </c>
      <c r="T76" s="4">
        <v>0</v>
      </c>
      <c r="U76" s="4">
        <v>0</v>
      </c>
      <c r="V76" s="4">
        <v>0</v>
      </c>
    </row>
    <row r="77" spans="1:22" x14ac:dyDescent="0.25">
      <c r="A77" t="s">
        <v>152</v>
      </c>
      <c r="B77" t="s">
        <v>19</v>
      </c>
      <c r="C77" t="s">
        <v>241</v>
      </c>
      <c r="D77" t="s">
        <v>28</v>
      </c>
      <c r="E77" t="s">
        <v>192</v>
      </c>
      <c r="F77">
        <v>400000</v>
      </c>
      <c r="G77">
        <v>347240.48</v>
      </c>
      <c r="H77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52759.519999999997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v>52759.519999999997</v>
      </c>
    </row>
    <row r="78" spans="1:22" x14ac:dyDescent="0.25">
      <c r="A78" t="s">
        <v>152</v>
      </c>
      <c r="B78" t="s">
        <v>19</v>
      </c>
      <c r="C78" t="s">
        <v>247</v>
      </c>
      <c r="D78" t="s">
        <v>28</v>
      </c>
      <c r="E78" t="s">
        <v>242</v>
      </c>
      <c r="F78">
        <v>558949</v>
      </c>
      <c r="G78">
        <v>300966.99</v>
      </c>
      <c r="H78">
        <v>151776.14000000001</v>
      </c>
      <c r="I78" s="4">
        <v>0</v>
      </c>
      <c r="J78" s="4">
        <v>106205.87</v>
      </c>
      <c r="K78" s="4">
        <v>0</v>
      </c>
      <c r="L78" s="4">
        <v>0</v>
      </c>
      <c r="M78" s="4">
        <v>0</v>
      </c>
      <c r="N78" s="4">
        <v>0</v>
      </c>
      <c r="O78" s="4">
        <v>0</v>
      </c>
      <c r="P78" s="4">
        <v>0</v>
      </c>
      <c r="Q78" s="4">
        <v>0</v>
      </c>
      <c r="R78" s="4">
        <v>0</v>
      </c>
      <c r="S78" s="4">
        <v>0</v>
      </c>
      <c r="T78" s="4">
        <v>0</v>
      </c>
      <c r="U78" s="4">
        <v>0</v>
      </c>
      <c r="V78" s="4">
        <v>106205.87</v>
      </c>
    </row>
    <row r="79" spans="1:22" x14ac:dyDescent="0.25">
      <c r="A79" t="s">
        <v>152</v>
      </c>
      <c r="B79" t="s">
        <v>19</v>
      </c>
      <c r="C79" t="s">
        <v>248</v>
      </c>
      <c r="D79" t="s">
        <v>28</v>
      </c>
      <c r="E79" t="s">
        <v>243</v>
      </c>
      <c r="F79">
        <v>500000</v>
      </c>
      <c r="G79">
        <v>336122.53</v>
      </c>
      <c r="H79">
        <v>64379.47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99498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v>99498</v>
      </c>
    </row>
    <row r="80" spans="1:22" x14ac:dyDescent="0.25">
      <c r="A80" t="s">
        <v>152</v>
      </c>
      <c r="B80" t="s">
        <v>19</v>
      </c>
      <c r="C80" t="s">
        <v>264</v>
      </c>
      <c r="D80" t="s">
        <v>28</v>
      </c>
      <c r="E80" t="s">
        <v>178</v>
      </c>
      <c r="F80">
        <v>628258.81000000006</v>
      </c>
      <c r="G80">
        <v>0</v>
      </c>
      <c r="H80">
        <v>140540.12</v>
      </c>
      <c r="I80" s="4">
        <v>0</v>
      </c>
      <c r="J80" s="4">
        <v>0</v>
      </c>
      <c r="K80" s="4">
        <v>208813.02</v>
      </c>
      <c r="L80" s="4">
        <v>0</v>
      </c>
      <c r="M80" s="4">
        <v>0</v>
      </c>
      <c r="N80" s="4">
        <v>0</v>
      </c>
      <c r="O80" s="4">
        <v>0</v>
      </c>
      <c r="P80" s="4">
        <v>0</v>
      </c>
      <c r="Q80" s="4">
        <v>0</v>
      </c>
      <c r="R80" s="4">
        <v>278905.67</v>
      </c>
      <c r="S80" s="4">
        <v>0</v>
      </c>
      <c r="T80" s="4">
        <v>0</v>
      </c>
      <c r="U80" s="4">
        <v>0</v>
      </c>
      <c r="V80" s="4">
        <v>487718.68999999994</v>
      </c>
    </row>
    <row r="81" spans="1:22" x14ac:dyDescent="0.25">
      <c r="A81" t="s">
        <v>152</v>
      </c>
      <c r="B81" t="s">
        <v>19</v>
      </c>
      <c r="C81" t="s">
        <v>266</v>
      </c>
      <c r="D81" t="s">
        <v>28</v>
      </c>
      <c r="E81" t="s">
        <v>224</v>
      </c>
      <c r="F81">
        <v>4000000</v>
      </c>
      <c r="G81">
        <v>0</v>
      </c>
      <c r="H81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4000000</v>
      </c>
      <c r="T81" s="4">
        <v>0</v>
      </c>
      <c r="U81" s="4">
        <v>0</v>
      </c>
      <c r="V81" s="4">
        <v>4000000</v>
      </c>
    </row>
    <row r="82" spans="1:22" x14ac:dyDescent="0.25">
      <c r="A82" t="s">
        <v>152</v>
      </c>
      <c r="B82" t="s">
        <v>19</v>
      </c>
      <c r="C82" t="s">
        <v>278</v>
      </c>
      <c r="D82" t="s">
        <v>28</v>
      </c>
      <c r="E82" t="s">
        <v>191</v>
      </c>
      <c r="F82">
        <v>8790001.0999999996</v>
      </c>
      <c r="G82">
        <v>650518.46</v>
      </c>
      <c r="H82">
        <v>8139482.6399999997</v>
      </c>
      <c r="I82" s="4">
        <v>0</v>
      </c>
      <c r="J82" s="4">
        <v>0</v>
      </c>
      <c r="K82" s="4">
        <v>0</v>
      </c>
      <c r="L82" s="4">
        <v>0</v>
      </c>
      <c r="M82" s="4">
        <v>0</v>
      </c>
      <c r="N82" s="4">
        <v>0</v>
      </c>
      <c r="O82" s="4">
        <v>0</v>
      </c>
      <c r="P82" s="4">
        <v>0</v>
      </c>
      <c r="Q82" s="4">
        <v>0</v>
      </c>
      <c r="R82" s="4">
        <v>0</v>
      </c>
      <c r="S82" s="4">
        <v>0</v>
      </c>
      <c r="T82" s="4">
        <v>0</v>
      </c>
      <c r="U82" s="4">
        <v>0</v>
      </c>
      <c r="V82" s="4">
        <v>0</v>
      </c>
    </row>
    <row r="83" spans="1:22" x14ac:dyDescent="0.25">
      <c r="A83" t="s">
        <v>152</v>
      </c>
      <c r="B83" t="s">
        <v>19</v>
      </c>
      <c r="C83" t="s">
        <v>314</v>
      </c>
      <c r="D83" t="s">
        <v>28</v>
      </c>
      <c r="E83" t="s">
        <v>177</v>
      </c>
      <c r="F83">
        <v>900000</v>
      </c>
      <c r="G83">
        <v>0</v>
      </c>
      <c r="H83">
        <v>0</v>
      </c>
      <c r="I83" s="4">
        <v>0</v>
      </c>
      <c r="J83" s="4">
        <v>0</v>
      </c>
      <c r="K83" s="4">
        <v>0</v>
      </c>
      <c r="L83" s="4">
        <v>0</v>
      </c>
      <c r="M83" s="4">
        <v>0</v>
      </c>
      <c r="N83" s="4">
        <v>0</v>
      </c>
      <c r="O83" s="4">
        <v>0</v>
      </c>
      <c r="P83" s="4">
        <v>0</v>
      </c>
      <c r="Q83" s="4">
        <v>0</v>
      </c>
      <c r="R83" s="4">
        <v>0</v>
      </c>
      <c r="S83" s="4">
        <v>900000</v>
      </c>
      <c r="T83" s="4">
        <v>0</v>
      </c>
      <c r="U83" s="4">
        <v>0</v>
      </c>
      <c r="V83" s="4">
        <v>900000</v>
      </c>
    </row>
    <row r="84" spans="1:22" x14ac:dyDescent="0.25">
      <c r="A84" t="s">
        <v>152</v>
      </c>
      <c r="B84" t="s">
        <v>19</v>
      </c>
      <c r="C84" t="s">
        <v>315</v>
      </c>
      <c r="D84" t="s">
        <v>28</v>
      </c>
      <c r="E84" t="s">
        <v>192</v>
      </c>
      <c r="F84">
        <v>500000</v>
      </c>
      <c r="G84">
        <v>0</v>
      </c>
      <c r="H84">
        <v>134988.62</v>
      </c>
      <c r="I84" s="4">
        <v>0</v>
      </c>
      <c r="J84" s="4">
        <v>0</v>
      </c>
      <c r="K84" s="4">
        <v>365011.38</v>
      </c>
      <c r="L84" s="4">
        <v>0</v>
      </c>
      <c r="M84" s="4">
        <v>0</v>
      </c>
      <c r="N84" s="4">
        <v>0</v>
      </c>
      <c r="O84" s="4">
        <v>0</v>
      </c>
      <c r="P84" s="4">
        <v>0</v>
      </c>
      <c r="Q84" s="4">
        <v>0</v>
      </c>
      <c r="R84" s="4">
        <v>0</v>
      </c>
      <c r="S84" s="4">
        <v>0</v>
      </c>
      <c r="T84" s="4">
        <v>0</v>
      </c>
      <c r="U84" s="4">
        <v>0</v>
      </c>
      <c r="V84" s="4">
        <v>365011.38</v>
      </c>
    </row>
    <row r="85" spans="1:22" x14ac:dyDescent="0.25">
      <c r="A85" t="s">
        <v>152</v>
      </c>
      <c r="B85" t="s">
        <v>19</v>
      </c>
      <c r="C85" t="s">
        <v>316</v>
      </c>
      <c r="D85" t="s">
        <v>28</v>
      </c>
      <c r="E85" t="s">
        <v>301</v>
      </c>
      <c r="F85">
        <v>500000</v>
      </c>
      <c r="G85">
        <v>0</v>
      </c>
      <c r="H85">
        <v>0</v>
      </c>
      <c r="I85" s="4">
        <v>0</v>
      </c>
      <c r="J85" s="4">
        <v>0</v>
      </c>
      <c r="K85" s="4">
        <v>0</v>
      </c>
      <c r="L85" s="4">
        <v>0</v>
      </c>
      <c r="M85" s="4">
        <v>0</v>
      </c>
      <c r="N85" s="4">
        <v>0</v>
      </c>
      <c r="O85" s="4">
        <v>0</v>
      </c>
      <c r="P85" s="4">
        <v>0</v>
      </c>
      <c r="Q85" s="4">
        <v>0</v>
      </c>
      <c r="R85" s="4">
        <v>0</v>
      </c>
      <c r="S85" s="4">
        <v>500000</v>
      </c>
      <c r="T85" s="4">
        <v>0</v>
      </c>
      <c r="U85" s="4">
        <v>0</v>
      </c>
      <c r="V85" s="4">
        <v>500000</v>
      </c>
    </row>
    <row r="86" spans="1:22" x14ac:dyDescent="0.25">
      <c r="A86" t="s">
        <v>152</v>
      </c>
      <c r="B86" t="s">
        <v>19</v>
      </c>
      <c r="C86" t="s">
        <v>317</v>
      </c>
      <c r="D86" t="s">
        <v>28</v>
      </c>
      <c r="E86" t="s">
        <v>302</v>
      </c>
      <c r="F86">
        <v>1500000</v>
      </c>
      <c r="G86">
        <v>0</v>
      </c>
      <c r="H86">
        <v>122268.28</v>
      </c>
      <c r="I86" s="4">
        <v>0</v>
      </c>
      <c r="J86" s="4">
        <v>0</v>
      </c>
      <c r="K86" s="4">
        <v>0</v>
      </c>
      <c r="L86" s="4">
        <v>0</v>
      </c>
      <c r="M86" s="4">
        <v>0</v>
      </c>
      <c r="N86" s="4">
        <v>0</v>
      </c>
      <c r="O86" s="4">
        <v>1377731.72</v>
      </c>
      <c r="P86" s="4">
        <v>0</v>
      </c>
      <c r="Q86" s="4">
        <v>0</v>
      </c>
      <c r="R86" s="4">
        <v>0</v>
      </c>
      <c r="S86" s="4">
        <v>0</v>
      </c>
      <c r="T86" s="4">
        <v>0</v>
      </c>
      <c r="U86" s="4">
        <v>0</v>
      </c>
      <c r="V86" s="4">
        <v>1377731.72</v>
      </c>
    </row>
    <row r="87" spans="1:22" x14ac:dyDescent="0.25">
      <c r="A87" t="s">
        <v>152</v>
      </c>
      <c r="B87" t="s">
        <v>19</v>
      </c>
      <c r="C87" t="s">
        <v>318</v>
      </c>
      <c r="D87" t="s">
        <v>28</v>
      </c>
      <c r="E87" t="s">
        <v>300</v>
      </c>
      <c r="F87">
        <v>500000</v>
      </c>
      <c r="G87">
        <v>0</v>
      </c>
      <c r="H87">
        <v>500000</v>
      </c>
      <c r="I87" s="4">
        <v>0</v>
      </c>
      <c r="J87" s="4">
        <v>0</v>
      </c>
      <c r="K87" s="4">
        <v>0</v>
      </c>
      <c r="L87" s="4">
        <v>0</v>
      </c>
      <c r="M87" s="4">
        <v>0</v>
      </c>
      <c r="N87" s="4">
        <v>0</v>
      </c>
      <c r="O87" s="4">
        <v>0</v>
      </c>
      <c r="P87" s="4">
        <v>0</v>
      </c>
      <c r="Q87" s="4">
        <v>0</v>
      </c>
      <c r="R87" s="4">
        <v>0</v>
      </c>
      <c r="S87" s="4">
        <v>0</v>
      </c>
      <c r="T87" s="4">
        <v>0</v>
      </c>
      <c r="U87" s="4">
        <v>0</v>
      </c>
      <c r="V87" s="4">
        <v>0</v>
      </c>
    </row>
    <row r="88" spans="1:22" x14ac:dyDescent="0.25">
      <c r="A88" t="s">
        <v>152</v>
      </c>
      <c r="B88" t="s">
        <v>19</v>
      </c>
      <c r="C88" t="s">
        <v>319</v>
      </c>
      <c r="D88" t="s">
        <v>28</v>
      </c>
      <c r="E88" t="s">
        <v>299</v>
      </c>
      <c r="F88">
        <v>900000</v>
      </c>
      <c r="G88">
        <v>0</v>
      </c>
      <c r="H88">
        <v>0</v>
      </c>
      <c r="I88" s="4">
        <v>0</v>
      </c>
      <c r="J88" s="4">
        <v>0</v>
      </c>
      <c r="K88" s="4">
        <v>0</v>
      </c>
      <c r="L88" s="4">
        <v>0</v>
      </c>
      <c r="M88" s="4">
        <v>0</v>
      </c>
      <c r="N88" s="4">
        <v>0</v>
      </c>
      <c r="O88" s="4">
        <v>900000</v>
      </c>
      <c r="P88" s="4">
        <v>0</v>
      </c>
      <c r="Q88" s="4">
        <v>0</v>
      </c>
      <c r="R88" s="4">
        <v>0</v>
      </c>
      <c r="S88" s="4">
        <v>0</v>
      </c>
      <c r="T88" s="4">
        <v>0</v>
      </c>
      <c r="U88" s="4">
        <v>0</v>
      </c>
      <c r="V88" s="4">
        <v>900000</v>
      </c>
    </row>
    <row r="89" spans="1:22" x14ac:dyDescent="0.25">
      <c r="A89" t="s">
        <v>152</v>
      </c>
      <c r="B89" t="s">
        <v>19</v>
      </c>
      <c r="C89" t="s">
        <v>327</v>
      </c>
      <c r="D89" t="s">
        <v>28</v>
      </c>
      <c r="E89" t="s">
        <v>306</v>
      </c>
      <c r="F89">
        <v>397090</v>
      </c>
      <c r="G89">
        <v>0</v>
      </c>
      <c r="H89">
        <v>0</v>
      </c>
      <c r="I89" s="4">
        <v>0</v>
      </c>
      <c r="J89" s="4">
        <v>0</v>
      </c>
      <c r="K89" s="4">
        <v>397090</v>
      </c>
      <c r="L89" s="4">
        <v>0</v>
      </c>
      <c r="M89" s="4">
        <v>0</v>
      </c>
      <c r="N89" s="4">
        <v>0</v>
      </c>
      <c r="O89" s="4">
        <v>0</v>
      </c>
      <c r="P89" s="4">
        <v>0</v>
      </c>
      <c r="Q89" s="4">
        <v>0</v>
      </c>
      <c r="R89" s="4">
        <v>0</v>
      </c>
      <c r="S89" s="4">
        <v>0</v>
      </c>
      <c r="T89" s="4">
        <v>0</v>
      </c>
      <c r="U89" s="4">
        <v>0</v>
      </c>
      <c r="V89" s="4">
        <v>397090</v>
      </c>
    </row>
    <row r="90" spans="1:22" x14ac:dyDescent="0.25">
      <c r="A90" t="s">
        <v>152</v>
      </c>
      <c r="B90" t="s">
        <v>19</v>
      </c>
      <c r="C90" t="s">
        <v>362</v>
      </c>
      <c r="D90" t="s">
        <v>28</v>
      </c>
      <c r="E90" t="s">
        <v>176</v>
      </c>
      <c r="F90">
        <v>600000</v>
      </c>
      <c r="G90">
        <v>0</v>
      </c>
      <c r="H90">
        <v>88310.67</v>
      </c>
      <c r="I90" s="4">
        <v>0</v>
      </c>
      <c r="J90" s="4">
        <v>0</v>
      </c>
      <c r="K90" s="4">
        <v>194647.12</v>
      </c>
      <c r="L90" s="4">
        <v>317042.21000000002</v>
      </c>
      <c r="M90" s="4">
        <v>0</v>
      </c>
      <c r="N90" s="4">
        <v>0</v>
      </c>
      <c r="O90" s="4">
        <v>0</v>
      </c>
      <c r="P90" s="4">
        <v>0</v>
      </c>
      <c r="Q90" s="4">
        <v>0</v>
      </c>
      <c r="R90" s="4">
        <v>0</v>
      </c>
      <c r="S90" s="4">
        <v>0</v>
      </c>
      <c r="T90" s="4">
        <v>0</v>
      </c>
      <c r="U90" s="4">
        <v>0</v>
      </c>
      <c r="V90" s="4">
        <v>511689.33</v>
      </c>
    </row>
    <row r="91" spans="1:22" x14ac:dyDescent="0.25">
      <c r="A91" t="s">
        <v>152</v>
      </c>
      <c r="B91" t="s">
        <v>19</v>
      </c>
      <c r="C91" t="s">
        <v>363</v>
      </c>
      <c r="D91" t="s">
        <v>28</v>
      </c>
      <c r="E91" t="s">
        <v>357</v>
      </c>
      <c r="F91">
        <v>1870380.07</v>
      </c>
      <c r="G91">
        <v>0</v>
      </c>
      <c r="H91">
        <v>561114.06999999995</v>
      </c>
      <c r="I91" s="4">
        <v>0</v>
      </c>
      <c r="J91" s="4">
        <v>0</v>
      </c>
      <c r="K91" s="4">
        <v>1309266</v>
      </c>
      <c r="L91" s="4">
        <v>0</v>
      </c>
      <c r="M91" s="4">
        <v>0</v>
      </c>
      <c r="N91" s="4">
        <v>0</v>
      </c>
      <c r="O91" s="4">
        <v>0</v>
      </c>
      <c r="P91" s="4">
        <v>0</v>
      </c>
      <c r="Q91" s="4">
        <v>0</v>
      </c>
      <c r="R91" s="4">
        <v>0</v>
      </c>
      <c r="S91" s="4">
        <v>0</v>
      </c>
      <c r="T91" s="4">
        <v>0</v>
      </c>
      <c r="U91" s="4">
        <v>0</v>
      </c>
      <c r="V91" s="4">
        <v>1309266</v>
      </c>
    </row>
    <row r="92" spans="1:22" x14ac:dyDescent="0.25">
      <c r="A92" t="s">
        <v>152</v>
      </c>
      <c r="B92" t="s">
        <v>19</v>
      </c>
      <c r="C92" t="s">
        <v>364</v>
      </c>
      <c r="D92" t="s">
        <v>28</v>
      </c>
      <c r="E92" t="s">
        <v>356</v>
      </c>
      <c r="F92">
        <v>398652.54</v>
      </c>
      <c r="G92">
        <v>0</v>
      </c>
      <c r="H92">
        <v>398652.54</v>
      </c>
      <c r="I92" s="4">
        <v>0</v>
      </c>
      <c r="J92" s="4">
        <v>0</v>
      </c>
      <c r="K92" s="4">
        <v>0</v>
      </c>
      <c r="L92" s="4">
        <v>0</v>
      </c>
      <c r="M92" s="4">
        <v>0</v>
      </c>
      <c r="N92" s="4">
        <v>0</v>
      </c>
      <c r="O92" s="4">
        <v>0</v>
      </c>
      <c r="P92" s="4">
        <v>0</v>
      </c>
      <c r="Q92" s="4">
        <v>0</v>
      </c>
      <c r="R92" s="4">
        <v>0</v>
      </c>
      <c r="S92" s="4">
        <v>0</v>
      </c>
      <c r="T92" s="4">
        <v>0</v>
      </c>
      <c r="U92" s="4">
        <v>0</v>
      </c>
      <c r="V92" s="4">
        <v>0</v>
      </c>
    </row>
    <row r="93" spans="1:22" x14ac:dyDescent="0.25">
      <c r="A93" t="s">
        <v>152</v>
      </c>
      <c r="B93" t="s">
        <v>19</v>
      </c>
      <c r="C93" t="s">
        <v>377</v>
      </c>
      <c r="D93" t="s">
        <v>28</v>
      </c>
      <c r="E93" t="s">
        <v>366</v>
      </c>
      <c r="F93">
        <v>14000000</v>
      </c>
      <c r="G93">
        <v>10000000</v>
      </c>
      <c r="H93">
        <v>0</v>
      </c>
      <c r="I93" s="4">
        <v>0</v>
      </c>
      <c r="J93" s="4">
        <v>0</v>
      </c>
      <c r="K93" s="4">
        <v>0</v>
      </c>
      <c r="L93" s="4">
        <v>4000000</v>
      </c>
      <c r="M93" s="4">
        <v>0</v>
      </c>
      <c r="N93" s="4">
        <v>0</v>
      </c>
      <c r="O93" s="4">
        <v>0</v>
      </c>
      <c r="P93" s="4">
        <v>0</v>
      </c>
      <c r="Q93" s="4">
        <v>0</v>
      </c>
      <c r="R93" s="4">
        <v>0</v>
      </c>
      <c r="S93" s="4">
        <v>0</v>
      </c>
      <c r="T93" s="4">
        <v>0</v>
      </c>
      <c r="U93" s="4">
        <v>0</v>
      </c>
      <c r="V93" s="4">
        <v>4000000</v>
      </c>
    </row>
    <row r="94" spans="1:22" x14ac:dyDescent="0.25">
      <c r="A94" t="s">
        <v>152</v>
      </c>
      <c r="B94" t="s">
        <v>19</v>
      </c>
      <c r="C94" t="s">
        <v>398</v>
      </c>
      <c r="D94" t="s">
        <v>28</v>
      </c>
      <c r="E94" t="s">
        <v>176</v>
      </c>
      <c r="F94">
        <v>175000</v>
      </c>
      <c r="G94">
        <v>0</v>
      </c>
      <c r="H94">
        <v>175000</v>
      </c>
      <c r="I94" s="4">
        <v>0</v>
      </c>
      <c r="J94" s="4">
        <v>0</v>
      </c>
      <c r="K94" s="4">
        <v>0</v>
      </c>
      <c r="L94" s="4">
        <v>0</v>
      </c>
      <c r="M94" s="4">
        <v>0</v>
      </c>
      <c r="N94" s="4">
        <v>0</v>
      </c>
      <c r="O94" s="4">
        <v>0</v>
      </c>
      <c r="P94" s="4">
        <v>0</v>
      </c>
      <c r="Q94" s="4">
        <v>0</v>
      </c>
      <c r="R94" s="4">
        <v>0</v>
      </c>
      <c r="S94" s="4">
        <v>0</v>
      </c>
      <c r="T94" s="4">
        <v>0</v>
      </c>
      <c r="U94" s="4">
        <v>0</v>
      </c>
      <c r="V94" s="4">
        <v>0</v>
      </c>
    </row>
    <row r="95" spans="1:22" x14ac:dyDescent="0.25">
      <c r="A95" t="s">
        <v>152</v>
      </c>
      <c r="B95" t="s">
        <v>19</v>
      </c>
      <c r="C95" t="s">
        <v>399</v>
      </c>
      <c r="D95" t="s">
        <v>28</v>
      </c>
      <c r="E95" t="s">
        <v>382</v>
      </c>
      <c r="F95">
        <v>125000</v>
      </c>
      <c r="G95">
        <v>0</v>
      </c>
      <c r="H95">
        <v>0</v>
      </c>
      <c r="I95" s="4">
        <v>0</v>
      </c>
      <c r="J95" s="4">
        <v>0</v>
      </c>
      <c r="K95" s="4">
        <v>0</v>
      </c>
      <c r="L95" s="4">
        <v>0</v>
      </c>
      <c r="M95" s="4">
        <v>125000</v>
      </c>
      <c r="N95" s="4">
        <v>0</v>
      </c>
      <c r="O95" s="4">
        <v>0</v>
      </c>
      <c r="P95" s="4">
        <v>0</v>
      </c>
      <c r="Q95" s="4">
        <v>0</v>
      </c>
      <c r="R95" s="4">
        <v>0</v>
      </c>
      <c r="S95" s="4">
        <v>0</v>
      </c>
      <c r="T95" s="4">
        <v>0</v>
      </c>
      <c r="U95" s="4">
        <v>0</v>
      </c>
      <c r="V95" s="4">
        <v>125000</v>
      </c>
    </row>
    <row r="96" spans="1:22" x14ac:dyDescent="0.25">
      <c r="A96" t="s">
        <v>152</v>
      </c>
      <c r="B96" t="s">
        <v>19</v>
      </c>
      <c r="C96" t="s">
        <v>400</v>
      </c>
      <c r="D96" t="s">
        <v>28</v>
      </c>
      <c r="E96" t="s">
        <v>383</v>
      </c>
      <c r="F96">
        <v>500000</v>
      </c>
      <c r="G96">
        <v>0</v>
      </c>
      <c r="H96">
        <v>0</v>
      </c>
      <c r="I96" s="4">
        <v>0</v>
      </c>
      <c r="J96" s="4">
        <v>0</v>
      </c>
      <c r="K96" s="4">
        <v>0</v>
      </c>
      <c r="L96" s="4">
        <v>500000</v>
      </c>
      <c r="M96" s="4">
        <v>0</v>
      </c>
      <c r="N96" s="4">
        <v>0</v>
      </c>
      <c r="O96" s="4">
        <v>0</v>
      </c>
      <c r="P96" s="4">
        <v>0</v>
      </c>
      <c r="Q96" s="4">
        <v>0</v>
      </c>
      <c r="R96" s="4">
        <v>0</v>
      </c>
      <c r="S96" s="4">
        <v>0</v>
      </c>
      <c r="T96" s="4">
        <v>0</v>
      </c>
      <c r="U96" s="4">
        <v>0</v>
      </c>
      <c r="V96" s="4">
        <v>500000</v>
      </c>
    </row>
    <row r="97" spans="1:22" x14ac:dyDescent="0.25">
      <c r="A97" t="s">
        <v>152</v>
      </c>
      <c r="B97" t="s">
        <v>19</v>
      </c>
      <c r="C97" t="s">
        <v>401</v>
      </c>
      <c r="D97" t="s">
        <v>28</v>
      </c>
      <c r="E97" t="s">
        <v>384</v>
      </c>
      <c r="F97">
        <v>450000</v>
      </c>
      <c r="G97">
        <v>0</v>
      </c>
      <c r="H97">
        <v>450000</v>
      </c>
      <c r="I97" s="4">
        <v>0</v>
      </c>
      <c r="J97" s="4">
        <v>0</v>
      </c>
      <c r="K97" s="4">
        <v>0</v>
      </c>
      <c r="L97" s="4">
        <v>0</v>
      </c>
      <c r="M97" s="4">
        <v>0</v>
      </c>
      <c r="N97" s="4">
        <v>0</v>
      </c>
      <c r="O97" s="4">
        <v>0</v>
      </c>
      <c r="P97" s="4">
        <v>0</v>
      </c>
      <c r="Q97" s="4">
        <v>0</v>
      </c>
      <c r="R97" s="4">
        <v>0</v>
      </c>
      <c r="S97" s="4">
        <v>0</v>
      </c>
      <c r="T97" s="4">
        <v>0</v>
      </c>
      <c r="U97" s="4">
        <v>0</v>
      </c>
      <c r="V97" s="4">
        <v>0</v>
      </c>
    </row>
    <row r="98" spans="1:22" x14ac:dyDescent="0.25">
      <c r="A98" t="s">
        <v>152</v>
      </c>
      <c r="B98" t="s">
        <v>19</v>
      </c>
      <c r="C98" t="s">
        <v>402</v>
      </c>
      <c r="D98" t="s">
        <v>28</v>
      </c>
      <c r="E98" t="s">
        <v>393</v>
      </c>
      <c r="F98">
        <v>150000</v>
      </c>
      <c r="G98">
        <v>0</v>
      </c>
      <c r="H98">
        <v>56144.91</v>
      </c>
      <c r="I98" s="4">
        <v>0</v>
      </c>
      <c r="J98" s="4">
        <v>0</v>
      </c>
      <c r="K98" s="4">
        <v>0</v>
      </c>
      <c r="L98" s="4">
        <v>0</v>
      </c>
      <c r="M98" s="4">
        <v>0</v>
      </c>
      <c r="N98" s="4">
        <v>93855.09</v>
      </c>
      <c r="O98" s="4">
        <v>0</v>
      </c>
      <c r="P98" s="4">
        <v>0</v>
      </c>
      <c r="Q98" s="4">
        <v>0</v>
      </c>
      <c r="R98" s="4">
        <v>0</v>
      </c>
      <c r="S98" s="4">
        <v>0</v>
      </c>
      <c r="T98" s="4">
        <v>0</v>
      </c>
      <c r="U98" s="4">
        <v>0</v>
      </c>
      <c r="V98" s="4">
        <v>93855.09</v>
      </c>
    </row>
    <row r="99" spans="1:22" x14ac:dyDescent="0.25">
      <c r="A99" t="s">
        <v>152</v>
      </c>
      <c r="B99" t="s">
        <v>19</v>
      </c>
      <c r="C99" t="s">
        <v>403</v>
      </c>
      <c r="D99" t="s">
        <v>28</v>
      </c>
      <c r="E99" t="s">
        <v>391</v>
      </c>
      <c r="F99">
        <v>1000000</v>
      </c>
      <c r="G99">
        <v>0</v>
      </c>
      <c r="H99">
        <v>1000000</v>
      </c>
      <c r="I99" s="4">
        <v>0</v>
      </c>
      <c r="J99" s="4">
        <v>0</v>
      </c>
      <c r="K99" s="4">
        <v>0</v>
      </c>
      <c r="L99" s="4">
        <v>0</v>
      </c>
      <c r="M99" s="4">
        <v>0</v>
      </c>
      <c r="N99" s="4">
        <v>0</v>
      </c>
      <c r="O99" s="4">
        <v>0</v>
      </c>
      <c r="P99" s="4">
        <v>0</v>
      </c>
      <c r="Q99" s="4">
        <v>0</v>
      </c>
      <c r="R99" s="4">
        <v>0</v>
      </c>
      <c r="S99" s="4">
        <v>0</v>
      </c>
      <c r="T99" s="4">
        <v>0</v>
      </c>
      <c r="U99" s="4">
        <v>0</v>
      </c>
      <c r="V99" s="4">
        <v>0</v>
      </c>
    </row>
    <row r="100" spans="1:22" x14ac:dyDescent="0.25">
      <c r="A100" t="s">
        <v>152</v>
      </c>
      <c r="B100" t="s">
        <v>19</v>
      </c>
      <c r="C100" t="s">
        <v>404</v>
      </c>
      <c r="D100" t="s">
        <v>28</v>
      </c>
      <c r="E100" t="s">
        <v>107</v>
      </c>
      <c r="F100">
        <v>1000000</v>
      </c>
      <c r="G100">
        <v>0</v>
      </c>
      <c r="H100">
        <v>1000000</v>
      </c>
      <c r="I100" s="4">
        <v>0</v>
      </c>
      <c r="J100" s="4">
        <v>0</v>
      </c>
      <c r="K100" s="4">
        <v>0</v>
      </c>
      <c r="L100" s="4">
        <v>0</v>
      </c>
      <c r="M100" s="4">
        <v>0</v>
      </c>
      <c r="N100" s="4">
        <v>0</v>
      </c>
      <c r="O100" s="4">
        <v>0</v>
      </c>
      <c r="P100" s="4">
        <v>0</v>
      </c>
      <c r="Q100" s="4">
        <v>0</v>
      </c>
      <c r="R100" s="4">
        <v>0</v>
      </c>
      <c r="S100" s="4">
        <v>0</v>
      </c>
      <c r="T100" s="4">
        <v>0</v>
      </c>
      <c r="U100" s="4">
        <v>0</v>
      </c>
      <c r="V100" s="4">
        <v>0</v>
      </c>
    </row>
    <row r="101" spans="1:22" x14ac:dyDescent="0.25">
      <c r="A101" t="s">
        <v>152</v>
      </c>
      <c r="B101" t="s">
        <v>19</v>
      </c>
      <c r="C101" t="s">
        <v>405</v>
      </c>
      <c r="D101" t="s">
        <v>28</v>
      </c>
      <c r="E101" t="s">
        <v>395</v>
      </c>
      <c r="F101">
        <v>150000</v>
      </c>
      <c r="G101">
        <v>0</v>
      </c>
      <c r="H101">
        <v>150000</v>
      </c>
      <c r="I101" s="4">
        <v>0</v>
      </c>
      <c r="J101" s="4">
        <v>0</v>
      </c>
      <c r="K101" s="4">
        <v>0</v>
      </c>
      <c r="L101" s="4">
        <v>0</v>
      </c>
      <c r="M101" s="4">
        <v>0</v>
      </c>
      <c r="N101" s="4">
        <v>0</v>
      </c>
      <c r="O101" s="4">
        <v>0</v>
      </c>
      <c r="P101" s="4">
        <v>0</v>
      </c>
      <c r="Q101" s="4">
        <v>0</v>
      </c>
      <c r="R101" s="4">
        <v>0</v>
      </c>
      <c r="S101" s="4">
        <v>0</v>
      </c>
      <c r="T101" s="4">
        <v>0</v>
      </c>
      <c r="U101" s="4">
        <v>0</v>
      </c>
      <c r="V101" s="4">
        <v>0</v>
      </c>
    </row>
    <row r="102" spans="1:22" x14ac:dyDescent="0.25">
      <c r="A102" t="s">
        <v>152</v>
      </c>
      <c r="B102" t="s">
        <v>19</v>
      </c>
      <c r="C102" t="s">
        <v>406</v>
      </c>
      <c r="D102" t="s">
        <v>28</v>
      </c>
      <c r="E102" t="s">
        <v>389</v>
      </c>
      <c r="F102">
        <v>1000000</v>
      </c>
      <c r="G102">
        <v>0</v>
      </c>
      <c r="H102">
        <v>4015.18</v>
      </c>
      <c r="I102" s="4">
        <v>0</v>
      </c>
      <c r="J102" s="4">
        <v>0</v>
      </c>
      <c r="K102" s="4">
        <v>0</v>
      </c>
      <c r="L102" s="4">
        <v>0</v>
      </c>
      <c r="M102" s="4">
        <v>0</v>
      </c>
      <c r="N102" s="4">
        <v>0</v>
      </c>
      <c r="O102" s="4">
        <v>0</v>
      </c>
      <c r="P102" s="4">
        <v>0</v>
      </c>
      <c r="Q102" s="4">
        <v>0</v>
      </c>
      <c r="R102" s="4">
        <v>0</v>
      </c>
      <c r="S102" s="4">
        <v>995984.82</v>
      </c>
      <c r="T102" s="4">
        <v>0</v>
      </c>
      <c r="U102" s="4">
        <v>0</v>
      </c>
      <c r="V102" s="4">
        <v>995984.82</v>
      </c>
    </row>
    <row r="103" spans="1:22" x14ac:dyDescent="0.25">
      <c r="A103" t="s">
        <v>152</v>
      </c>
      <c r="B103" t="s">
        <v>19</v>
      </c>
      <c r="C103" t="s">
        <v>407</v>
      </c>
      <c r="D103" t="s">
        <v>28</v>
      </c>
      <c r="E103" t="s">
        <v>386</v>
      </c>
      <c r="F103">
        <v>500000</v>
      </c>
      <c r="G103">
        <v>0</v>
      </c>
      <c r="H103">
        <v>500000</v>
      </c>
      <c r="I103" s="4">
        <v>0</v>
      </c>
      <c r="J103" s="4">
        <v>0</v>
      </c>
      <c r="K103" s="4">
        <v>0</v>
      </c>
      <c r="L103" s="4">
        <v>0</v>
      </c>
      <c r="M103" s="4">
        <v>0</v>
      </c>
      <c r="N103" s="4">
        <v>0</v>
      </c>
      <c r="O103" s="4">
        <v>0</v>
      </c>
      <c r="P103" s="4">
        <v>0</v>
      </c>
      <c r="Q103" s="4">
        <v>0</v>
      </c>
      <c r="R103" s="4">
        <v>0</v>
      </c>
      <c r="S103" s="4">
        <v>0</v>
      </c>
      <c r="T103" s="4">
        <v>0</v>
      </c>
      <c r="U103" s="4">
        <v>0</v>
      </c>
      <c r="V103" s="4">
        <v>0</v>
      </c>
    </row>
    <row r="104" spans="1:22" x14ac:dyDescent="0.25">
      <c r="A104" t="s">
        <v>152</v>
      </c>
      <c r="B104" t="s">
        <v>19</v>
      </c>
      <c r="C104" t="s">
        <v>408</v>
      </c>
      <c r="D104" t="s">
        <v>28</v>
      </c>
      <c r="E104" t="s">
        <v>329</v>
      </c>
      <c r="F104">
        <v>150000</v>
      </c>
      <c r="G104">
        <v>0</v>
      </c>
      <c r="H104">
        <v>0</v>
      </c>
      <c r="I104" s="4">
        <v>0</v>
      </c>
      <c r="J104" s="4">
        <v>0</v>
      </c>
      <c r="K104" s="4">
        <v>0</v>
      </c>
      <c r="L104" s="4">
        <v>150000</v>
      </c>
      <c r="M104" s="4">
        <v>0</v>
      </c>
      <c r="N104" s="4">
        <v>0</v>
      </c>
      <c r="O104" s="4">
        <v>0</v>
      </c>
      <c r="P104" s="4">
        <v>0</v>
      </c>
      <c r="Q104" s="4">
        <v>0</v>
      </c>
      <c r="R104" s="4">
        <v>0</v>
      </c>
      <c r="S104" s="4">
        <v>0</v>
      </c>
      <c r="T104" s="4">
        <v>0</v>
      </c>
      <c r="U104" s="4">
        <v>0</v>
      </c>
      <c r="V104" s="4">
        <v>150000</v>
      </c>
    </row>
    <row r="105" spans="1:22" x14ac:dyDescent="0.25">
      <c r="A105" t="s">
        <v>152</v>
      </c>
      <c r="B105" t="s">
        <v>19</v>
      </c>
      <c r="C105" t="s">
        <v>409</v>
      </c>
      <c r="D105" t="s">
        <v>28</v>
      </c>
      <c r="E105" t="s">
        <v>390</v>
      </c>
      <c r="F105">
        <v>1000000</v>
      </c>
      <c r="G105">
        <v>0</v>
      </c>
      <c r="H105">
        <v>1000000</v>
      </c>
      <c r="I105" s="4">
        <v>0</v>
      </c>
      <c r="J105" s="4">
        <v>0</v>
      </c>
      <c r="K105" s="4">
        <v>0</v>
      </c>
      <c r="L105" s="4">
        <v>0</v>
      </c>
      <c r="M105" s="4">
        <v>0</v>
      </c>
      <c r="N105" s="4">
        <v>0</v>
      </c>
      <c r="O105" s="4">
        <v>0</v>
      </c>
      <c r="P105" s="4">
        <v>0</v>
      </c>
      <c r="Q105" s="4">
        <v>0</v>
      </c>
      <c r="R105" s="4">
        <v>0</v>
      </c>
      <c r="S105" s="4">
        <v>0</v>
      </c>
      <c r="T105" s="4">
        <v>0</v>
      </c>
      <c r="U105" s="4">
        <v>0</v>
      </c>
      <c r="V105" s="4">
        <v>0</v>
      </c>
    </row>
    <row r="106" spans="1:22" x14ac:dyDescent="0.25">
      <c r="A106" t="s">
        <v>152</v>
      </c>
      <c r="B106" t="s">
        <v>19</v>
      </c>
      <c r="C106" t="s">
        <v>410</v>
      </c>
      <c r="D106" t="s">
        <v>28</v>
      </c>
      <c r="E106" t="s">
        <v>387</v>
      </c>
      <c r="F106">
        <v>300000.73</v>
      </c>
      <c r="G106">
        <v>0</v>
      </c>
      <c r="H106">
        <v>241.93</v>
      </c>
      <c r="I106" s="4">
        <v>0</v>
      </c>
      <c r="J106" s="4">
        <v>0</v>
      </c>
      <c r="K106" s="4">
        <v>0</v>
      </c>
      <c r="L106" s="4">
        <v>0</v>
      </c>
      <c r="M106" s="4">
        <v>0</v>
      </c>
      <c r="N106" s="4">
        <v>0</v>
      </c>
      <c r="O106" s="4">
        <v>0</v>
      </c>
      <c r="P106" s="4">
        <v>0</v>
      </c>
      <c r="Q106" s="4">
        <v>0</v>
      </c>
      <c r="R106" s="4">
        <v>0</v>
      </c>
      <c r="S106" s="4">
        <v>299758.8</v>
      </c>
      <c r="T106" s="4">
        <v>0</v>
      </c>
      <c r="U106" s="4">
        <v>0</v>
      </c>
      <c r="V106" s="4">
        <v>299758.8</v>
      </c>
    </row>
    <row r="107" spans="1:22" x14ac:dyDescent="0.25">
      <c r="A107" t="s">
        <v>152</v>
      </c>
      <c r="B107" t="s">
        <v>19</v>
      </c>
      <c r="C107" t="s">
        <v>411</v>
      </c>
      <c r="D107" t="s">
        <v>28</v>
      </c>
      <c r="E107" t="s">
        <v>301</v>
      </c>
      <c r="F107">
        <v>200000</v>
      </c>
      <c r="G107">
        <v>0</v>
      </c>
      <c r="H107">
        <v>0</v>
      </c>
      <c r="I107" s="4">
        <v>0</v>
      </c>
      <c r="J107" s="4">
        <v>0</v>
      </c>
      <c r="K107" s="4">
        <v>0</v>
      </c>
      <c r="L107" s="4">
        <v>0</v>
      </c>
      <c r="M107" s="4">
        <v>0</v>
      </c>
      <c r="N107" s="4">
        <v>0</v>
      </c>
      <c r="O107" s="4">
        <v>0</v>
      </c>
      <c r="P107" s="4">
        <v>200000</v>
      </c>
      <c r="Q107" s="4">
        <v>0</v>
      </c>
      <c r="R107" s="4">
        <v>0</v>
      </c>
      <c r="S107" s="4">
        <v>0</v>
      </c>
      <c r="T107" s="4">
        <v>0</v>
      </c>
      <c r="U107" s="4">
        <v>0</v>
      </c>
      <c r="V107" s="4">
        <v>200000</v>
      </c>
    </row>
    <row r="108" spans="1:22" x14ac:dyDescent="0.25">
      <c r="A108" t="s">
        <v>152</v>
      </c>
      <c r="B108" t="s">
        <v>19</v>
      </c>
      <c r="C108" t="s">
        <v>412</v>
      </c>
      <c r="D108" t="s">
        <v>28</v>
      </c>
      <c r="E108" t="s">
        <v>262</v>
      </c>
      <c r="F108">
        <v>450000</v>
      </c>
      <c r="G108">
        <v>0</v>
      </c>
      <c r="H108">
        <v>137231.89000000001</v>
      </c>
      <c r="I108" s="4">
        <v>0</v>
      </c>
      <c r="J108" s="4">
        <v>0</v>
      </c>
      <c r="K108" s="4">
        <v>0</v>
      </c>
      <c r="L108" s="4">
        <v>0</v>
      </c>
      <c r="M108" s="4">
        <v>312768.11</v>
      </c>
      <c r="N108" s="4">
        <v>0</v>
      </c>
      <c r="O108" s="4">
        <v>0</v>
      </c>
      <c r="P108" s="4">
        <v>0</v>
      </c>
      <c r="Q108" s="4">
        <v>0</v>
      </c>
      <c r="R108" s="4">
        <v>0</v>
      </c>
      <c r="S108" s="4">
        <v>0</v>
      </c>
      <c r="T108" s="4">
        <v>0</v>
      </c>
      <c r="U108" s="4">
        <v>0</v>
      </c>
      <c r="V108" s="4">
        <v>312768.11</v>
      </c>
    </row>
    <row r="109" spans="1:22" x14ac:dyDescent="0.25">
      <c r="A109" t="s">
        <v>152</v>
      </c>
      <c r="B109" t="s">
        <v>19</v>
      </c>
      <c r="C109" t="s">
        <v>413</v>
      </c>
      <c r="D109" t="s">
        <v>28</v>
      </c>
      <c r="E109" t="s">
        <v>385</v>
      </c>
      <c r="F109">
        <v>500000</v>
      </c>
      <c r="G109">
        <v>0</v>
      </c>
      <c r="H109">
        <v>0</v>
      </c>
      <c r="I109" s="4">
        <v>0</v>
      </c>
      <c r="J109" s="4">
        <v>0</v>
      </c>
      <c r="K109" s="4">
        <v>0</v>
      </c>
      <c r="L109" s="4">
        <v>500000</v>
      </c>
      <c r="M109" s="4">
        <v>0</v>
      </c>
      <c r="N109" s="4">
        <v>0</v>
      </c>
      <c r="O109" s="4">
        <v>0</v>
      </c>
      <c r="P109" s="4">
        <v>0</v>
      </c>
      <c r="Q109" s="4">
        <v>0</v>
      </c>
      <c r="R109" s="4">
        <v>0</v>
      </c>
      <c r="S109" s="4">
        <v>0</v>
      </c>
      <c r="T109" s="4">
        <v>0</v>
      </c>
      <c r="U109" s="4">
        <v>0</v>
      </c>
      <c r="V109" s="4">
        <v>500000</v>
      </c>
    </row>
    <row r="110" spans="1:22" x14ac:dyDescent="0.25">
      <c r="A110" t="s">
        <v>152</v>
      </c>
      <c r="B110" t="s">
        <v>19</v>
      </c>
      <c r="C110" t="s">
        <v>414</v>
      </c>
      <c r="D110" t="s">
        <v>28</v>
      </c>
      <c r="E110" t="s">
        <v>284</v>
      </c>
      <c r="F110">
        <v>275000</v>
      </c>
      <c r="G110">
        <v>0</v>
      </c>
      <c r="H110">
        <v>275000</v>
      </c>
      <c r="I110" s="4">
        <v>0</v>
      </c>
      <c r="J110" s="4">
        <v>0</v>
      </c>
      <c r="K110" s="4">
        <v>0</v>
      </c>
      <c r="L110" s="4">
        <v>0</v>
      </c>
      <c r="M110" s="4">
        <v>0</v>
      </c>
      <c r="N110" s="4">
        <v>0</v>
      </c>
      <c r="O110" s="4">
        <v>0</v>
      </c>
      <c r="P110" s="4">
        <v>0</v>
      </c>
      <c r="Q110" s="4">
        <v>0</v>
      </c>
      <c r="R110" s="4">
        <v>0</v>
      </c>
      <c r="S110" s="4">
        <v>0</v>
      </c>
      <c r="T110" s="4">
        <v>0</v>
      </c>
      <c r="U110" s="4">
        <v>0</v>
      </c>
      <c r="V110" s="4">
        <v>0</v>
      </c>
    </row>
    <row r="111" spans="1:22" x14ac:dyDescent="0.25">
      <c r="A111" t="s">
        <v>152</v>
      </c>
      <c r="B111" t="s">
        <v>19</v>
      </c>
      <c r="C111" t="s">
        <v>415</v>
      </c>
      <c r="D111" t="s">
        <v>28</v>
      </c>
      <c r="E111" t="s">
        <v>224</v>
      </c>
      <c r="F111">
        <v>900000</v>
      </c>
      <c r="G111">
        <v>0</v>
      </c>
      <c r="H111">
        <v>900000</v>
      </c>
      <c r="I111" s="4">
        <v>0</v>
      </c>
      <c r="J111" s="4">
        <v>0</v>
      </c>
      <c r="K111" s="4">
        <v>0</v>
      </c>
      <c r="L111" s="4">
        <v>0</v>
      </c>
      <c r="M111" s="4">
        <v>0</v>
      </c>
      <c r="N111" s="4">
        <v>0</v>
      </c>
      <c r="O111" s="4">
        <v>0</v>
      </c>
      <c r="P111" s="4">
        <v>0</v>
      </c>
      <c r="Q111" s="4">
        <v>0</v>
      </c>
      <c r="R111" s="4">
        <v>0</v>
      </c>
      <c r="S111" s="4">
        <v>0</v>
      </c>
      <c r="T111" s="4">
        <v>0</v>
      </c>
      <c r="U111" s="4">
        <v>0</v>
      </c>
      <c r="V111" s="4">
        <v>0</v>
      </c>
    </row>
    <row r="112" spans="1:22" x14ac:dyDescent="0.25">
      <c r="A112" t="s">
        <v>152</v>
      </c>
      <c r="B112" t="s">
        <v>19</v>
      </c>
      <c r="C112" t="s">
        <v>416</v>
      </c>
      <c r="D112" t="s">
        <v>28</v>
      </c>
      <c r="E112" t="s">
        <v>388</v>
      </c>
      <c r="F112">
        <v>1000000</v>
      </c>
      <c r="G112">
        <v>0</v>
      </c>
      <c r="H112">
        <v>0</v>
      </c>
      <c r="I112" s="4">
        <v>0</v>
      </c>
      <c r="J112" s="4">
        <v>0</v>
      </c>
      <c r="K112" s="4">
        <v>0</v>
      </c>
      <c r="L112" s="4">
        <v>0</v>
      </c>
      <c r="M112" s="4">
        <v>1000000</v>
      </c>
      <c r="N112" s="4">
        <v>0</v>
      </c>
      <c r="O112" s="4">
        <v>0</v>
      </c>
      <c r="P112" s="4">
        <v>0</v>
      </c>
      <c r="Q112" s="4">
        <v>0</v>
      </c>
      <c r="R112" s="4">
        <v>0</v>
      </c>
      <c r="S112" s="4">
        <v>0</v>
      </c>
      <c r="T112" s="4">
        <v>0</v>
      </c>
      <c r="U112" s="4">
        <v>0</v>
      </c>
      <c r="V112" s="4">
        <v>1000000</v>
      </c>
    </row>
    <row r="113" spans="1:22" x14ac:dyDescent="0.25">
      <c r="A113" t="s">
        <v>152</v>
      </c>
      <c r="B113" t="s">
        <v>19</v>
      </c>
      <c r="C113" t="s">
        <v>424</v>
      </c>
      <c r="D113" t="s">
        <v>28</v>
      </c>
      <c r="E113" t="s">
        <v>394</v>
      </c>
      <c r="F113">
        <v>175000</v>
      </c>
      <c r="G113">
        <v>0</v>
      </c>
      <c r="H113">
        <v>175000</v>
      </c>
      <c r="I113" s="4">
        <v>0</v>
      </c>
      <c r="J113" s="4">
        <v>0</v>
      </c>
      <c r="K113" s="4">
        <v>0</v>
      </c>
      <c r="L113" s="4">
        <v>0</v>
      </c>
      <c r="M113" s="4">
        <v>0</v>
      </c>
      <c r="N113" s="4">
        <v>0</v>
      </c>
      <c r="O113" s="4">
        <v>0</v>
      </c>
      <c r="P113" s="4">
        <v>0</v>
      </c>
      <c r="Q113" s="4">
        <v>0</v>
      </c>
      <c r="R113" s="4">
        <v>0</v>
      </c>
      <c r="S113" s="4">
        <v>0</v>
      </c>
      <c r="T113" s="4">
        <v>0</v>
      </c>
      <c r="U113" s="4">
        <v>0</v>
      </c>
      <c r="V113" s="4">
        <v>0</v>
      </c>
    </row>
    <row r="114" spans="1:22" x14ac:dyDescent="0.25">
      <c r="A114" t="s">
        <v>152</v>
      </c>
      <c r="B114" t="s">
        <v>19</v>
      </c>
      <c r="C114" t="s">
        <v>508</v>
      </c>
      <c r="D114" t="s">
        <v>28</v>
      </c>
      <c r="E114" t="s">
        <v>502</v>
      </c>
      <c r="F114">
        <v>200000</v>
      </c>
      <c r="G114">
        <v>0</v>
      </c>
      <c r="H114">
        <v>200000</v>
      </c>
      <c r="I114" s="4">
        <v>0</v>
      </c>
      <c r="J114" s="4">
        <v>0</v>
      </c>
      <c r="K114" s="4">
        <v>0</v>
      </c>
      <c r="L114" s="4">
        <v>0</v>
      </c>
      <c r="M114" s="4">
        <v>0</v>
      </c>
      <c r="N114" s="4">
        <v>0</v>
      </c>
      <c r="O114" s="4">
        <v>0</v>
      </c>
      <c r="P114" s="4">
        <v>0</v>
      </c>
      <c r="Q114" s="4">
        <v>0</v>
      </c>
      <c r="R114" s="4">
        <v>0</v>
      </c>
      <c r="S114" s="4">
        <v>0</v>
      </c>
      <c r="T114" s="4">
        <v>0</v>
      </c>
      <c r="U114" s="4">
        <v>0</v>
      </c>
      <c r="V114" s="4">
        <v>0</v>
      </c>
    </row>
    <row r="115" spans="1:22" x14ac:dyDescent="0.25">
      <c r="A115" t="s">
        <v>152</v>
      </c>
      <c r="B115" t="s">
        <v>19</v>
      </c>
      <c r="C115" t="s">
        <v>509</v>
      </c>
      <c r="D115" t="s">
        <v>28</v>
      </c>
      <c r="E115" t="s">
        <v>505</v>
      </c>
      <c r="F115">
        <v>350000</v>
      </c>
      <c r="G115">
        <v>0</v>
      </c>
      <c r="H115">
        <v>350000</v>
      </c>
      <c r="I115" s="4">
        <v>0</v>
      </c>
      <c r="J115" s="4">
        <v>0</v>
      </c>
      <c r="K115" s="4">
        <v>0</v>
      </c>
      <c r="L115" s="4">
        <v>0</v>
      </c>
      <c r="M115" s="4">
        <v>0</v>
      </c>
      <c r="N115" s="4">
        <v>0</v>
      </c>
      <c r="O115" s="4">
        <v>0</v>
      </c>
      <c r="P115" s="4">
        <v>0</v>
      </c>
      <c r="Q115" s="4">
        <v>0</v>
      </c>
      <c r="R115" s="4">
        <v>0</v>
      </c>
      <c r="S115" s="4">
        <v>0</v>
      </c>
      <c r="T115" s="4">
        <v>0</v>
      </c>
      <c r="U115" s="4">
        <v>0</v>
      </c>
      <c r="V115" s="4">
        <v>0</v>
      </c>
    </row>
    <row r="116" spans="1:22" x14ac:dyDescent="0.25">
      <c r="A116" t="s">
        <v>152</v>
      </c>
      <c r="B116" t="s">
        <v>19</v>
      </c>
      <c r="C116" t="s">
        <v>510</v>
      </c>
      <c r="D116" t="s">
        <v>28</v>
      </c>
      <c r="E116" t="s">
        <v>384</v>
      </c>
      <c r="F116">
        <v>200000</v>
      </c>
      <c r="G116">
        <v>0</v>
      </c>
      <c r="H116">
        <v>200000</v>
      </c>
      <c r="I116" s="4">
        <v>0</v>
      </c>
      <c r="J116" s="4">
        <v>0</v>
      </c>
      <c r="K116" s="4">
        <v>0</v>
      </c>
      <c r="L116" s="4">
        <v>0</v>
      </c>
      <c r="M116" s="4">
        <v>0</v>
      </c>
      <c r="N116" s="4">
        <v>0</v>
      </c>
      <c r="O116" s="4">
        <v>0</v>
      </c>
      <c r="P116" s="4">
        <v>0</v>
      </c>
      <c r="Q116" s="4">
        <v>0</v>
      </c>
      <c r="R116" s="4">
        <v>0</v>
      </c>
      <c r="S116" s="4">
        <v>0</v>
      </c>
      <c r="T116" s="4">
        <v>0</v>
      </c>
      <c r="U116" s="4">
        <v>0</v>
      </c>
      <c r="V116" s="4">
        <v>0</v>
      </c>
    </row>
    <row r="117" spans="1:22" x14ac:dyDescent="0.25">
      <c r="A117" t="s">
        <v>152</v>
      </c>
      <c r="B117" t="s">
        <v>19</v>
      </c>
      <c r="C117" t="s">
        <v>511</v>
      </c>
      <c r="D117" t="s">
        <v>28</v>
      </c>
      <c r="E117" t="s">
        <v>484</v>
      </c>
      <c r="F117">
        <v>200000</v>
      </c>
      <c r="G117">
        <v>0</v>
      </c>
      <c r="H117">
        <v>200000</v>
      </c>
      <c r="I117" s="4">
        <v>0</v>
      </c>
      <c r="J117" s="4">
        <v>0</v>
      </c>
      <c r="K117" s="4">
        <v>0</v>
      </c>
      <c r="L117" s="4">
        <v>0</v>
      </c>
      <c r="M117" s="4">
        <v>0</v>
      </c>
      <c r="N117" s="4">
        <v>0</v>
      </c>
      <c r="O117" s="4">
        <v>0</v>
      </c>
      <c r="P117" s="4">
        <v>0</v>
      </c>
      <c r="Q117" s="4">
        <v>0</v>
      </c>
      <c r="R117" s="4">
        <v>0</v>
      </c>
      <c r="S117" s="4">
        <v>0</v>
      </c>
      <c r="T117" s="4">
        <v>0</v>
      </c>
      <c r="U117" s="4">
        <v>0</v>
      </c>
      <c r="V117" s="4">
        <v>0</v>
      </c>
    </row>
    <row r="118" spans="1:22" x14ac:dyDescent="0.25">
      <c r="A118" t="s">
        <v>152</v>
      </c>
      <c r="B118" t="s">
        <v>19</v>
      </c>
      <c r="C118" t="s">
        <v>512</v>
      </c>
      <c r="D118" t="s">
        <v>28</v>
      </c>
      <c r="E118" t="s">
        <v>177</v>
      </c>
      <c r="F118">
        <v>500000</v>
      </c>
      <c r="G118">
        <v>0</v>
      </c>
      <c r="H118">
        <v>500000</v>
      </c>
      <c r="I118" s="4">
        <v>0</v>
      </c>
      <c r="J118" s="4">
        <v>0</v>
      </c>
      <c r="K118" s="4">
        <v>0</v>
      </c>
      <c r="L118" s="4">
        <v>0</v>
      </c>
      <c r="M118" s="4">
        <v>0</v>
      </c>
      <c r="N118" s="4">
        <v>0</v>
      </c>
      <c r="O118" s="4">
        <v>0</v>
      </c>
      <c r="P118" s="4">
        <v>0</v>
      </c>
      <c r="Q118" s="4">
        <v>0</v>
      </c>
      <c r="R118" s="4">
        <v>0</v>
      </c>
      <c r="S118" s="4">
        <v>0</v>
      </c>
      <c r="T118" s="4">
        <v>0</v>
      </c>
      <c r="U118" s="4">
        <v>0</v>
      </c>
      <c r="V118" s="4">
        <v>0</v>
      </c>
    </row>
    <row r="119" spans="1:22" x14ac:dyDescent="0.25">
      <c r="A119" t="s">
        <v>152</v>
      </c>
      <c r="B119" t="s">
        <v>19</v>
      </c>
      <c r="C119" t="s">
        <v>513</v>
      </c>
      <c r="D119" t="s">
        <v>28</v>
      </c>
      <c r="E119" t="s">
        <v>461</v>
      </c>
      <c r="F119">
        <v>1000000</v>
      </c>
      <c r="G119">
        <v>0</v>
      </c>
      <c r="H119">
        <v>1000000</v>
      </c>
      <c r="I119" s="4">
        <v>0</v>
      </c>
      <c r="J119" s="4">
        <v>0</v>
      </c>
      <c r="K119" s="4">
        <v>0</v>
      </c>
      <c r="L119" s="4">
        <v>0</v>
      </c>
      <c r="M119" s="4">
        <v>0</v>
      </c>
      <c r="N119" s="4">
        <v>0</v>
      </c>
      <c r="O119" s="4">
        <v>0</v>
      </c>
      <c r="P119" s="4">
        <v>0</v>
      </c>
      <c r="Q119" s="4">
        <v>0</v>
      </c>
      <c r="R119" s="4">
        <v>0</v>
      </c>
      <c r="S119" s="4">
        <v>0</v>
      </c>
      <c r="T119" s="4">
        <v>0</v>
      </c>
      <c r="U119" s="4">
        <v>0</v>
      </c>
      <c r="V119" s="4">
        <v>0</v>
      </c>
    </row>
    <row r="120" spans="1:22" x14ac:dyDescent="0.25">
      <c r="A120" t="s">
        <v>152</v>
      </c>
      <c r="B120" t="s">
        <v>19</v>
      </c>
      <c r="C120" t="s">
        <v>514</v>
      </c>
      <c r="D120" t="s">
        <v>28</v>
      </c>
      <c r="E120" t="s">
        <v>499</v>
      </c>
      <c r="F120">
        <v>1000000</v>
      </c>
      <c r="G120">
        <v>0</v>
      </c>
      <c r="H120">
        <v>1000000</v>
      </c>
      <c r="I120" s="4">
        <v>0</v>
      </c>
      <c r="J120" s="4">
        <v>0</v>
      </c>
      <c r="K120" s="4">
        <v>0</v>
      </c>
      <c r="L120" s="4">
        <v>0</v>
      </c>
      <c r="M120" s="4">
        <v>0</v>
      </c>
      <c r="N120" s="4">
        <v>0</v>
      </c>
      <c r="O120" s="4">
        <v>0</v>
      </c>
      <c r="P120" s="4">
        <v>0</v>
      </c>
      <c r="Q120" s="4">
        <v>0</v>
      </c>
      <c r="R120" s="4">
        <v>0</v>
      </c>
      <c r="S120" s="4">
        <v>0</v>
      </c>
      <c r="T120" s="4">
        <v>0</v>
      </c>
      <c r="U120" s="4">
        <v>0</v>
      </c>
      <c r="V120" s="4">
        <v>0</v>
      </c>
    </row>
    <row r="121" spans="1:22" x14ac:dyDescent="0.25">
      <c r="A121" t="s">
        <v>152</v>
      </c>
      <c r="B121" t="s">
        <v>19</v>
      </c>
      <c r="C121" t="s">
        <v>515</v>
      </c>
      <c r="D121" t="s">
        <v>28</v>
      </c>
      <c r="E121" t="s">
        <v>389</v>
      </c>
      <c r="F121">
        <v>1000000</v>
      </c>
      <c r="G121">
        <v>0</v>
      </c>
      <c r="H121">
        <v>1000000</v>
      </c>
      <c r="I121" s="4">
        <v>0</v>
      </c>
      <c r="J121" s="4">
        <v>0</v>
      </c>
      <c r="K121" s="4">
        <v>0</v>
      </c>
      <c r="L121" s="4">
        <v>0</v>
      </c>
      <c r="M121" s="4">
        <v>0</v>
      </c>
      <c r="N121" s="4">
        <v>0</v>
      </c>
      <c r="O121" s="4">
        <v>0</v>
      </c>
      <c r="P121" s="4">
        <v>0</v>
      </c>
      <c r="Q121" s="4">
        <v>0</v>
      </c>
      <c r="R121" s="4">
        <v>0</v>
      </c>
      <c r="S121" s="4">
        <v>0</v>
      </c>
      <c r="T121" s="4">
        <v>0</v>
      </c>
      <c r="U121" s="4">
        <v>0</v>
      </c>
      <c r="V121" s="4">
        <v>0</v>
      </c>
    </row>
    <row r="122" spans="1:22" x14ac:dyDescent="0.25">
      <c r="A122" t="s">
        <v>152</v>
      </c>
      <c r="B122" t="s">
        <v>19</v>
      </c>
      <c r="C122" t="s">
        <v>516</v>
      </c>
      <c r="D122" t="s">
        <v>28</v>
      </c>
      <c r="E122" t="s">
        <v>489</v>
      </c>
      <c r="F122">
        <v>200000</v>
      </c>
      <c r="G122">
        <v>0</v>
      </c>
      <c r="H122">
        <v>200000</v>
      </c>
      <c r="I122" s="4">
        <v>0</v>
      </c>
      <c r="J122" s="4">
        <v>0</v>
      </c>
      <c r="K122" s="4">
        <v>0</v>
      </c>
      <c r="L122" s="4">
        <v>0</v>
      </c>
      <c r="M122" s="4">
        <v>0</v>
      </c>
      <c r="N122" s="4">
        <v>0</v>
      </c>
      <c r="O122" s="4">
        <v>0</v>
      </c>
      <c r="P122" s="4">
        <v>0</v>
      </c>
      <c r="Q122" s="4">
        <v>0</v>
      </c>
      <c r="R122" s="4">
        <v>0</v>
      </c>
      <c r="S122" s="4">
        <v>0</v>
      </c>
      <c r="T122" s="4">
        <v>0</v>
      </c>
      <c r="U122" s="4">
        <v>0</v>
      </c>
      <c r="V122" s="4">
        <v>0</v>
      </c>
    </row>
    <row r="123" spans="1:22" x14ac:dyDescent="0.25">
      <c r="A123" t="s">
        <v>152</v>
      </c>
      <c r="B123" t="s">
        <v>19</v>
      </c>
      <c r="C123" t="s">
        <v>517</v>
      </c>
      <c r="D123" t="s">
        <v>28</v>
      </c>
      <c r="E123" t="s">
        <v>486</v>
      </c>
      <c r="F123">
        <v>300000.01</v>
      </c>
      <c r="G123">
        <v>0</v>
      </c>
      <c r="H123">
        <v>300000.01</v>
      </c>
      <c r="I123" s="4">
        <v>0</v>
      </c>
      <c r="J123" s="4">
        <v>0</v>
      </c>
      <c r="K123" s="4">
        <v>0</v>
      </c>
      <c r="L123" s="4">
        <v>0</v>
      </c>
      <c r="M123" s="4">
        <v>0</v>
      </c>
      <c r="N123" s="4">
        <v>0</v>
      </c>
      <c r="O123" s="4">
        <v>0</v>
      </c>
      <c r="P123" s="4">
        <v>0</v>
      </c>
      <c r="Q123" s="4">
        <v>0</v>
      </c>
      <c r="R123" s="4">
        <v>0</v>
      </c>
      <c r="S123" s="4">
        <v>0</v>
      </c>
      <c r="T123" s="4">
        <v>0</v>
      </c>
      <c r="U123" s="4">
        <v>0</v>
      </c>
      <c r="V123" s="4">
        <v>0</v>
      </c>
    </row>
    <row r="124" spans="1:22" x14ac:dyDescent="0.25">
      <c r="A124" t="s">
        <v>152</v>
      </c>
      <c r="B124" t="s">
        <v>19</v>
      </c>
      <c r="C124" t="s">
        <v>518</v>
      </c>
      <c r="D124" t="s">
        <v>28</v>
      </c>
      <c r="E124" t="s">
        <v>386</v>
      </c>
      <c r="F124">
        <v>400000</v>
      </c>
      <c r="G124">
        <v>0</v>
      </c>
      <c r="H124">
        <v>400000</v>
      </c>
      <c r="I124" s="4">
        <v>0</v>
      </c>
      <c r="J124" s="4">
        <v>0</v>
      </c>
      <c r="K124" s="4">
        <v>0</v>
      </c>
      <c r="L124" s="4">
        <v>0</v>
      </c>
      <c r="M124" s="4">
        <v>0</v>
      </c>
      <c r="N124" s="4">
        <v>0</v>
      </c>
      <c r="O124" s="4">
        <v>0</v>
      </c>
      <c r="P124" s="4">
        <v>0</v>
      </c>
      <c r="Q124" s="4">
        <v>0</v>
      </c>
      <c r="R124" s="4">
        <v>0</v>
      </c>
      <c r="S124" s="4">
        <v>0</v>
      </c>
      <c r="T124" s="4">
        <v>0</v>
      </c>
      <c r="U124" s="4">
        <v>0</v>
      </c>
      <c r="V124" s="4">
        <v>0</v>
      </c>
    </row>
    <row r="125" spans="1:22" x14ac:dyDescent="0.25">
      <c r="A125" t="s">
        <v>152</v>
      </c>
      <c r="B125" t="s">
        <v>19</v>
      </c>
      <c r="C125" t="s">
        <v>519</v>
      </c>
      <c r="D125" t="s">
        <v>28</v>
      </c>
      <c r="E125" t="s">
        <v>487</v>
      </c>
      <c r="F125">
        <v>300000</v>
      </c>
      <c r="G125">
        <v>0</v>
      </c>
      <c r="H125">
        <v>300000</v>
      </c>
      <c r="I125" s="4">
        <v>0</v>
      </c>
      <c r="J125" s="4">
        <v>0</v>
      </c>
      <c r="K125" s="4">
        <v>0</v>
      </c>
      <c r="L125" s="4">
        <v>0</v>
      </c>
      <c r="M125" s="4">
        <v>0</v>
      </c>
      <c r="N125" s="4">
        <v>0</v>
      </c>
      <c r="O125" s="4">
        <v>0</v>
      </c>
      <c r="P125" s="4">
        <v>0</v>
      </c>
      <c r="Q125" s="4">
        <v>0</v>
      </c>
      <c r="R125" s="4">
        <v>0</v>
      </c>
      <c r="S125" s="4">
        <v>0</v>
      </c>
      <c r="T125" s="4">
        <v>0</v>
      </c>
      <c r="U125" s="4">
        <v>0</v>
      </c>
      <c r="V125" s="4">
        <v>0</v>
      </c>
    </row>
    <row r="126" spans="1:22" x14ac:dyDescent="0.25">
      <c r="A126" t="s">
        <v>152</v>
      </c>
      <c r="B126" t="s">
        <v>19</v>
      </c>
      <c r="C126" t="s">
        <v>520</v>
      </c>
      <c r="D126" t="s">
        <v>28</v>
      </c>
      <c r="E126" t="s">
        <v>500</v>
      </c>
      <c r="F126">
        <v>500000</v>
      </c>
      <c r="G126">
        <v>0</v>
      </c>
      <c r="H126">
        <v>500000</v>
      </c>
      <c r="I126" s="4">
        <v>0</v>
      </c>
      <c r="J126" s="4">
        <v>0</v>
      </c>
      <c r="K126" s="4">
        <v>0</v>
      </c>
      <c r="L126" s="4">
        <v>0</v>
      </c>
      <c r="M126" s="4">
        <v>0</v>
      </c>
      <c r="N126" s="4">
        <v>0</v>
      </c>
      <c r="O126" s="4">
        <v>0</v>
      </c>
      <c r="P126" s="4">
        <v>0</v>
      </c>
      <c r="Q126" s="4">
        <v>0</v>
      </c>
      <c r="R126" s="4">
        <v>0</v>
      </c>
      <c r="S126" s="4">
        <v>0</v>
      </c>
      <c r="T126" s="4">
        <v>0</v>
      </c>
      <c r="U126" s="4">
        <v>0</v>
      </c>
      <c r="V126" s="4">
        <v>0</v>
      </c>
    </row>
    <row r="127" spans="1:22" x14ac:dyDescent="0.25">
      <c r="A127" t="s">
        <v>152</v>
      </c>
      <c r="B127" t="s">
        <v>19</v>
      </c>
      <c r="C127" t="s">
        <v>521</v>
      </c>
      <c r="D127" t="s">
        <v>28</v>
      </c>
      <c r="E127" t="s">
        <v>387</v>
      </c>
      <c r="F127">
        <v>250000</v>
      </c>
      <c r="G127">
        <v>0</v>
      </c>
      <c r="H127">
        <v>250000</v>
      </c>
      <c r="I127" s="4">
        <v>0</v>
      </c>
      <c r="J127" s="4">
        <v>0</v>
      </c>
      <c r="K127" s="4">
        <v>0</v>
      </c>
      <c r="L127" s="4">
        <v>0</v>
      </c>
      <c r="M127" s="4">
        <v>0</v>
      </c>
      <c r="N127" s="4">
        <v>0</v>
      </c>
      <c r="O127" s="4">
        <v>0</v>
      </c>
      <c r="P127" s="4">
        <v>0</v>
      </c>
      <c r="Q127" s="4">
        <v>0</v>
      </c>
      <c r="R127" s="4">
        <v>0</v>
      </c>
      <c r="S127" s="4">
        <v>0</v>
      </c>
      <c r="T127" s="4">
        <v>0</v>
      </c>
      <c r="U127" s="4">
        <v>0</v>
      </c>
      <c r="V127" s="4">
        <v>0</v>
      </c>
    </row>
    <row r="128" spans="1:22" x14ac:dyDescent="0.25">
      <c r="A128" t="s">
        <v>152</v>
      </c>
      <c r="B128" t="s">
        <v>19</v>
      </c>
      <c r="C128" t="s">
        <v>522</v>
      </c>
      <c r="D128" t="s">
        <v>28</v>
      </c>
      <c r="E128" t="s">
        <v>488</v>
      </c>
      <c r="F128">
        <v>300000</v>
      </c>
      <c r="G128">
        <v>0</v>
      </c>
      <c r="H128">
        <v>300000</v>
      </c>
      <c r="I128" s="4">
        <v>0</v>
      </c>
      <c r="J128" s="4">
        <v>0</v>
      </c>
      <c r="K128" s="4">
        <v>0</v>
      </c>
      <c r="L128" s="4">
        <v>0</v>
      </c>
      <c r="M128" s="4">
        <v>0</v>
      </c>
      <c r="N128" s="4">
        <v>0</v>
      </c>
      <c r="O128" s="4">
        <v>0</v>
      </c>
      <c r="P128" s="4">
        <v>0</v>
      </c>
      <c r="Q128" s="4">
        <v>0</v>
      </c>
      <c r="R128" s="4">
        <v>0</v>
      </c>
      <c r="S128" s="4">
        <v>0</v>
      </c>
      <c r="T128" s="4">
        <v>0</v>
      </c>
      <c r="U128" s="4">
        <v>0</v>
      </c>
      <c r="V128" s="4">
        <v>0</v>
      </c>
    </row>
    <row r="129" spans="1:22" x14ac:dyDescent="0.25">
      <c r="A129" t="s">
        <v>152</v>
      </c>
      <c r="B129" t="s">
        <v>19</v>
      </c>
      <c r="C129" t="s">
        <v>523</v>
      </c>
      <c r="D129" t="s">
        <v>28</v>
      </c>
      <c r="E129" t="s">
        <v>501</v>
      </c>
      <c r="F129">
        <v>200000</v>
      </c>
      <c r="G129">
        <v>0</v>
      </c>
      <c r="H129">
        <v>200000</v>
      </c>
      <c r="I129" s="4">
        <v>0</v>
      </c>
      <c r="J129" s="4">
        <v>0</v>
      </c>
      <c r="K129" s="4">
        <v>0</v>
      </c>
      <c r="L129" s="4">
        <v>0</v>
      </c>
      <c r="M129" s="4">
        <v>0</v>
      </c>
      <c r="N129" s="4">
        <v>0</v>
      </c>
      <c r="O129" s="4">
        <v>0</v>
      </c>
      <c r="P129" s="4">
        <v>0</v>
      </c>
      <c r="Q129" s="4">
        <v>0</v>
      </c>
      <c r="R129" s="4">
        <v>0</v>
      </c>
      <c r="S129" s="4">
        <v>0</v>
      </c>
      <c r="T129" s="4">
        <v>0</v>
      </c>
      <c r="U129" s="4">
        <v>0</v>
      </c>
      <c r="V129" s="4">
        <v>0</v>
      </c>
    </row>
    <row r="130" spans="1:22" x14ac:dyDescent="0.25">
      <c r="A130" t="s">
        <v>152</v>
      </c>
      <c r="B130" t="s">
        <v>19</v>
      </c>
      <c r="C130" t="s">
        <v>524</v>
      </c>
      <c r="D130" t="s">
        <v>28</v>
      </c>
      <c r="E130" t="s">
        <v>301</v>
      </c>
      <c r="F130">
        <v>300000</v>
      </c>
      <c r="G130">
        <v>0</v>
      </c>
      <c r="H130">
        <v>300000</v>
      </c>
      <c r="I130" s="4">
        <v>0</v>
      </c>
      <c r="J130" s="4">
        <v>0</v>
      </c>
      <c r="K130" s="4">
        <v>0</v>
      </c>
      <c r="L130" s="4">
        <v>0</v>
      </c>
      <c r="M130" s="4">
        <v>0</v>
      </c>
      <c r="N130" s="4">
        <v>0</v>
      </c>
      <c r="O130" s="4">
        <v>0</v>
      </c>
      <c r="P130" s="4">
        <v>0</v>
      </c>
      <c r="Q130" s="4">
        <v>0</v>
      </c>
      <c r="R130" s="4">
        <v>0</v>
      </c>
      <c r="S130" s="4">
        <v>0</v>
      </c>
      <c r="T130" s="4">
        <v>0</v>
      </c>
      <c r="U130" s="4">
        <v>0</v>
      </c>
      <c r="V130" s="4">
        <v>0</v>
      </c>
    </row>
    <row r="131" spans="1:22" x14ac:dyDescent="0.25">
      <c r="A131" t="s">
        <v>152</v>
      </c>
      <c r="B131" t="s">
        <v>19</v>
      </c>
      <c r="C131" t="s">
        <v>525</v>
      </c>
      <c r="D131" t="s">
        <v>28</v>
      </c>
      <c r="E131" t="s">
        <v>385</v>
      </c>
      <c r="F131">
        <v>500000</v>
      </c>
      <c r="G131">
        <v>0</v>
      </c>
      <c r="H131">
        <v>500000</v>
      </c>
      <c r="I131" s="4">
        <v>0</v>
      </c>
      <c r="J131" s="4">
        <v>0</v>
      </c>
      <c r="K131" s="4">
        <v>0</v>
      </c>
      <c r="L131" s="4">
        <v>0</v>
      </c>
      <c r="M131" s="4">
        <v>0</v>
      </c>
      <c r="N131" s="4">
        <v>0</v>
      </c>
      <c r="O131" s="4">
        <v>0</v>
      </c>
      <c r="P131" s="4">
        <v>0</v>
      </c>
      <c r="Q131" s="4">
        <v>0</v>
      </c>
      <c r="R131" s="4">
        <v>0</v>
      </c>
      <c r="S131" s="4">
        <v>0</v>
      </c>
      <c r="T131" s="4">
        <v>0</v>
      </c>
      <c r="U131" s="4">
        <v>0</v>
      </c>
      <c r="V131" s="4">
        <v>0</v>
      </c>
    </row>
    <row r="132" spans="1:22" x14ac:dyDescent="0.25">
      <c r="A132" t="s">
        <v>152</v>
      </c>
      <c r="B132" t="s">
        <v>19</v>
      </c>
      <c r="C132" t="s">
        <v>526</v>
      </c>
      <c r="D132" t="s">
        <v>28</v>
      </c>
      <c r="E132" t="s">
        <v>495</v>
      </c>
      <c r="F132">
        <v>500000</v>
      </c>
      <c r="G132">
        <v>0</v>
      </c>
      <c r="H132">
        <v>500000</v>
      </c>
      <c r="I132" s="4">
        <v>0</v>
      </c>
      <c r="J132" s="4">
        <v>0</v>
      </c>
      <c r="K132" s="4">
        <v>0</v>
      </c>
      <c r="L132" s="4">
        <v>0</v>
      </c>
      <c r="M132" s="4">
        <v>0</v>
      </c>
      <c r="N132" s="4">
        <v>0</v>
      </c>
      <c r="O132" s="4">
        <v>0</v>
      </c>
      <c r="P132" s="4">
        <v>0</v>
      </c>
      <c r="Q132" s="4">
        <v>0</v>
      </c>
      <c r="R132" s="4">
        <v>0</v>
      </c>
      <c r="S132" s="4">
        <v>0</v>
      </c>
      <c r="T132" s="4">
        <v>0</v>
      </c>
      <c r="U132" s="4">
        <v>0</v>
      </c>
      <c r="V132" s="4">
        <v>0</v>
      </c>
    </row>
    <row r="133" spans="1:22" x14ac:dyDescent="0.25">
      <c r="A133" t="s">
        <v>152</v>
      </c>
      <c r="B133" t="s">
        <v>19</v>
      </c>
      <c r="C133" t="s">
        <v>527</v>
      </c>
      <c r="D133" t="s">
        <v>28</v>
      </c>
      <c r="E133" t="s">
        <v>224</v>
      </c>
      <c r="F133">
        <v>500000</v>
      </c>
      <c r="G133">
        <v>0</v>
      </c>
      <c r="H133">
        <v>500000</v>
      </c>
      <c r="I133" s="4">
        <v>0</v>
      </c>
      <c r="J133" s="4">
        <v>0</v>
      </c>
      <c r="K133" s="4">
        <v>0</v>
      </c>
      <c r="L133" s="4">
        <v>0</v>
      </c>
      <c r="M133" s="4">
        <v>0</v>
      </c>
      <c r="N133" s="4">
        <v>0</v>
      </c>
      <c r="O133" s="4">
        <v>0</v>
      </c>
      <c r="P133" s="4">
        <v>0</v>
      </c>
      <c r="Q133" s="4">
        <v>0</v>
      </c>
      <c r="R133" s="4">
        <v>0</v>
      </c>
      <c r="S133" s="4">
        <v>0</v>
      </c>
      <c r="T133" s="4">
        <v>0</v>
      </c>
      <c r="U133" s="4">
        <v>0</v>
      </c>
      <c r="V133" s="4">
        <v>0</v>
      </c>
    </row>
    <row r="134" spans="1:22" x14ac:dyDescent="0.25">
      <c r="A134" t="s">
        <v>152</v>
      </c>
      <c r="B134" t="s">
        <v>19</v>
      </c>
      <c r="C134" t="s">
        <v>528</v>
      </c>
      <c r="D134" t="s">
        <v>28</v>
      </c>
      <c r="E134" t="s">
        <v>491</v>
      </c>
      <c r="F134">
        <v>190080.6</v>
      </c>
      <c r="G134">
        <v>0</v>
      </c>
      <c r="H134">
        <v>190080.6</v>
      </c>
      <c r="I134" s="4">
        <v>0</v>
      </c>
      <c r="J134" s="4">
        <v>0</v>
      </c>
      <c r="K134" s="4">
        <v>0</v>
      </c>
      <c r="L134" s="4">
        <v>0</v>
      </c>
      <c r="M134" s="4">
        <v>0</v>
      </c>
      <c r="N134" s="4">
        <v>0</v>
      </c>
      <c r="O134" s="4">
        <v>0</v>
      </c>
      <c r="P134" s="4">
        <v>0</v>
      </c>
      <c r="Q134" s="4">
        <v>0</v>
      </c>
      <c r="R134" s="4">
        <v>0</v>
      </c>
      <c r="S134" s="4">
        <v>0</v>
      </c>
      <c r="T134" s="4">
        <v>0</v>
      </c>
      <c r="U134" s="4">
        <v>0</v>
      </c>
      <c r="V134" s="4">
        <v>0</v>
      </c>
    </row>
    <row r="135" spans="1:22" x14ac:dyDescent="0.25">
      <c r="A135" t="s">
        <v>152</v>
      </c>
      <c r="B135" t="s">
        <v>19</v>
      </c>
      <c r="C135" t="s">
        <v>529</v>
      </c>
      <c r="D135" t="s">
        <v>28</v>
      </c>
      <c r="E135" t="s">
        <v>169</v>
      </c>
      <c r="F135">
        <v>200000</v>
      </c>
      <c r="G135">
        <v>0</v>
      </c>
      <c r="H135">
        <v>200000</v>
      </c>
      <c r="I135" s="4">
        <v>0</v>
      </c>
      <c r="J135" s="4">
        <v>0</v>
      </c>
      <c r="K135" s="4">
        <v>0</v>
      </c>
      <c r="L135" s="4">
        <v>0</v>
      </c>
      <c r="M135" s="4">
        <v>0</v>
      </c>
      <c r="N135" s="4">
        <v>0</v>
      </c>
      <c r="O135" s="4">
        <v>0</v>
      </c>
      <c r="P135" s="4">
        <v>0</v>
      </c>
      <c r="Q135" s="4">
        <v>0</v>
      </c>
      <c r="R135" s="4">
        <v>0</v>
      </c>
      <c r="S135" s="4">
        <v>0</v>
      </c>
      <c r="T135" s="4">
        <v>0</v>
      </c>
      <c r="U135" s="4">
        <v>0</v>
      </c>
      <c r="V135" s="4">
        <v>0</v>
      </c>
    </row>
    <row r="136" spans="1:22" x14ac:dyDescent="0.25">
      <c r="A136" t="s">
        <v>152</v>
      </c>
      <c r="B136" t="s">
        <v>19</v>
      </c>
      <c r="C136" t="s">
        <v>530</v>
      </c>
      <c r="D136" t="s">
        <v>28</v>
      </c>
      <c r="E136" t="s">
        <v>492</v>
      </c>
      <c r="F136">
        <v>500000</v>
      </c>
      <c r="G136">
        <v>0</v>
      </c>
      <c r="H136">
        <v>500000</v>
      </c>
      <c r="I136" s="4">
        <v>0</v>
      </c>
      <c r="J136" s="4">
        <v>0</v>
      </c>
      <c r="K136" s="4">
        <v>0</v>
      </c>
      <c r="L136" s="4">
        <v>0</v>
      </c>
      <c r="M136" s="4">
        <v>0</v>
      </c>
      <c r="N136" s="4">
        <v>0</v>
      </c>
      <c r="O136" s="4">
        <v>0</v>
      </c>
      <c r="P136" s="4">
        <v>0</v>
      </c>
      <c r="Q136" s="4">
        <v>0</v>
      </c>
      <c r="R136" s="4">
        <v>0</v>
      </c>
      <c r="S136" s="4">
        <v>0</v>
      </c>
      <c r="T136" s="4">
        <v>0</v>
      </c>
      <c r="U136" s="4">
        <v>0</v>
      </c>
      <c r="V136" s="4">
        <v>0</v>
      </c>
    </row>
    <row r="137" spans="1:22" x14ac:dyDescent="0.25">
      <c r="A137" t="s">
        <v>152</v>
      </c>
      <c r="B137" t="s">
        <v>19</v>
      </c>
      <c r="C137" t="s">
        <v>532</v>
      </c>
      <c r="D137" t="s">
        <v>28</v>
      </c>
      <c r="E137" t="s">
        <v>497</v>
      </c>
      <c r="F137">
        <v>250000</v>
      </c>
      <c r="G137">
        <v>0</v>
      </c>
      <c r="H137">
        <v>250000</v>
      </c>
      <c r="I137" s="4">
        <v>0</v>
      </c>
      <c r="J137" s="4">
        <v>0</v>
      </c>
      <c r="K137" s="4">
        <v>0</v>
      </c>
      <c r="L137" s="4">
        <v>0</v>
      </c>
      <c r="M137" s="4">
        <v>0</v>
      </c>
      <c r="N137" s="4">
        <v>0</v>
      </c>
      <c r="O137" s="4">
        <v>0</v>
      </c>
      <c r="P137" s="4">
        <v>0</v>
      </c>
      <c r="Q137" s="4">
        <v>0</v>
      </c>
      <c r="R137" s="4">
        <v>0</v>
      </c>
      <c r="S137" s="4">
        <v>0</v>
      </c>
      <c r="T137" s="4">
        <v>0</v>
      </c>
      <c r="U137" s="4">
        <v>0</v>
      </c>
      <c r="V137" s="4">
        <v>0</v>
      </c>
    </row>
    <row r="138" spans="1:22" x14ac:dyDescent="0.25">
      <c r="A138" t="s">
        <v>152</v>
      </c>
      <c r="B138" t="s">
        <v>19</v>
      </c>
      <c r="C138" t="s">
        <v>533</v>
      </c>
      <c r="D138" t="s">
        <v>28</v>
      </c>
      <c r="E138" t="s">
        <v>328</v>
      </c>
      <c r="F138">
        <v>300000</v>
      </c>
      <c r="G138">
        <v>0</v>
      </c>
      <c r="H138">
        <v>300000</v>
      </c>
      <c r="I138" s="4">
        <v>0</v>
      </c>
      <c r="J138" s="4">
        <v>0</v>
      </c>
      <c r="K138" s="4">
        <v>0</v>
      </c>
      <c r="L138" s="4">
        <v>0</v>
      </c>
      <c r="M138" s="4">
        <v>0</v>
      </c>
      <c r="N138" s="4">
        <v>0</v>
      </c>
      <c r="O138" s="4">
        <v>0</v>
      </c>
      <c r="P138" s="4">
        <v>0</v>
      </c>
      <c r="Q138" s="4">
        <v>0</v>
      </c>
      <c r="R138" s="4">
        <v>0</v>
      </c>
      <c r="S138" s="4">
        <v>0</v>
      </c>
      <c r="T138" s="4">
        <v>0</v>
      </c>
      <c r="U138" s="4">
        <v>0</v>
      </c>
      <c r="V138" s="4">
        <v>0</v>
      </c>
    </row>
    <row r="139" spans="1:22" x14ac:dyDescent="0.25">
      <c r="A139" t="s">
        <v>152</v>
      </c>
      <c r="B139" t="s">
        <v>19</v>
      </c>
      <c r="C139" t="s">
        <v>534</v>
      </c>
      <c r="D139" t="s">
        <v>28</v>
      </c>
      <c r="E139" t="s">
        <v>493</v>
      </c>
      <c r="F139">
        <v>200000</v>
      </c>
      <c r="G139">
        <v>0</v>
      </c>
      <c r="H139">
        <v>200000</v>
      </c>
      <c r="I139" s="4">
        <v>0</v>
      </c>
      <c r="J139" s="4">
        <v>0</v>
      </c>
      <c r="K139" s="4">
        <v>0</v>
      </c>
      <c r="L139" s="4">
        <v>0</v>
      </c>
      <c r="M139" s="4">
        <v>0</v>
      </c>
      <c r="N139" s="4">
        <v>0</v>
      </c>
      <c r="O139" s="4">
        <v>0</v>
      </c>
      <c r="P139" s="4">
        <v>0</v>
      </c>
      <c r="Q139" s="4">
        <v>0</v>
      </c>
      <c r="R139" s="4">
        <v>0</v>
      </c>
      <c r="S139" s="4">
        <v>0</v>
      </c>
      <c r="T139" s="4">
        <v>0</v>
      </c>
      <c r="U139" s="4">
        <v>0</v>
      </c>
      <c r="V139" s="4">
        <v>0</v>
      </c>
    </row>
    <row r="140" spans="1:22" x14ac:dyDescent="0.25">
      <c r="A140" t="s">
        <v>152</v>
      </c>
      <c r="B140" t="s">
        <v>19</v>
      </c>
      <c r="C140" t="s">
        <v>535</v>
      </c>
      <c r="D140" t="s">
        <v>28</v>
      </c>
      <c r="E140" t="s">
        <v>494</v>
      </c>
      <c r="F140">
        <v>450000</v>
      </c>
      <c r="G140">
        <v>0</v>
      </c>
      <c r="H140">
        <v>450000</v>
      </c>
      <c r="I140" s="4">
        <v>0</v>
      </c>
      <c r="J140" s="4">
        <v>0</v>
      </c>
      <c r="K140" s="4">
        <v>0</v>
      </c>
      <c r="L140" s="4">
        <v>0</v>
      </c>
      <c r="M140" s="4">
        <v>0</v>
      </c>
      <c r="N140" s="4">
        <v>0</v>
      </c>
      <c r="O140" s="4">
        <v>0</v>
      </c>
      <c r="P140" s="4">
        <v>0</v>
      </c>
      <c r="Q140" s="4">
        <v>0</v>
      </c>
      <c r="R140" s="4">
        <v>0</v>
      </c>
      <c r="S140" s="4">
        <v>0</v>
      </c>
      <c r="T140" s="4">
        <v>0</v>
      </c>
      <c r="U140" s="4">
        <v>0</v>
      </c>
      <c r="V140" s="4">
        <v>0</v>
      </c>
    </row>
    <row r="141" spans="1:22" x14ac:dyDescent="0.25">
      <c r="A141" t="s">
        <v>168</v>
      </c>
      <c r="B141" t="s">
        <v>32</v>
      </c>
      <c r="C141" t="s">
        <v>35</v>
      </c>
      <c r="D141" t="s">
        <v>25</v>
      </c>
      <c r="E141" t="s">
        <v>36</v>
      </c>
      <c r="F141">
        <v>211576205.22720003</v>
      </c>
      <c r="G141">
        <v>210445911.24020118</v>
      </c>
      <c r="H141">
        <v>1130293.99</v>
      </c>
      <c r="I141" s="4">
        <v>0</v>
      </c>
      <c r="J141" s="4">
        <v>0</v>
      </c>
      <c r="K141" s="4">
        <v>0</v>
      </c>
      <c r="L141" s="4">
        <v>0</v>
      </c>
      <c r="M141" s="4">
        <v>0</v>
      </c>
      <c r="N141" s="4">
        <v>0</v>
      </c>
      <c r="O141" s="4">
        <v>0</v>
      </c>
      <c r="P141" s="4">
        <v>0</v>
      </c>
      <c r="Q141" s="4">
        <v>0</v>
      </c>
      <c r="R141" s="4">
        <v>0</v>
      </c>
      <c r="S141" s="4">
        <v>0</v>
      </c>
      <c r="T141" s="4">
        <v>0</v>
      </c>
      <c r="U141" s="4">
        <v>0</v>
      </c>
      <c r="V141" s="4">
        <v>0</v>
      </c>
    </row>
    <row r="142" spans="1:22" x14ac:dyDescent="0.25">
      <c r="A142" t="s">
        <v>168</v>
      </c>
      <c r="B142" t="s">
        <v>32</v>
      </c>
      <c r="C142" t="s">
        <v>34</v>
      </c>
      <c r="D142" t="s">
        <v>25</v>
      </c>
      <c r="E142" t="s">
        <v>101</v>
      </c>
      <c r="F142">
        <v>16327500.880000001</v>
      </c>
      <c r="G142">
        <v>15446722.59</v>
      </c>
      <c r="H142">
        <v>880778.29</v>
      </c>
      <c r="I142" s="4">
        <v>0</v>
      </c>
      <c r="J142" s="4">
        <v>0</v>
      </c>
      <c r="K142" s="4">
        <v>0</v>
      </c>
      <c r="L142" s="4">
        <v>0</v>
      </c>
      <c r="M142" s="4">
        <v>0</v>
      </c>
      <c r="N142" s="4">
        <v>0</v>
      </c>
      <c r="O142" s="4">
        <v>0</v>
      </c>
      <c r="P142" s="4">
        <v>0</v>
      </c>
      <c r="Q142" s="4">
        <v>0</v>
      </c>
      <c r="R142" s="4">
        <v>0</v>
      </c>
      <c r="S142" s="4">
        <v>0</v>
      </c>
      <c r="T142" s="4">
        <v>0</v>
      </c>
      <c r="U142" s="4">
        <v>0</v>
      </c>
      <c r="V142" s="4">
        <v>0</v>
      </c>
    </row>
    <row r="143" spans="1:22" x14ac:dyDescent="0.25">
      <c r="A143" t="s">
        <v>117</v>
      </c>
      <c r="B143" t="s">
        <v>32</v>
      </c>
      <c r="C143" t="s">
        <v>257</v>
      </c>
      <c r="D143" t="s">
        <v>25</v>
      </c>
      <c r="E143" t="s">
        <v>206</v>
      </c>
      <c r="F143">
        <v>4092796.2399999998</v>
      </c>
      <c r="G143">
        <v>4079312.29</v>
      </c>
      <c r="H143">
        <v>13483.95</v>
      </c>
      <c r="I143" s="4">
        <v>0</v>
      </c>
      <c r="J143" s="4">
        <v>0</v>
      </c>
      <c r="K143" s="4">
        <v>0</v>
      </c>
      <c r="L143" s="4">
        <v>0</v>
      </c>
      <c r="M143" s="4">
        <v>0</v>
      </c>
      <c r="N143" s="4">
        <v>0</v>
      </c>
      <c r="O143" s="4">
        <v>0</v>
      </c>
      <c r="P143" s="4">
        <v>0</v>
      </c>
      <c r="Q143" s="4">
        <v>0</v>
      </c>
      <c r="R143" s="4">
        <v>0</v>
      </c>
      <c r="S143" s="4">
        <v>0</v>
      </c>
      <c r="T143" s="4">
        <v>0</v>
      </c>
      <c r="U143" s="4">
        <v>0</v>
      </c>
      <c r="V143" s="4">
        <v>0</v>
      </c>
    </row>
    <row r="144" spans="1:22" x14ac:dyDescent="0.25">
      <c r="A144" t="s">
        <v>117</v>
      </c>
      <c r="B144" t="s">
        <v>19</v>
      </c>
      <c r="C144" t="s">
        <v>245</v>
      </c>
      <c r="D144" t="s">
        <v>25</v>
      </c>
      <c r="E144" t="s">
        <v>206</v>
      </c>
      <c r="F144">
        <v>25907203.759999998</v>
      </c>
      <c r="G144">
        <v>16605181.220000001</v>
      </c>
      <c r="H144">
        <v>8549405.8599999994</v>
      </c>
      <c r="I144" s="4">
        <v>0</v>
      </c>
      <c r="J144" s="4">
        <v>284755.58</v>
      </c>
      <c r="K144" s="4">
        <v>467861.1</v>
      </c>
      <c r="L144" s="4">
        <v>0</v>
      </c>
      <c r="M144" s="4">
        <v>0</v>
      </c>
      <c r="N144" s="4">
        <v>0</v>
      </c>
      <c r="O144" s="4">
        <v>0</v>
      </c>
      <c r="P144" s="4">
        <v>0</v>
      </c>
      <c r="Q144" s="4">
        <v>0</v>
      </c>
      <c r="R144" s="4">
        <v>0</v>
      </c>
      <c r="S144" s="4">
        <v>0</v>
      </c>
      <c r="T144" s="4">
        <v>0</v>
      </c>
      <c r="U144" s="4">
        <v>0</v>
      </c>
      <c r="V144" s="4">
        <v>752616.67999999993</v>
      </c>
    </row>
    <row r="145" spans="1:22" x14ac:dyDescent="0.25">
      <c r="A145" t="s">
        <v>117</v>
      </c>
      <c r="B145" t="s">
        <v>19</v>
      </c>
      <c r="C145" t="s">
        <v>265</v>
      </c>
      <c r="D145" t="s">
        <v>25</v>
      </c>
      <c r="E145" t="s">
        <v>263</v>
      </c>
      <c r="F145">
        <v>1615774.2562500001</v>
      </c>
      <c r="G145">
        <v>386882.11667999998</v>
      </c>
      <c r="H145">
        <v>1228892.1399999999</v>
      </c>
      <c r="I145" s="4">
        <v>0</v>
      </c>
      <c r="J145" s="4">
        <v>0</v>
      </c>
      <c r="K145" s="4">
        <v>0</v>
      </c>
      <c r="L145" s="4">
        <v>0</v>
      </c>
      <c r="M145" s="4">
        <v>0</v>
      </c>
      <c r="N145" s="4">
        <v>0</v>
      </c>
      <c r="O145" s="4">
        <v>0</v>
      </c>
      <c r="P145" s="4">
        <v>0</v>
      </c>
      <c r="Q145" s="4">
        <v>0</v>
      </c>
      <c r="R145" s="4">
        <v>0</v>
      </c>
      <c r="S145" s="4">
        <v>0</v>
      </c>
      <c r="T145" s="4">
        <v>0</v>
      </c>
      <c r="U145" s="4">
        <v>0</v>
      </c>
      <c r="V145" s="4">
        <v>0</v>
      </c>
    </row>
    <row r="146" spans="1:22" x14ac:dyDescent="0.25">
      <c r="A146" t="s">
        <v>117</v>
      </c>
      <c r="B146" t="s">
        <v>19</v>
      </c>
      <c r="C146" t="s">
        <v>268</v>
      </c>
      <c r="D146" t="s">
        <v>25</v>
      </c>
      <c r="E146" t="s">
        <v>263</v>
      </c>
      <c r="F146">
        <v>3003197.5670400006</v>
      </c>
      <c r="G146">
        <v>992843.09680000006</v>
      </c>
      <c r="H146">
        <v>2010354.47</v>
      </c>
      <c r="I146" s="4">
        <v>0</v>
      </c>
      <c r="J146" s="4">
        <v>0</v>
      </c>
      <c r="K146" s="4">
        <v>0</v>
      </c>
      <c r="L146" s="4">
        <v>0</v>
      </c>
      <c r="M146" s="4">
        <v>0</v>
      </c>
      <c r="N146" s="4">
        <v>0</v>
      </c>
      <c r="O146" s="4">
        <v>0</v>
      </c>
      <c r="P146" s="4">
        <v>0</v>
      </c>
      <c r="Q146" s="4">
        <v>0</v>
      </c>
      <c r="R146" s="4">
        <v>0</v>
      </c>
      <c r="S146" s="4">
        <v>0</v>
      </c>
      <c r="T146" s="4">
        <v>0</v>
      </c>
      <c r="U146" s="4">
        <v>0</v>
      </c>
      <c r="V146" s="4">
        <v>0</v>
      </c>
    </row>
    <row r="147" spans="1:22" x14ac:dyDescent="0.25">
      <c r="A147" t="s">
        <v>117</v>
      </c>
      <c r="B147" t="s">
        <v>19</v>
      </c>
      <c r="C147" t="s">
        <v>292</v>
      </c>
      <c r="D147" t="s">
        <v>25</v>
      </c>
      <c r="E147" t="s">
        <v>29</v>
      </c>
      <c r="F147">
        <v>1044853.45</v>
      </c>
      <c r="G147">
        <v>0</v>
      </c>
      <c r="H147">
        <v>477110.18</v>
      </c>
      <c r="I147" s="4">
        <v>0</v>
      </c>
      <c r="J147" s="4">
        <v>0</v>
      </c>
      <c r="K147" s="4">
        <v>0</v>
      </c>
      <c r="L147" s="4">
        <v>0</v>
      </c>
      <c r="M147" s="4">
        <v>0</v>
      </c>
      <c r="N147" s="4">
        <v>0</v>
      </c>
      <c r="O147" s="4">
        <v>567743.27</v>
      </c>
      <c r="P147" s="4">
        <v>0</v>
      </c>
      <c r="Q147" s="4">
        <v>0</v>
      </c>
      <c r="R147" s="4">
        <v>0</v>
      </c>
      <c r="S147" s="4">
        <v>0</v>
      </c>
      <c r="T147" s="4">
        <v>0</v>
      </c>
      <c r="U147" s="4">
        <v>0</v>
      </c>
      <c r="V147" s="4">
        <v>567743.27</v>
      </c>
    </row>
    <row r="148" spans="1:22" x14ac:dyDescent="0.25">
      <c r="A148" t="s">
        <v>117</v>
      </c>
      <c r="B148" t="s">
        <v>19</v>
      </c>
      <c r="C148" t="s">
        <v>294</v>
      </c>
      <c r="D148" t="s">
        <v>25</v>
      </c>
      <c r="E148" t="s">
        <v>283</v>
      </c>
      <c r="F148">
        <v>500000</v>
      </c>
      <c r="G148">
        <v>0</v>
      </c>
      <c r="H148">
        <v>0</v>
      </c>
      <c r="I148" s="4">
        <v>0</v>
      </c>
      <c r="J148" s="4">
        <v>0</v>
      </c>
      <c r="K148" s="4">
        <v>0</v>
      </c>
      <c r="L148" s="4">
        <v>500000</v>
      </c>
      <c r="M148" s="4">
        <v>0</v>
      </c>
      <c r="N148" s="4">
        <v>0</v>
      </c>
      <c r="O148" s="4">
        <v>0</v>
      </c>
      <c r="P148" s="4">
        <v>0</v>
      </c>
      <c r="Q148" s="4">
        <v>0</v>
      </c>
      <c r="R148" s="4">
        <v>0</v>
      </c>
      <c r="S148" s="4">
        <v>0</v>
      </c>
      <c r="T148" s="4">
        <v>0</v>
      </c>
      <c r="U148" s="4">
        <v>0</v>
      </c>
      <c r="V148" s="4">
        <v>500000</v>
      </c>
    </row>
    <row r="149" spans="1:22" x14ac:dyDescent="0.25">
      <c r="A149" t="s">
        <v>117</v>
      </c>
      <c r="B149" t="s">
        <v>19</v>
      </c>
      <c r="C149" t="s">
        <v>295</v>
      </c>
      <c r="D149" t="s">
        <v>25</v>
      </c>
      <c r="E149" t="s">
        <v>200</v>
      </c>
      <c r="F149">
        <v>500000</v>
      </c>
      <c r="G149">
        <v>326709.94</v>
      </c>
      <c r="H149">
        <v>173290.06</v>
      </c>
      <c r="I149" s="4">
        <v>0</v>
      </c>
      <c r="J149" s="4">
        <v>0</v>
      </c>
      <c r="K149" s="4">
        <v>0</v>
      </c>
      <c r="L149" s="4">
        <v>0</v>
      </c>
      <c r="M149" s="4">
        <v>0</v>
      </c>
      <c r="N149" s="4">
        <v>0</v>
      </c>
      <c r="O149" s="4">
        <v>0</v>
      </c>
      <c r="P149" s="4">
        <v>0</v>
      </c>
      <c r="Q149" s="4">
        <v>0</v>
      </c>
      <c r="R149" s="4">
        <v>0</v>
      </c>
      <c r="S149" s="4">
        <v>0</v>
      </c>
      <c r="T149" s="4">
        <v>0</v>
      </c>
      <c r="U149" s="4">
        <v>0</v>
      </c>
      <c r="V149" s="4">
        <v>0</v>
      </c>
    </row>
    <row r="150" spans="1:22" x14ac:dyDescent="0.25">
      <c r="A150" t="s">
        <v>117</v>
      </c>
      <c r="B150" t="s">
        <v>19</v>
      </c>
      <c r="C150" t="s">
        <v>296</v>
      </c>
      <c r="D150" t="s">
        <v>25</v>
      </c>
      <c r="E150" t="s">
        <v>285</v>
      </c>
      <c r="F150">
        <v>1350790.07</v>
      </c>
      <c r="G150">
        <v>0</v>
      </c>
      <c r="H150">
        <v>1350790.07</v>
      </c>
      <c r="I150" s="4">
        <v>0</v>
      </c>
      <c r="J150" s="4">
        <v>0</v>
      </c>
      <c r="K150" s="4">
        <v>0</v>
      </c>
      <c r="L150" s="4">
        <v>0</v>
      </c>
      <c r="M150" s="4">
        <v>0</v>
      </c>
      <c r="N150" s="4">
        <v>0</v>
      </c>
      <c r="O150" s="4">
        <v>0</v>
      </c>
      <c r="P150" s="4">
        <v>0</v>
      </c>
      <c r="Q150" s="4">
        <v>0</v>
      </c>
      <c r="R150" s="4">
        <v>0</v>
      </c>
      <c r="S150" s="4">
        <v>0</v>
      </c>
      <c r="T150" s="4">
        <v>0</v>
      </c>
      <c r="U150" s="4">
        <v>0</v>
      </c>
      <c r="V150" s="4">
        <v>0</v>
      </c>
    </row>
    <row r="151" spans="1:22" x14ac:dyDescent="0.25">
      <c r="A151" t="s">
        <v>117</v>
      </c>
      <c r="B151" t="s">
        <v>19</v>
      </c>
      <c r="C151" t="s">
        <v>297</v>
      </c>
      <c r="D151" t="s">
        <v>25</v>
      </c>
      <c r="E151" t="s">
        <v>286</v>
      </c>
      <c r="F151">
        <v>500000</v>
      </c>
      <c r="G151">
        <v>0</v>
      </c>
      <c r="H151">
        <v>0</v>
      </c>
      <c r="I151" s="4">
        <v>0</v>
      </c>
      <c r="J151" s="4">
        <v>0</v>
      </c>
      <c r="K151" s="4">
        <v>0</v>
      </c>
      <c r="L151" s="4">
        <v>0</v>
      </c>
      <c r="M151" s="4">
        <v>500000</v>
      </c>
      <c r="N151" s="4">
        <v>0</v>
      </c>
      <c r="O151" s="4">
        <v>0</v>
      </c>
      <c r="P151" s="4">
        <v>0</v>
      </c>
      <c r="Q151" s="4">
        <v>0</v>
      </c>
      <c r="R151" s="4">
        <v>0</v>
      </c>
      <c r="S151" s="4">
        <v>0</v>
      </c>
      <c r="T151" s="4">
        <v>0</v>
      </c>
      <c r="U151" s="4">
        <v>0</v>
      </c>
      <c r="V151" s="4">
        <v>500000</v>
      </c>
    </row>
    <row r="152" spans="1:22" x14ac:dyDescent="0.25">
      <c r="A152" t="s">
        <v>117</v>
      </c>
      <c r="B152" t="s">
        <v>19</v>
      </c>
      <c r="C152" t="s">
        <v>298</v>
      </c>
      <c r="D152" t="s">
        <v>25</v>
      </c>
      <c r="E152" t="s">
        <v>287</v>
      </c>
      <c r="F152">
        <v>500000</v>
      </c>
      <c r="G152">
        <v>0</v>
      </c>
      <c r="H152">
        <v>10330.030000000001</v>
      </c>
      <c r="I152" s="4">
        <v>0</v>
      </c>
      <c r="J152" s="4">
        <v>0</v>
      </c>
      <c r="K152" s="4">
        <v>0</v>
      </c>
      <c r="L152" s="4">
        <v>0</v>
      </c>
      <c r="M152" s="4">
        <v>0</v>
      </c>
      <c r="N152" s="4">
        <v>0</v>
      </c>
      <c r="O152" s="4">
        <v>489669.97</v>
      </c>
      <c r="P152" s="4">
        <v>0</v>
      </c>
      <c r="Q152" s="4">
        <v>0</v>
      </c>
      <c r="R152" s="4">
        <v>0</v>
      </c>
      <c r="S152" s="4">
        <v>0</v>
      </c>
      <c r="T152" s="4">
        <v>0</v>
      </c>
      <c r="U152" s="4">
        <v>0</v>
      </c>
      <c r="V152" s="4">
        <v>489669.97</v>
      </c>
    </row>
    <row r="153" spans="1:22" x14ac:dyDescent="0.25">
      <c r="A153" t="s">
        <v>117</v>
      </c>
      <c r="B153" t="s">
        <v>19</v>
      </c>
      <c r="C153" t="s">
        <v>334</v>
      </c>
      <c r="D153" t="s">
        <v>25</v>
      </c>
      <c r="E153" t="s">
        <v>330</v>
      </c>
      <c r="F153">
        <v>1000000</v>
      </c>
      <c r="G153">
        <v>0</v>
      </c>
      <c r="H153">
        <v>0</v>
      </c>
      <c r="I153" s="4">
        <v>0</v>
      </c>
      <c r="J153" s="4">
        <v>0</v>
      </c>
      <c r="K153" s="4">
        <v>0</v>
      </c>
      <c r="L153" s="4">
        <v>1000000</v>
      </c>
      <c r="M153" s="4">
        <v>0</v>
      </c>
      <c r="N153" s="4">
        <v>0</v>
      </c>
      <c r="O153" s="4">
        <v>0</v>
      </c>
      <c r="P153" s="4">
        <v>0</v>
      </c>
      <c r="Q153" s="4">
        <v>0</v>
      </c>
      <c r="R153" s="4">
        <v>0</v>
      </c>
      <c r="S153" s="4">
        <v>0</v>
      </c>
      <c r="T153" s="4">
        <v>0</v>
      </c>
      <c r="U153" s="4">
        <v>0</v>
      </c>
      <c r="V153" s="4">
        <v>1000000</v>
      </c>
    </row>
    <row r="154" spans="1:22" x14ac:dyDescent="0.25">
      <c r="A154" t="s">
        <v>117</v>
      </c>
      <c r="B154" t="s">
        <v>19</v>
      </c>
      <c r="C154" t="s">
        <v>335</v>
      </c>
      <c r="D154" t="s">
        <v>25</v>
      </c>
      <c r="E154" t="s">
        <v>285</v>
      </c>
      <c r="F154">
        <v>750000</v>
      </c>
      <c r="G154">
        <v>0</v>
      </c>
      <c r="H154">
        <v>39300</v>
      </c>
      <c r="I154" s="4">
        <v>0</v>
      </c>
      <c r="J154" s="4">
        <v>0</v>
      </c>
      <c r="K154" s="4">
        <v>0</v>
      </c>
      <c r="L154" s="4">
        <v>710700</v>
      </c>
      <c r="M154" s="4">
        <v>0</v>
      </c>
      <c r="N154" s="4">
        <v>0</v>
      </c>
      <c r="O154" s="4">
        <v>0</v>
      </c>
      <c r="P154" s="4">
        <v>0</v>
      </c>
      <c r="Q154" s="4">
        <v>0</v>
      </c>
      <c r="R154" s="4">
        <v>0</v>
      </c>
      <c r="S154" s="4">
        <v>0</v>
      </c>
      <c r="T154" s="4">
        <v>0</v>
      </c>
      <c r="U154" s="4">
        <v>0</v>
      </c>
      <c r="V154" s="4">
        <v>710700</v>
      </c>
    </row>
    <row r="155" spans="1:22" x14ac:dyDescent="0.25">
      <c r="A155" t="s">
        <v>117</v>
      </c>
      <c r="B155" t="s">
        <v>19</v>
      </c>
      <c r="C155" t="s">
        <v>336</v>
      </c>
      <c r="D155" t="s">
        <v>25</v>
      </c>
      <c r="E155" t="s">
        <v>286</v>
      </c>
      <c r="F155">
        <v>500000</v>
      </c>
      <c r="G155">
        <v>0</v>
      </c>
      <c r="H155">
        <v>0</v>
      </c>
      <c r="I155" s="4">
        <v>0</v>
      </c>
      <c r="J155" s="4">
        <v>0</v>
      </c>
      <c r="K155" s="4">
        <v>500000</v>
      </c>
      <c r="L155" s="4">
        <v>0</v>
      </c>
      <c r="M155" s="4">
        <v>0</v>
      </c>
      <c r="N155" s="4">
        <v>0</v>
      </c>
      <c r="O155" s="4">
        <v>0</v>
      </c>
      <c r="P155" s="4">
        <v>0</v>
      </c>
      <c r="Q155" s="4">
        <v>0</v>
      </c>
      <c r="R155" s="4">
        <v>0</v>
      </c>
      <c r="S155" s="4">
        <v>0</v>
      </c>
      <c r="T155" s="4">
        <v>0</v>
      </c>
      <c r="U155" s="4">
        <v>0</v>
      </c>
      <c r="V155" s="4">
        <v>500000</v>
      </c>
    </row>
    <row r="156" spans="1:22" x14ac:dyDescent="0.25">
      <c r="A156" t="s">
        <v>117</v>
      </c>
      <c r="B156" t="s">
        <v>19</v>
      </c>
      <c r="C156" t="s">
        <v>337</v>
      </c>
      <c r="D156" t="s">
        <v>25</v>
      </c>
      <c r="E156" t="s">
        <v>328</v>
      </c>
      <c r="F156">
        <v>500000</v>
      </c>
      <c r="G156">
        <v>0</v>
      </c>
      <c r="H156">
        <v>500000</v>
      </c>
      <c r="I156" s="4">
        <v>0</v>
      </c>
      <c r="J156" s="4">
        <v>0</v>
      </c>
      <c r="K156" s="4">
        <v>0</v>
      </c>
      <c r="L156" s="4">
        <v>0</v>
      </c>
      <c r="M156" s="4">
        <v>0</v>
      </c>
      <c r="N156" s="4">
        <v>0</v>
      </c>
      <c r="O156" s="4">
        <v>0</v>
      </c>
      <c r="P156" s="4">
        <v>0</v>
      </c>
      <c r="Q156" s="4">
        <v>0</v>
      </c>
      <c r="R156" s="4">
        <v>0</v>
      </c>
      <c r="S156" s="4">
        <v>0</v>
      </c>
      <c r="T156" s="4">
        <v>0</v>
      </c>
      <c r="U156" s="4">
        <v>0</v>
      </c>
      <c r="V156" s="4">
        <v>0</v>
      </c>
    </row>
    <row r="157" spans="1:22" x14ac:dyDescent="0.25">
      <c r="A157" t="s">
        <v>117</v>
      </c>
      <c r="B157" t="s">
        <v>19</v>
      </c>
      <c r="C157" t="s">
        <v>379</v>
      </c>
      <c r="D157" t="s">
        <v>25</v>
      </c>
      <c r="E157" t="s">
        <v>206</v>
      </c>
      <c r="F157">
        <v>17932603.559999999</v>
      </c>
      <c r="G157">
        <v>4576500</v>
      </c>
      <c r="H157">
        <v>12620563.560000001</v>
      </c>
      <c r="I157" s="4">
        <v>0</v>
      </c>
      <c r="J157" s="4">
        <v>0</v>
      </c>
      <c r="K157" s="4">
        <v>735540</v>
      </c>
      <c r="L157" s="4">
        <v>0</v>
      </c>
      <c r="M157" s="4">
        <v>0</v>
      </c>
      <c r="N157" s="4">
        <v>0</v>
      </c>
      <c r="O157" s="4">
        <v>0</v>
      </c>
      <c r="P157" s="4">
        <v>0</v>
      </c>
      <c r="Q157" s="4">
        <v>0</v>
      </c>
      <c r="R157" s="4">
        <v>0</v>
      </c>
      <c r="S157" s="4">
        <v>0</v>
      </c>
      <c r="T157" s="4">
        <v>0</v>
      </c>
      <c r="U157" s="4">
        <v>0</v>
      </c>
      <c r="V157" s="4">
        <v>735540</v>
      </c>
    </row>
    <row r="158" spans="1:22" x14ac:dyDescent="0.25">
      <c r="A158" t="s">
        <v>267</v>
      </c>
      <c r="B158" t="s">
        <v>19</v>
      </c>
      <c r="C158" t="s">
        <v>397</v>
      </c>
      <c r="D158" t="s">
        <v>68</v>
      </c>
      <c r="E158" t="s">
        <v>361</v>
      </c>
      <c r="F158">
        <v>5000000</v>
      </c>
      <c r="G158">
        <v>2707269.5</v>
      </c>
      <c r="H158">
        <v>1342830.5</v>
      </c>
      <c r="I158" s="4">
        <v>0</v>
      </c>
      <c r="J158" s="4">
        <v>0</v>
      </c>
      <c r="K158" s="4">
        <v>0</v>
      </c>
      <c r="L158" s="4">
        <v>949900</v>
      </c>
      <c r="M158" s="4">
        <v>0</v>
      </c>
      <c r="N158" s="4">
        <v>0</v>
      </c>
      <c r="O158" s="4">
        <v>0</v>
      </c>
      <c r="P158" s="4">
        <v>0</v>
      </c>
      <c r="Q158" s="4">
        <v>0</v>
      </c>
      <c r="R158" s="4">
        <v>0</v>
      </c>
      <c r="S158" s="4">
        <v>0</v>
      </c>
      <c r="T158" s="4">
        <v>0</v>
      </c>
      <c r="U158" s="4">
        <v>0</v>
      </c>
      <c r="V158" s="4">
        <v>949900</v>
      </c>
    </row>
    <row r="159" spans="1:22" x14ac:dyDescent="0.25">
      <c r="A159" t="s">
        <v>40</v>
      </c>
      <c r="I159" s="4">
        <v>7061735.4619200006</v>
      </c>
      <c r="J159" s="4">
        <v>54022857.198159993</v>
      </c>
      <c r="K159" s="4">
        <v>4377622.5199999996</v>
      </c>
      <c r="L159" s="4">
        <v>21391983.850000001</v>
      </c>
      <c r="M159" s="4">
        <v>13774561.559999999</v>
      </c>
      <c r="N159" s="4">
        <v>895940.76</v>
      </c>
      <c r="O159" s="4">
        <v>34868937.479999997</v>
      </c>
      <c r="P159" s="4">
        <v>2793391.53</v>
      </c>
      <c r="Q159" s="4">
        <v>386858.95</v>
      </c>
      <c r="R159" s="4">
        <v>278905.67</v>
      </c>
      <c r="S159" s="4">
        <v>6695743.6200000001</v>
      </c>
      <c r="T159" s="4">
        <v>197064</v>
      </c>
      <c r="U159" s="4">
        <v>0</v>
      </c>
      <c r="V159" s="4">
        <v>146745602.60008004</v>
      </c>
    </row>
  </sheetData>
  <conditionalFormatting sqref="B6:G94">
    <cfRule type="expression" dxfId="433" priority="1">
      <formula>$B6="Cash"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D13FC-7B9A-4263-9717-E076CA8CBAFD}">
  <sheetPr codeName="V_Detailed_Report"/>
  <dimension ref="A2:W187"/>
  <sheetViews>
    <sheetView showGridLines="0" workbookViewId="0"/>
  </sheetViews>
  <sheetFormatPr defaultRowHeight="15" x14ac:dyDescent="0.25"/>
  <cols>
    <col min="1" max="1" width="18.42578125" bestFit="1" customWidth="1"/>
    <col min="2" max="2" width="6.42578125" bestFit="1" customWidth="1"/>
    <col min="3" max="3" width="18.42578125" bestFit="1" customWidth="1"/>
    <col min="4" max="4" width="11" bestFit="1" customWidth="1"/>
    <col min="5" max="5" width="65.7109375" bestFit="1" customWidth="1"/>
    <col min="6" max="8" width="15.28515625" bestFit="1" customWidth="1"/>
    <col min="9" max="9" width="13.28515625" bestFit="1" customWidth="1"/>
    <col min="10" max="10" width="14.28515625" bestFit="1" customWidth="1"/>
    <col min="11" max="11" width="13.28515625" bestFit="1" customWidth="1"/>
    <col min="12" max="13" width="14.28515625" bestFit="1" customWidth="1"/>
    <col min="14" max="14" width="11.85546875" bestFit="1" customWidth="1"/>
    <col min="15" max="15" width="14.28515625" bestFit="1" customWidth="1"/>
    <col min="16" max="16" width="13.28515625" bestFit="1" customWidth="1"/>
    <col min="17" max="18" width="11.85546875" bestFit="1" customWidth="1"/>
    <col min="19" max="19" width="13.28515625" bestFit="1" customWidth="1"/>
    <col min="20" max="20" width="11.7109375" bestFit="1" customWidth="1"/>
    <col min="21" max="21" width="19" bestFit="1" customWidth="1"/>
    <col min="22" max="23" width="15.28515625" bestFit="1" customWidth="1"/>
  </cols>
  <sheetData>
    <row r="2" spans="1:23" ht="20.25" x14ac:dyDescent="0.3">
      <c r="A2" s="250" t="s">
        <v>104</v>
      </c>
      <c r="B2" s="250"/>
      <c r="C2" s="250"/>
      <c r="D2" s="250"/>
      <c r="E2" s="250"/>
      <c r="F2" s="250"/>
      <c r="G2" s="250"/>
      <c r="H2" s="250"/>
    </row>
    <row r="3" spans="1:23" x14ac:dyDescent="0.25">
      <c r="A3" s="160"/>
      <c r="B3" s="160"/>
      <c r="C3" s="160"/>
      <c r="D3" s="160"/>
      <c r="E3" s="160"/>
      <c r="F3" s="160"/>
      <c r="G3" s="160"/>
      <c r="H3" s="160"/>
      <c r="I3" s="175">
        <v>46194</v>
      </c>
      <c r="J3" s="175">
        <v>46201</v>
      </c>
      <c r="K3" s="175">
        <v>46208</v>
      </c>
      <c r="L3" s="175">
        <v>46215</v>
      </c>
      <c r="M3" s="175">
        <v>46222</v>
      </c>
      <c r="N3" s="175">
        <v>46229</v>
      </c>
      <c r="O3" s="175">
        <v>46236</v>
      </c>
      <c r="P3" s="175">
        <v>46243</v>
      </c>
      <c r="Q3" s="175">
        <v>46250</v>
      </c>
      <c r="R3" s="175">
        <v>46257</v>
      </c>
      <c r="S3" s="175">
        <v>46264</v>
      </c>
      <c r="T3" s="175">
        <v>46278</v>
      </c>
      <c r="U3" s="160" t="s">
        <v>10</v>
      </c>
      <c r="V3" s="160" t="s">
        <v>90</v>
      </c>
      <c r="W3" s="160" t="s">
        <v>92</v>
      </c>
    </row>
    <row r="4" spans="1:23" x14ac:dyDescent="0.25">
      <c r="A4" s="160" t="s">
        <v>4</v>
      </c>
      <c r="B4" s="160" t="s">
        <v>15</v>
      </c>
      <c r="C4" s="160" t="s">
        <v>0</v>
      </c>
      <c r="D4" s="160" t="s">
        <v>14</v>
      </c>
      <c r="E4" s="160" t="s">
        <v>2</v>
      </c>
      <c r="F4" s="160" t="s">
        <v>8</v>
      </c>
      <c r="G4" s="160" t="s">
        <v>9</v>
      </c>
      <c r="H4" s="160" t="s">
        <v>11</v>
      </c>
      <c r="I4" s="175">
        <v>46200</v>
      </c>
      <c r="J4" s="175">
        <v>46207</v>
      </c>
      <c r="K4" s="175">
        <v>46214</v>
      </c>
      <c r="L4" s="175">
        <v>46221</v>
      </c>
      <c r="M4" s="175">
        <v>46228</v>
      </c>
      <c r="N4" s="175">
        <v>46235</v>
      </c>
      <c r="O4" s="175">
        <v>46242</v>
      </c>
      <c r="P4" s="175">
        <v>46249</v>
      </c>
      <c r="Q4" s="175">
        <v>46256</v>
      </c>
      <c r="R4" s="175">
        <v>46263</v>
      </c>
      <c r="S4" s="175">
        <v>46270</v>
      </c>
      <c r="T4" s="175">
        <v>46284</v>
      </c>
      <c r="U4" s="160" t="s">
        <v>62</v>
      </c>
      <c r="V4" s="160" t="s">
        <v>91</v>
      </c>
      <c r="W4" s="160" t="s">
        <v>63</v>
      </c>
    </row>
    <row r="5" spans="1:23" x14ac:dyDescent="0.25">
      <c r="A5" s="162"/>
      <c r="B5" s="162"/>
      <c r="C5" s="162"/>
      <c r="D5" s="162"/>
      <c r="E5" s="162"/>
      <c r="F5" s="157"/>
      <c r="G5" s="157"/>
      <c r="H5" s="157"/>
      <c r="I5" s="157"/>
      <c r="J5" s="157"/>
      <c r="K5" s="157"/>
      <c r="L5" s="157"/>
      <c r="M5" s="157"/>
      <c r="N5" s="157"/>
      <c r="O5" s="157"/>
      <c r="P5" s="157"/>
      <c r="Q5" s="157"/>
      <c r="R5" s="157"/>
      <c r="S5" s="157"/>
      <c r="T5" s="157"/>
      <c r="U5" s="157"/>
      <c r="V5" s="157"/>
      <c r="W5" s="157"/>
    </row>
    <row r="6" spans="1:23" x14ac:dyDescent="0.25">
      <c r="A6" s="162" t="s">
        <v>31</v>
      </c>
      <c r="B6" s="162" t="s">
        <v>19</v>
      </c>
      <c r="C6" s="162" t="s">
        <v>223</v>
      </c>
      <c r="D6" s="162" t="str">
        <f>VLOOKUP(C6,'M_LC Summary'!A:F,6,0)</f>
        <v>SAB</v>
      </c>
      <c r="E6" s="162" t="str">
        <f>VLOOKUP(C6,'M_LC Summary'!A:C,3,0)</f>
        <v>Sika Saudi Arabia Co. Ltd.</v>
      </c>
      <c r="F6" s="157">
        <f>VLOOKUP(C6,'M_LC Summary'!A:K,11,0)</f>
        <v>2741025</v>
      </c>
      <c r="G6" s="157">
        <f>VLOOKUP(C6,'M_LC Summary'!A:L,12,0)</f>
        <v>1641337.5</v>
      </c>
      <c r="H6" s="157">
        <f t="shared" ref="H6:H43" si="0">F6-G6</f>
        <v>1099687.5</v>
      </c>
      <c r="I6" s="157">
        <f>SUMIFS('PQ-Due Dates'!$L:$L,'PQ-Due Dates'!$A:$A,V_Detailed_Report!$C6,'PQ-Due Dates'!$M:$M,"&gt;="&amp;V_Detailed_Report!I$3,'PQ-Due Dates'!$M:$M,"&lt;="&amp;V_Detailed_Report!I$4)</f>
        <v>902623.5</v>
      </c>
      <c r="J6" s="157">
        <f>SUMIFS('PQ-Due Dates'!$L:$L,'PQ-Due Dates'!$A:$A,V_Detailed_Report!$C6,'PQ-Due Dates'!$M:$M,"&gt;="&amp;V_Detailed_Report!J$3,'PQ-Due Dates'!$M:$M,"&lt;="&amp;V_Detailed_Report!J$4)</f>
        <v>0</v>
      </c>
      <c r="K6" s="157">
        <f>SUMIFS('PQ-Due Dates'!$L:$L,'PQ-Due Dates'!$A:$A,V_Detailed_Report!$C6,'PQ-Due Dates'!$M:$M,"&gt;="&amp;V_Detailed_Report!K$3,'PQ-Due Dates'!$M:$M,"&lt;="&amp;V_Detailed_Report!K$4)</f>
        <v>0</v>
      </c>
      <c r="L6" s="157">
        <f>SUMIFS('PQ-Due Dates'!$L:$L,'PQ-Due Dates'!$A:$A,V_Detailed_Report!$C6,'PQ-Due Dates'!$M:$M,"&gt;="&amp;V_Detailed_Report!L$3,'PQ-Due Dates'!$M:$M,"&lt;="&amp;V_Detailed_Report!L$4)</f>
        <v>0</v>
      </c>
      <c r="M6" s="157">
        <f>SUMIFS('PQ-Due Dates'!$L:$L,'PQ-Due Dates'!$A:$A,V_Detailed_Report!$C6,'PQ-Due Dates'!$M:$M,"&gt;="&amp;V_Detailed_Report!M$3,'PQ-Due Dates'!$M:$M,"&lt;="&amp;V_Detailed_Report!M$4)</f>
        <v>0</v>
      </c>
      <c r="N6" s="157">
        <f>SUMIFS('PQ-Due Dates'!$L:$L,'PQ-Due Dates'!$A:$A,V_Detailed_Report!$C6,'PQ-Due Dates'!$M:$M,"&gt;="&amp;V_Detailed_Report!N$3,'PQ-Due Dates'!$M:$M,"&lt;="&amp;V_Detailed_Report!N$4)</f>
        <v>0</v>
      </c>
      <c r="O6" s="157">
        <f>SUMIFS('PQ-Due Dates'!$L:$L,'PQ-Due Dates'!$A:$A,V_Detailed_Report!$C6,'PQ-Due Dates'!$M:$M,"&gt;="&amp;V_Detailed_Report!O$3,'PQ-Due Dates'!$M:$M,"&lt;="&amp;V_Detailed_Report!O$4)</f>
        <v>0</v>
      </c>
      <c r="P6" s="157">
        <f>SUMIFS('PQ-Due Dates'!$L:$L,'PQ-Due Dates'!$A:$A,V_Detailed_Report!$C6,'PQ-Due Dates'!$M:$M,"&gt;="&amp;V_Detailed_Report!P$3,'PQ-Due Dates'!$M:$M,"&lt;="&amp;V_Detailed_Report!P$4)</f>
        <v>0</v>
      </c>
      <c r="Q6" s="157">
        <f>SUMIFS('PQ-Due Dates'!$L:$L,'PQ-Due Dates'!$A:$A,V_Detailed_Report!$C6,'PQ-Due Dates'!$M:$M,"&gt;="&amp;V_Detailed_Report!Q$3,'PQ-Due Dates'!$M:$M,"&lt;="&amp;V_Detailed_Report!Q$4)</f>
        <v>0</v>
      </c>
      <c r="R6" s="157">
        <f>SUMIFS('PQ-Due Dates'!$L:$L,'PQ-Due Dates'!$A:$A,V_Detailed_Report!$C6,'PQ-Due Dates'!$M:$M,"&gt;="&amp;V_Detailed_Report!R$3,'PQ-Due Dates'!$M:$M,"&lt;="&amp;V_Detailed_Report!R$4)</f>
        <v>0</v>
      </c>
      <c r="S6" s="157">
        <f>SUMIFS('PQ-Due Dates'!$L:$L,'PQ-Due Dates'!$A:$A,V_Detailed_Report!$C6,'PQ-Due Dates'!$M:$M,"&gt;="&amp;V_Detailed_Report!S$3,'PQ-Due Dates'!$M:$M,"&lt;="&amp;V_Detailed_Report!S$4)</f>
        <v>0</v>
      </c>
      <c r="T6" s="157">
        <f>SUMIFS('PQ-Due Dates'!$L:$L,'PQ-Due Dates'!$A:$A,V_Detailed_Report!$C6,'PQ-Due Dates'!$M:$M,"&gt;="&amp;V_Detailed_Report!T$3,'PQ-Due Dates'!$M:$M,"&lt;="&amp;V_Detailed_Report!T$4)</f>
        <v>197064</v>
      </c>
      <c r="U6" s="157">
        <f t="shared" ref="U6:U43" si="1">SUM(I6:T6)</f>
        <v>1099687.5</v>
      </c>
      <c r="V6" s="157">
        <f t="shared" ref="V6:V43" si="2">H6-U6</f>
        <v>0</v>
      </c>
      <c r="W6" s="157">
        <f t="shared" ref="W6:W43" si="3">U6+V6</f>
        <v>1099687.5</v>
      </c>
    </row>
    <row r="7" spans="1:23" x14ac:dyDescent="0.25">
      <c r="A7" s="162" t="s">
        <v>31</v>
      </c>
      <c r="B7" s="162" t="s">
        <v>19</v>
      </c>
      <c r="C7" s="162" t="s">
        <v>468</v>
      </c>
      <c r="D7" s="162" t="str">
        <f>VLOOKUP(C7,'M_LC Summary'!A:F,6,0)</f>
        <v>SAB</v>
      </c>
      <c r="E7" s="162" t="str">
        <f>VLOOKUP(C7,'M_LC Summary'!A:C,3,0)</f>
        <v>DAIKIN AIR CONDITIONING SAUDI ARABIA LLC</v>
      </c>
      <c r="F7" s="157">
        <f>VLOOKUP(C7,'M_LC Summary'!A:K,11,0)</f>
        <v>735855</v>
      </c>
      <c r="G7" s="157">
        <f>VLOOKUP(C7,'M_LC Summary'!A:L,12,0)</f>
        <v>0</v>
      </c>
      <c r="H7" s="157">
        <f t="shared" si="0"/>
        <v>735855</v>
      </c>
      <c r="I7" s="157">
        <f>SUMIFS('PQ-Due Dates'!$L:$L,'PQ-Due Dates'!$A:$A,V_Detailed_Report!$C7,'PQ-Due Dates'!$M:$M,"&gt;="&amp;V_Detailed_Report!I$3,'PQ-Due Dates'!$M:$M,"&lt;="&amp;V_Detailed_Report!I$4)</f>
        <v>0</v>
      </c>
      <c r="J7" s="157">
        <f>SUMIFS('PQ-Due Dates'!$L:$L,'PQ-Due Dates'!$A:$A,V_Detailed_Report!$C7,'PQ-Due Dates'!$M:$M,"&gt;="&amp;V_Detailed_Report!J$3,'PQ-Due Dates'!$M:$M,"&lt;="&amp;V_Detailed_Report!J$4)</f>
        <v>0</v>
      </c>
      <c r="K7" s="157">
        <f>SUMIFS('PQ-Due Dates'!$L:$L,'PQ-Due Dates'!$A:$A,V_Detailed_Report!$C7,'PQ-Due Dates'!$M:$M,"&gt;="&amp;V_Detailed_Report!K$3,'PQ-Due Dates'!$M:$M,"&lt;="&amp;V_Detailed_Report!K$4)</f>
        <v>0</v>
      </c>
      <c r="L7" s="157">
        <f>SUMIFS('PQ-Due Dates'!$L:$L,'PQ-Due Dates'!$A:$A,V_Detailed_Report!$C7,'PQ-Due Dates'!$M:$M,"&gt;="&amp;V_Detailed_Report!L$3,'PQ-Due Dates'!$M:$M,"&lt;="&amp;V_Detailed_Report!L$4)</f>
        <v>0</v>
      </c>
      <c r="M7" s="157">
        <f>SUMIFS('PQ-Due Dates'!$L:$L,'PQ-Due Dates'!$A:$A,V_Detailed_Report!$C7,'PQ-Due Dates'!$M:$M,"&gt;="&amp;V_Detailed_Report!M$3,'PQ-Due Dates'!$M:$M,"&lt;="&amp;V_Detailed_Report!M$4)</f>
        <v>0</v>
      </c>
      <c r="N7" s="157">
        <f>SUMIFS('PQ-Due Dates'!$L:$L,'PQ-Due Dates'!$A:$A,V_Detailed_Report!$C7,'PQ-Due Dates'!$M:$M,"&gt;="&amp;V_Detailed_Report!N$3,'PQ-Due Dates'!$M:$M,"&lt;="&amp;V_Detailed_Report!N$4)</f>
        <v>0</v>
      </c>
      <c r="O7" s="157">
        <f>SUMIFS('PQ-Due Dates'!$L:$L,'PQ-Due Dates'!$A:$A,V_Detailed_Report!$C7,'PQ-Due Dates'!$M:$M,"&gt;="&amp;V_Detailed_Report!O$3,'PQ-Due Dates'!$M:$M,"&lt;="&amp;V_Detailed_Report!O$4)</f>
        <v>0</v>
      </c>
      <c r="P7" s="157">
        <f>SUMIFS('PQ-Due Dates'!$L:$L,'PQ-Due Dates'!$A:$A,V_Detailed_Report!$C7,'PQ-Due Dates'!$M:$M,"&gt;="&amp;V_Detailed_Report!P$3,'PQ-Due Dates'!$M:$M,"&lt;="&amp;V_Detailed_Report!P$4)</f>
        <v>0</v>
      </c>
      <c r="Q7" s="157">
        <f>SUMIFS('PQ-Due Dates'!$L:$L,'PQ-Due Dates'!$A:$A,V_Detailed_Report!$C7,'PQ-Due Dates'!$M:$M,"&gt;="&amp;V_Detailed_Report!Q$3,'PQ-Due Dates'!$M:$M,"&lt;="&amp;V_Detailed_Report!Q$4)</f>
        <v>0</v>
      </c>
      <c r="R7" s="157">
        <f>SUMIFS('PQ-Due Dates'!$L:$L,'PQ-Due Dates'!$A:$A,V_Detailed_Report!$C7,'PQ-Due Dates'!$M:$M,"&gt;="&amp;V_Detailed_Report!R$3,'PQ-Due Dates'!$M:$M,"&lt;="&amp;V_Detailed_Report!R$4)</f>
        <v>0</v>
      </c>
      <c r="S7" s="157">
        <f>SUMIFS('PQ-Due Dates'!$L:$L,'PQ-Due Dates'!$A:$A,V_Detailed_Report!$C7,'PQ-Due Dates'!$M:$M,"&gt;="&amp;V_Detailed_Report!S$3,'PQ-Due Dates'!$M:$M,"&lt;="&amp;V_Detailed_Report!S$4)</f>
        <v>0</v>
      </c>
      <c r="T7" s="157">
        <f>SUMIFS('PQ-Due Dates'!$L:$L,'PQ-Due Dates'!$A:$A,V_Detailed_Report!$C7,'PQ-Due Dates'!$M:$M,"&gt;="&amp;V_Detailed_Report!T$3,'PQ-Due Dates'!$M:$M,"&lt;="&amp;V_Detailed_Report!T$4)</f>
        <v>0</v>
      </c>
      <c r="U7" s="157">
        <f t="shared" si="1"/>
        <v>0</v>
      </c>
      <c r="V7" s="157">
        <f t="shared" si="2"/>
        <v>735855</v>
      </c>
      <c r="W7" s="157">
        <f t="shared" si="3"/>
        <v>735855</v>
      </c>
    </row>
    <row r="8" spans="1:23" x14ac:dyDescent="0.25">
      <c r="A8" s="162" t="s">
        <v>31</v>
      </c>
      <c r="B8" s="162" t="s">
        <v>19</v>
      </c>
      <c r="C8" s="162" t="s">
        <v>469</v>
      </c>
      <c r="D8" s="162" t="str">
        <f>VLOOKUP(C8,'M_LC Summary'!A:F,6,0)</f>
        <v>SAB</v>
      </c>
      <c r="E8" s="162" t="str">
        <f>VLOOKUP(C8,'M_LC Summary'!A:C,3,0)</f>
        <v>Isam Kabbani &amp; Partners for Building and Construction</v>
      </c>
      <c r="F8" s="157">
        <f>VLOOKUP(C8,'M_LC Summary'!A:K,11,0)</f>
        <v>1325316</v>
      </c>
      <c r="G8" s="157">
        <f>VLOOKUP(C8,'M_LC Summary'!A:L,12,0)</f>
        <v>0</v>
      </c>
      <c r="H8" s="157">
        <f t="shared" si="0"/>
        <v>1325316</v>
      </c>
      <c r="I8" s="157">
        <f>SUMIFS('PQ-Due Dates'!$L:$L,'PQ-Due Dates'!$A:$A,V_Detailed_Report!$C8,'PQ-Due Dates'!$M:$M,"&gt;="&amp;V_Detailed_Report!I$3,'PQ-Due Dates'!$M:$M,"&lt;="&amp;V_Detailed_Report!I$4)</f>
        <v>0</v>
      </c>
      <c r="J8" s="157">
        <f>SUMIFS('PQ-Due Dates'!$L:$L,'PQ-Due Dates'!$A:$A,V_Detailed_Report!$C8,'PQ-Due Dates'!$M:$M,"&gt;="&amp;V_Detailed_Report!J$3,'PQ-Due Dates'!$M:$M,"&lt;="&amp;V_Detailed_Report!J$4)</f>
        <v>0</v>
      </c>
      <c r="K8" s="157">
        <f>SUMIFS('PQ-Due Dates'!$L:$L,'PQ-Due Dates'!$A:$A,V_Detailed_Report!$C8,'PQ-Due Dates'!$M:$M,"&gt;="&amp;V_Detailed_Report!K$3,'PQ-Due Dates'!$M:$M,"&lt;="&amp;V_Detailed_Report!K$4)</f>
        <v>0</v>
      </c>
      <c r="L8" s="157">
        <f>SUMIFS('PQ-Due Dates'!$L:$L,'PQ-Due Dates'!$A:$A,V_Detailed_Report!$C8,'PQ-Due Dates'!$M:$M,"&gt;="&amp;V_Detailed_Report!L$3,'PQ-Due Dates'!$M:$M,"&lt;="&amp;V_Detailed_Report!L$4)</f>
        <v>0</v>
      </c>
      <c r="M8" s="157">
        <f>SUMIFS('PQ-Due Dates'!$L:$L,'PQ-Due Dates'!$A:$A,V_Detailed_Report!$C8,'PQ-Due Dates'!$M:$M,"&gt;="&amp;V_Detailed_Report!M$3,'PQ-Due Dates'!$M:$M,"&lt;="&amp;V_Detailed_Report!M$4)</f>
        <v>0</v>
      </c>
      <c r="N8" s="157">
        <f>SUMIFS('PQ-Due Dates'!$L:$L,'PQ-Due Dates'!$A:$A,V_Detailed_Report!$C8,'PQ-Due Dates'!$M:$M,"&gt;="&amp;V_Detailed_Report!N$3,'PQ-Due Dates'!$M:$M,"&lt;="&amp;V_Detailed_Report!N$4)</f>
        <v>0</v>
      </c>
      <c r="O8" s="157">
        <f>SUMIFS('PQ-Due Dates'!$L:$L,'PQ-Due Dates'!$A:$A,V_Detailed_Report!$C8,'PQ-Due Dates'!$M:$M,"&gt;="&amp;V_Detailed_Report!O$3,'PQ-Due Dates'!$M:$M,"&lt;="&amp;V_Detailed_Report!O$4)</f>
        <v>0</v>
      </c>
      <c r="P8" s="157">
        <f>SUMIFS('PQ-Due Dates'!$L:$L,'PQ-Due Dates'!$A:$A,V_Detailed_Report!$C8,'PQ-Due Dates'!$M:$M,"&gt;="&amp;V_Detailed_Report!P$3,'PQ-Due Dates'!$M:$M,"&lt;="&amp;V_Detailed_Report!P$4)</f>
        <v>0</v>
      </c>
      <c r="Q8" s="157">
        <f>SUMIFS('PQ-Due Dates'!$L:$L,'PQ-Due Dates'!$A:$A,V_Detailed_Report!$C8,'PQ-Due Dates'!$M:$M,"&gt;="&amp;V_Detailed_Report!Q$3,'PQ-Due Dates'!$M:$M,"&lt;="&amp;V_Detailed_Report!Q$4)</f>
        <v>0</v>
      </c>
      <c r="R8" s="157">
        <f>SUMIFS('PQ-Due Dates'!$L:$L,'PQ-Due Dates'!$A:$A,V_Detailed_Report!$C8,'PQ-Due Dates'!$M:$M,"&gt;="&amp;V_Detailed_Report!R$3,'PQ-Due Dates'!$M:$M,"&lt;="&amp;V_Detailed_Report!R$4)</f>
        <v>0</v>
      </c>
      <c r="S8" s="157">
        <f>SUMIFS('PQ-Due Dates'!$L:$L,'PQ-Due Dates'!$A:$A,V_Detailed_Report!$C8,'PQ-Due Dates'!$M:$M,"&gt;="&amp;V_Detailed_Report!S$3,'PQ-Due Dates'!$M:$M,"&lt;="&amp;V_Detailed_Report!S$4)</f>
        <v>0</v>
      </c>
      <c r="T8" s="157">
        <f>SUMIFS('PQ-Due Dates'!$L:$L,'PQ-Due Dates'!$A:$A,V_Detailed_Report!$C8,'PQ-Due Dates'!$M:$M,"&gt;="&amp;V_Detailed_Report!T$3,'PQ-Due Dates'!$M:$M,"&lt;="&amp;V_Detailed_Report!T$4)</f>
        <v>0</v>
      </c>
      <c r="U8" s="157">
        <f t="shared" si="1"/>
        <v>0</v>
      </c>
      <c r="V8" s="157">
        <f t="shared" si="2"/>
        <v>1325316</v>
      </c>
      <c r="W8" s="157">
        <f t="shared" si="3"/>
        <v>1325316</v>
      </c>
    </row>
    <row r="9" spans="1:23" x14ac:dyDescent="0.25">
      <c r="A9" s="162" t="s">
        <v>31</v>
      </c>
      <c r="B9" s="162" t="s">
        <v>19</v>
      </c>
      <c r="C9" s="162" t="s">
        <v>481</v>
      </c>
      <c r="D9" s="162" t="str">
        <f>VLOOKUP(C9,'M_LC Summary'!A:F,6,0)</f>
        <v>SAB</v>
      </c>
      <c r="E9" s="162" t="str">
        <f>VLOOKUP(C9,'M_LC Summary'!A:C,3,0)</f>
        <v>TRINDEL ARABIA LTD. CO</v>
      </c>
      <c r="F9" s="157">
        <f>VLOOKUP(C9,'M_LC Summary'!A:K,11,0)</f>
        <v>772046</v>
      </c>
      <c r="G9" s="157">
        <f>VLOOKUP(C9,'M_LC Summary'!A:L,12,0)</f>
        <v>0</v>
      </c>
      <c r="H9" s="157">
        <f t="shared" si="0"/>
        <v>772046</v>
      </c>
      <c r="I9" s="157">
        <f>SUMIFS('PQ-Due Dates'!$L:$L,'PQ-Due Dates'!$A:$A,V_Detailed_Report!$C9,'PQ-Due Dates'!$M:$M,"&gt;="&amp;V_Detailed_Report!I$3,'PQ-Due Dates'!$M:$M,"&lt;="&amp;V_Detailed_Report!I$4)</f>
        <v>0</v>
      </c>
      <c r="J9" s="157">
        <f>SUMIFS('PQ-Due Dates'!$L:$L,'PQ-Due Dates'!$A:$A,V_Detailed_Report!$C9,'PQ-Due Dates'!$M:$M,"&gt;="&amp;V_Detailed_Report!J$3,'PQ-Due Dates'!$M:$M,"&lt;="&amp;V_Detailed_Report!J$4)</f>
        <v>0</v>
      </c>
      <c r="K9" s="157">
        <f>SUMIFS('PQ-Due Dates'!$L:$L,'PQ-Due Dates'!$A:$A,V_Detailed_Report!$C9,'PQ-Due Dates'!$M:$M,"&gt;="&amp;V_Detailed_Report!K$3,'PQ-Due Dates'!$M:$M,"&lt;="&amp;V_Detailed_Report!K$4)</f>
        <v>0</v>
      </c>
      <c r="L9" s="157">
        <f>SUMIFS('PQ-Due Dates'!$L:$L,'PQ-Due Dates'!$A:$A,V_Detailed_Report!$C9,'PQ-Due Dates'!$M:$M,"&gt;="&amp;V_Detailed_Report!L$3,'PQ-Due Dates'!$M:$M,"&lt;="&amp;V_Detailed_Report!L$4)</f>
        <v>0</v>
      </c>
      <c r="M9" s="157">
        <f>SUMIFS('PQ-Due Dates'!$L:$L,'PQ-Due Dates'!$A:$A,V_Detailed_Report!$C9,'PQ-Due Dates'!$M:$M,"&gt;="&amp;V_Detailed_Report!M$3,'PQ-Due Dates'!$M:$M,"&lt;="&amp;V_Detailed_Report!M$4)</f>
        <v>0</v>
      </c>
      <c r="N9" s="157">
        <f>SUMIFS('PQ-Due Dates'!$L:$L,'PQ-Due Dates'!$A:$A,V_Detailed_Report!$C9,'PQ-Due Dates'!$M:$M,"&gt;="&amp;V_Detailed_Report!N$3,'PQ-Due Dates'!$M:$M,"&lt;="&amp;V_Detailed_Report!N$4)</f>
        <v>0</v>
      </c>
      <c r="O9" s="157">
        <f>SUMIFS('PQ-Due Dates'!$L:$L,'PQ-Due Dates'!$A:$A,V_Detailed_Report!$C9,'PQ-Due Dates'!$M:$M,"&gt;="&amp;V_Detailed_Report!O$3,'PQ-Due Dates'!$M:$M,"&lt;="&amp;V_Detailed_Report!O$4)</f>
        <v>0</v>
      </c>
      <c r="P9" s="157">
        <f>SUMIFS('PQ-Due Dates'!$L:$L,'PQ-Due Dates'!$A:$A,V_Detailed_Report!$C9,'PQ-Due Dates'!$M:$M,"&gt;="&amp;V_Detailed_Report!P$3,'PQ-Due Dates'!$M:$M,"&lt;="&amp;V_Detailed_Report!P$4)</f>
        <v>0</v>
      </c>
      <c r="Q9" s="157">
        <f>SUMIFS('PQ-Due Dates'!$L:$L,'PQ-Due Dates'!$A:$A,V_Detailed_Report!$C9,'PQ-Due Dates'!$M:$M,"&gt;="&amp;V_Detailed_Report!Q$3,'PQ-Due Dates'!$M:$M,"&lt;="&amp;V_Detailed_Report!Q$4)</f>
        <v>0</v>
      </c>
      <c r="R9" s="157">
        <f>SUMIFS('PQ-Due Dates'!$L:$L,'PQ-Due Dates'!$A:$A,V_Detailed_Report!$C9,'PQ-Due Dates'!$M:$M,"&gt;="&amp;V_Detailed_Report!R$3,'PQ-Due Dates'!$M:$M,"&lt;="&amp;V_Detailed_Report!R$4)</f>
        <v>0</v>
      </c>
      <c r="S9" s="157">
        <f>SUMIFS('PQ-Due Dates'!$L:$L,'PQ-Due Dates'!$A:$A,V_Detailed_Report!$C9,'PQ-Due Dates'!$M:$M,"&gt;="&amp;V_Detailed_Report!S$3,'PQ-Due Dates'!$M:$M,"&lt;="&amp;V_Detailed_Report!S$4)</f>
        <v>0</v>
      </c>
      <c r="T9" s="157">
        <f>SUMIFS('PQ-Due Dates'!$L:$L,'PQ-Due Dates'!$A:$A,V_Detailed_Report!$C9,'PQ-Due Dates'!$M:$M,"&gt;="&amp;V_Detailed_Report!T$3,'PQ-Due Dates'!$M:$M,"&lt;="&amp;V_Detailed_Report!T$4)</f>
        <v>0</v>
      </c>
      <c r="U9" s="157">
        <f t="shared" si="1"/>
        <v>0</v>
      </c>
      <c r="V9" s="157">
        <f t="shared" si="2"/>
        <v>772046</v>
      </c>
      <c r="W9" s="157">
        <f t="shared" si="3"/>
        <v>772046</v>
      </c>
    </row>
    <row r="10" spans="1:23" ht="15.75" thickBot="1" x14ac:dyDescent="0.3">
      <c r="A10" s="171" t="s">
        <v>31</v>
      </c>
      <c r="B10" s="171" t="s">
        <v>19</v>
      </c>
      <c r="C10" s="171" t="s">
        <v>563</v>
      </c>
      <c r="D10" s="171" t="str">
        <f>VLOOKUP(C10,'M_LC Summary'!A:F,6,0)</f>
        <v>SAB</v>
      </c>
      <c r="E10" s="171" t="str">
        <f>VLOOKUP(C10,'M_LC Summary'!A:C,3,0)</f>
        <v>AL RAMSAT CONTRACTING COMPANY</v>
      </c>
      <c r="F10" s="158">
        <f>VLOOKUP(C10,'M_LC Summary'!A:K,11,0)</f>
        <v>2000000</v>
      </c>
      <c r="G10" s="158">
        <f>VLOOKUP(C10,'M_LC Summary'!A:L,12,0)</f>
        <v>0</v>
      </c>
      <c r="H10" s="158">
        <f t="shared" si="0"/>
        <v>2000000</v>
      </c>
      <c r="I10" s="158">
        <f>SUMIFS('PQ-Due Dates'!$L:$L,'PQ-Due Dates'!$A:$A,V_Detailed_Report!$C10,'PQ-Due Dates'!$M:$M,"&gt;="&amp;V_Detailed_Report!I$3,'PQ-Due Dates'!$M:$M,"&lt;="&amp;V_Detailed_Report!I$4)</f>
        <v>0</v>
      </c>
      <c r="J10" s="158">
        <f>SUMIFS('PQ-Due Dates'!$L:$L,'PQ-Due Dates'!$A:$A,V_Detailed_Report!$C10,'PQ-Due Dates'!$M:$M,"&gt;="&amp;V_Detailed_Report!J$3,'PQ-Due Dates'!$M:$M,"&lt;="&amp;V_Detailed_Report!J$4)</f>
        <v>0</v>
      </c>
      <c r="K10" s="158">
        <f>SUMIFS('PQ-Due Dates'!$L:$L,'PQ-Due Dates'!$A:$A,V_Detailed_Report!$C10,'PQ-Due Dates'!$M:$M,"&gt;="&amp;V_Detailed_Report!K$3,'PQ-Due Dates'!$M:$M,"&lt;="&amp;V_Detailed_Report!K$4)</f>
        <v>0</v>
      </c>
      <c r="L10" s="158">
        <f>SUMIFS('PQ-Due Dates'!$L:$L,'PQ-Due Dates'!$A:$A,V_Detailed_Report!$C10,'PQ-Due Dates'!$M:$M,"&gt;="&amp;V_Detailed_Report!L$3,'PQ-Due Dates'!$M:$M,"&lt;="&amp;V_Detailed_Report!L$4)</f>
        <v>0</v>
      </c>
      <c r="M10" s="158">
        <f>SUMIFS('PQ-Due Dates'!$L:$L,'PQ-Due Dates'!$A:$A,V_Detailed_Report!$C10,'PQ-Due Dates'!$M:$M,"&gt;="&amp;V_Detailed_Report!M$3,'PQ-Due Dates'!$M:$M,"&lt;="&amp;V_Detailed_Report!M$4)</f>
        <v>0</v>
      </c>
      <c r="N10" s="158">
        <f>SUMIFS('PQ-Due Dates'!$L:$L,'PQ-Due Dates'!$A:$A,V_Detailed_Report!$C10,'PQ-Due Dates'!$M:$M,"&gt;="&amp;V_Detailed_Report!N$3,'PQ-Due Dates'!$M:$M,"&lt;="&amp;V_Detailed_Report!N$4)</f>
        <v>0</v>
      </c>
      <c r="O10" s="158">
        <f>SUMIFS('PQ-Due Dates'!$L:$L,'PQ-Due Dates'!$A:$A,V_Detailed_Report!$C10,'PQ-Due Dates'!$M:$M,"&gt;="&amp;V_Detailed_Report!O$3,'PQ-Due Dates'!$M:$M,"&lt;="&amp;V_Detailed_Report!O$4)</f>
        <v>0</v>
      </c>
      <c r="P10" s="158">
        <f>SUMIFS('PQ-Due Dates'!$L:$L,'PQ-Due Dates'!$A:$A,V_Detailed_Report!$C10,'PQ-Due Dates'!$M:$M,"&gt;="&amp;V_Detailed_Report!P$3,'PQ-Due Dates'!$M:$M,"&lt;="&amp;V_Detailed_Report!P$4)</f>
        <v>0</v>
      </c>
      <c r="Q10" s="158">
        <f>SUMIFS('PQ-Due Dates'!$L:$L,'PQ-Due Dates'!$A:$A,V_Detailed_Report!$C10,'PQ-Due Dates'!$M:$M,"&gt;="&amp;V_Detailed_Report!Q$3,'PQ-Due Dates'!$M:$M,"&lt;="&amp;V_Detailed_Report!Q$4)</f>
        <v>0</v>
      </c>
      <c r="R10" s="158">
        <f>SUMIFS('PQ-Due Dates'!$L:$L,'PQ-Due Dates'!$A:$A,V_Detailed_Report!$C10,'PQ-Due Dates'!$M:$M,"&gt;="&amp;V_Detailed_Report!R$3,'PQ-Due Dates'!$M:$M,"&lt;="&amp;V_Detailed_Report!R$4)</f>
        <v>0</v>
      </c>
      <c r="S10" s="158">
        <f>SUMIFS('PQ-Due Dates'!$L:$L,'PQ-Due Dates'!$A:$A,V_Detailed_Report!$C10,'PQ-Due Dates'!$M:$M,"&gt;="&amp;V_Detailed_Report!S$3,'PQ-Due Dates'!$M:$M,"&lt;="&amp;V_Detailed_Report!S$4)</f>
        <v>0</v>
      </c>
      <c r="T10" s="158">
        <f>SUMIFS('PQ-Due Dates'!$L:$L,'PQ-Due Dates'!$A:$A,V_Detailed_Report!$C10,'PQ-Due Dates'!$M:$M,"&gt;="&amp;V_Detailed_Report!T$3,'PQ-Due Dates'!$M:$M,"&lt;="&amp;V_Detailed_Report!T$4)</f>
        <v>0</v>
      </c>
      <c r="U10" s="158">
        <f t="shared" si="1"/>
        <v>0</v>
      </c>
      <c r="V10" s="158">
        <f t="shared" si="2"/>
        <v>2000000</v>
      </c>
      <c r="W10" s="158">
        <f t="shared" si="3"/>
        <v>2000000</v>
      </c>
    </row>
    <row r="11" spans="1:23" ht="15.75" thickBot="1" x14ac:dyDescent="0.3">
      <c r="A11" s="61"/>
      <c r="B11" s="60"/>
      <c r="C11" s="68" t="s">
        <v>31</v>
      </c>
      <c r="D11" s="68" t="s">
        <v>19</v>
      </c>
      <c r="E11" s="60" t="s">
        <v>93</v>
      </c>
      <c r="F11" s="64">
        <f>SUMIFS(F:F,$A:$A,$C$11,$B:$B,$11:$11 $D:$D)</f>
        <v>7574242</v>
      </c>
      <c r="G11" s="64">
        <f>SUMIFS(G:G,$A:$A,$C$11,$B:$B,$11:$11 $D:$D)</f>
        <v>1641337.5</v>
      </c>
      <c r="H11" s="64">
        <f>SUMIFS(H:H,$A:$A,$C$11,$B:$B,$11:$11 $D:$D)</f>
        <v>5932904.5</v>
      </c>
      <c r="I11" s="64">
        <f>SUMIFS(I:I,$A:$A,$C$11,$B:$B,$11:$11 $D:$D)</f>
        <v>902623.5</v>
      </c>
      <c r="J11" s="64">
        <f>SUMIFS(J:J,$A:$A,$C$11,$B:$B,$11:$11 $D:$D)</f>
        <v>0</v>
      </c>
      <c r="K11" s="64">
        <f>SUMIFS(K:K,$A:$A,$C$11,$B:$B,$11:$11 $D:$D)</f>
        <v>0</v>
      </c>
      <c r="L11" s="64">
        <f>SUMIFS(L:L,$A:$A,$C$11,$B:$B,$11:$11 $D:$D)</f>
        <v>0</v>
      </c>
      <c r="M11" s="64">
        <f>SUMIFS(M:M,$A:$A,$C$11,$B:$B,$11:$11 $D:$D)</f>
        <v>0</v>
      </c>
      <c r="N11" s="64">
        <f>SUMIFS(N:N,$A:$A,$C$11,$B:$B,$11:$11 $D:$D)</f>
        <v>0</v>
      </c>
      <c r="O11" s="64">
        <f>SUMIFS(O:O,$A:$A,$C$11,$B:$B,$11:$11 $D:$D)</f>
        <v>0</v>
      </c>
      <c r="P11" s="64">
        <f>SUMIFS(P:P,$A:$A,$C$11,$B:$B,$11:$11 $D:$D)</f>
        <v>0</v>
      </c>
      <c r="Q11" s="64">
        <f>SUMIFS(Q:Q,$A:$A,$C$11,$B:$B,$11:$11 $D:$D)</f>
        <v>0</v>
      </c>
      <c r="R11" s="64">
        <f>SUMIFS(R:R,$A:$A,$C$11,$B:$B,$11:$11 $D:$D)</f>
        <v>0</v>
      </c>
      <c r="S11" s="64">
        <f>SUMIFS(S:S,$A:$A,$C$11,$B:$B,$11:$11 $D:$D)</f>
        <v>0</v>
      </c>
      <c r="T11" s="64">
        <f>SUMIFS(T:T,$A:$A,$C$11,$B:$B,$11:$11 $D:$D)</f>
        <v>197064</v>
      </c>
      <c r="U11" s="64">
        <f>SUMIFS(U:U,$A:$A,$C$11,$B:$B,$11:$11 $D:$D)</f>
        <v>1099687.5</v>
      </c>
      <c r="V11" s="64">
        <f>SUMIFS(V:V,$A:$A,$C$11,$B:$B,$11:$11 $D:$D)</f>
        <v>4833217</v>
      </c>
      <c r="W11" s="65">
        <f>SUMIFS(W:W,$A:$A,$C$11,$B:$B,$11:$11 $D:$D)</f>
        <v>5932904.5</v>
      </c>
    </row>
    <row r="12" spans="1:23" x14ac:dyDescent="0.25">
      <c r="A12" s="173"/>
      <c r="B12" s="173"/>
      <c r="C12" s="173"/>
      <c r="D12" s="173"/>
      <c r="E12" s="173"/>
      <c r="F12" s="159"/>
      <c r="G12" s="159"/>
      <c r="H12" s="159"/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59"/>
      <c r="W12" s="159"/>
    </row>
    <row r="13" spans="1:23" x14ac:dyDescent="0.25">
      <c r="A13" s="162" t="s">
        <v>27</v>
      </c>
      <c r="B13" s="162" t="s">
        <v>19</v>
      </c>
      <c r="C13" s="162" t="s">
        <v>202</v>
      </c>
      <c r="D13" s="162" t="str">
        <f>VLOOKUP(C13,'M_LC Summary'!A:F,6,0)</f>
        <v>SAB</v>
      </c>
      <c r="E13" s="162" t="str">
        <f>VLOOKUP(C13,'M_LC Summary'!A:C,3,0)</f>
        <v>JAD AL RIYADH Trading Co. Ltd</v>
      </c>
      <c r="F13" s="157">
        <f>VLOOKUP(C13,'M_LC Summary'!A:K,11,0)</f>
        <v>1400000</v>
      </c>
      <c r="G13" s="157">
        <f>VLOOKUP(C13,'M_LC Summary'!A:L,12,0)</f>
        <v>1385426.0200000003</v>
      </c>
      <c r="H13" s="157">
        <f t="shared" si="0"/>
        <v>14573.979999999749</v>
      </c>
      <c r="I13" s="157">
        <f>SUMIFS('PQ-Due Dates'!$L:$L,'PQ-Due Dates'!$A:$A,V_Detailed_Report!$C13,'PQ-Due Dates'!$M:$M,"&gt;="&amp;V_Detailed_Report!I$3,'PQ-Due Dates'!$M:$M,"&lt;="&amp;V_Detailed_Report!I$4)</f>
        <v>0</v>
      </c>
      <c r="J13" s="157">
        <f>SUMIFS('PQ-Due Dates'!$L:$L,'PQ-Due Dates'!$A:$A,V_Detailed_Report!$C13,'PQ-Due Dates'!$M:$M,"&gt;="&amp;V_Detailed_Report!J$3,'PQ-Due Dates'!$M:$M,"&lt;="&amp;V_Detailed_Report!J$4)</f>
        <v>0</v>
      </c>
      <c r="K13" s="157">
        <f>SUMIFS('PQ-Due Dates'!$L:$L,'PQ-Due Dates'!$A:$A,V_Detailed_Report!$C13,'PQ-Due Dates'!$M:$M,"&gt;="&amp;V_Detailed_Report!K$3,'PQ-Due Dates'!$M:$M,"&lt;="&amp;V_Detailed_Report!K$4)</f>
        <v>0</v>
      </c>
      <c r="L13" s="157">
        <f>SUMIFS('PQ-Due Dates'!$L:$L,'PQ-Due Dates'!$A:$A,V_Detailed_Report!$C13,'PQ-Due Dates'!$M:$M,"&gt;="&amp;V_Detailed_Report!L$3,'PQ-Due Dates'!$M:$M,"&lt;="&amp;V_Detailed_Report!L$4)</f>
        <v>0</v>
      </c>
      <c r="M13" s="157">
        <f>SUMIFS('PQ-Due Dates'!$L:$L,'PQ-Due Dates'!$A:$A,V_Detailed_Report!$C13,'PQ-Due Dates'!$M:$M,"&gt;="&amp;V_Detailed_Report!M$3,'PQ-Due Dates'!$M:$M,"&lt;="&amp;V_Detailed_Report!M$4)</f>
        <v>0</v>
      </c>
      <c r="N13" s="157">
        <f>SUMIFS('PQ-Due Dates'!$L:$L,'PQ-Due Dates'!$A:$A,V_Detailed_Report!$C13,'PQ-Due Dates'!$M:$M,"&gt;="&amp;V_Detailed_Report!N$3,'PQ-Due Dates'!$M:$M,"&lt;="&amp;V_Detailed_Report!N$4)</f>
        <v>0</v>
      </c>
      <c r="O13" s="157">
        <f>SUMIFS('PQ-Due Dates'!$L:$L,'PQ-Due Dates'!$A:$A,V_Detailed_Report!$C13,'PQ-Due Dates'!$M:$M,"&gt;="&amp;V_Detailed_Report!O$3,'PQ-Due Dates'!$M:$M,"&lt;="&amp;V_Detailed_Report!O$4)</f>
        <v>0</v>
      </c>
      <c r="P13" s="157">
        <f>SUMIFS('PQ-Due Dates'!$L:$L,'PQ-Due Dates'!$A:$A,V_Detailed_Report!$C13,'PQ-Due Dates'!$M:$M,"&gt;="&amp;V_Detailed_Report!P$3,'PQ-Due Dates'!$M:$M,"&lt;="&amp;V_Detailed_Report!P$4)</f>
        <v>0</v>
      </c>
      <c r="Q13" s="157">
        <f>SUMIFS('PQ-Due Dates'!$L:$L,'PQ-Due Dates'!$A:$A,V_Detailed_Report!$C13,'PQ-Due Dates'!$M:$M,"&gt;="&amp;V_Detailed_Report!Q$3,'PQ-Due Dates'!$M:$M,"&lt;="&amp;V_Detailed_Report!Q$4)</f>
        <v>0</v>
      </c>
      <c r="R13" s="157">
        <f>SUMIFS('PQ-Due Dates'!$L:$L,'PQ-Due Dates'!$A:$A,V_Detailed_Report!$C13,'PQ-Due Dates'!$M:$M,"&gt;="&amp;V_Detailed_Report!R$3,'PQ-Due Dates'!$M:$M,"&lt;="&amp;V_Detailed_Report!R$4)</f>
        <v>0</v>
      </c>
      <c r="S13" s="157">
        <f>SUMIFS('PQ-Due Dates'!$L:$L,'PQ-Due Dates'!$A:$A,V_Detailed_Report!$C13,'PQ-Due Dates'!$M:$M,"&gt;="&amp;V_Detailed_Report!S$3,'PQ-Due Dates'!$M:$M,"&lt;="&amp;V_Detailed_Report!S$4)</f>
        <v>0</v>
      </c>
      <c r="T13" s="157">
        <f>SUMIFS('PQ-Due Dates'!$L:$L,'PQ-Due Dates'!$A:$A,V_Detailed_Report!$C13,'PQ-Due Dates'!$M:$M,"&gt;="&amp;V_Detailed_Report!T$3,'PQ-Due Dates'!$M:$M,"&lt;="&amp;V_Detailed_Report!T$4)</f>
        <v>0</v>
      </c>
      <c r="U13" s="157">
        <f t="shared" si="1"/>
        <v>0</v>
      </c>
      <c r="V13" s="157">
        <f t="shared" si="2"/>
        <v>14573.979999999749</v>
      </c>
      <c r="W13" s="157">
        <f t="shared" si="3"/>
        <v>14573.979999999749</v>
      </c>
    </row>
    <row r="14" spans="1:23" x14ac:dyDescent="0.25">
      <c r="A14" s="162" t="s">
        <v>27</v>
      </c>
      <c r="B14" s="162" t="s">
        <v>19</v>
      </c>
      <c r="C14" s="162" t="s">
        <v>207</v>
      </c>
      <c r="D14" s="162" t="str">
        <f>VLOOKUP(C14,'M_LC Summary'!A:F,6,0)</f>
        <v>SAB</v>
      </c>
      <c r="E14" s="162" t="str">
        <f>VLOOKUP(C14,'M_LC Summary'!A:C,3,0)</f>
        <v>Alshrkt Mzaya Almttwrt Alsnaayt shkhs Wahd</v>
      </c>
      <c r="F14" s="157">
        <f>VLOOKUP(C14,'M_LC Summary'!A:K,11,0)</f>
        <v>500000</v>
      </c>
      <c r="G14" s="157">
        <f>VLOOKUP(C14,'M_LC Summary'!A:L,12,0)</f>
        <v>98871.6</v>
      </c>
      <c r="H14" s="157">
        <f t="shared" si="0"/>
        <v>401128.4</v>
      </c>
      <c r="I14" s="157">
        <f>SUMIFS('PQ-Due Dates'!$L:$L,'PQ-Due Dates'!$A:$A,V_Detailed_Report!$C14,'PQ-Due Dates'!$M:$M,"&gt;="&amp;V_Detailed_Report!I$3,'PQ-Due Dates'!$M:$M,"&lt;="&amp;V_Detailed_Report!I$4)</f>
        <v>0</v>
      </c>
      <c r="J14" s="157">
        <f>SUMIFS('PQ-Due Dates'!$L:$L,'PQ-Due Dates'!$A:$A,V_Detailed_Report!$C14,'PQ-Due Dates'!$M:$M,"&gt;="&amp;V_Detailed_Report!J$3,'PQ-Due Dates'!$M:$M,"&lt;="&amp;V_Detailed_Report!J$4)</f>
        <v>0</v>
      </c>
      <c r="K14" s="157">
        <f>SUMIFS('PQ-Due Dates'!$L:$L,'PQ-Due Dates'!$A:$A,V_Detailed_Report!$C14,'PQ-Due Dates'!$M:$M,"&gt;="&amp;V_Detailed_Report!K$3,'PQ-Due Dates'!$M:$M,"&lt;="&amp;V_Detailed_Report!K$4)</f>
        <v>0</v>
      </c>
      <c r="L14" s="157">
        <f>SUMIFS('PQ-Due Dates'!$L:$L,'PQ-Due Dates'!$A:$A,V_Detailed_Report!$C14,'PQ-Due Dates'!$M:$M,"&gt;="&amp;V_Detailed_Report!L$3,'PQ-Due Dates'!$M:$M,"&lt;="&amp;V_Detailed_Report!L$4)</f>
        <v>0</v>
      </c>
      <c r="M14" s="157">
        <f>SUMIFS('PQ-Due Dates'!$L:$L,'PQ-Due Dates'!$A:$A,V_Detailed_Report!$C14,'PQ-Due Dates'!$M:$M,"&gt;="&amp;V_Detailed_Report!M$3,'PQ-Due Dates'!$M:$M,"&lt;="&amp;V_Detailed_Report!M$4)</f>
        <v>0</v>
      </c>
      <c r="N14" s="157">
        <f>SUMIFS('PQ-Due Dates'!$L:$L,'PQ-Due Dates'!$A:$A,V_Detailed_Report!$C14,'PQ-Due Dates'!$M:$M,"&gt;="&amp;V_Detailed_Report!N$3,'PQ-Due Dates'!$M:$M,"&lt;="&amp;V_Detailed_Report!N$4)</f>
        <v>0</v>
      </c>
      <c r="O14" s="157">
        <f>SUMIFS('PQ-Due Dates'!$L:$L,'PQ-Due Dates'!$A:$A,V_Detailed_Report!$C14,'PQ-Due Dates'!$M:$M,"&gt;="&amp;V_Detailed_Report!O$3,'PQ-Due Dates'!$M:$M,"&lt;="&amp;V_Detailed_Report!O$4)</f>
        <v>0</v>
      </c>
      <c r="P14" s="157">
        <f>SUMIFS('PQ-Due Dates'!$L:$L,'PQ-Due Dates'!$A:$A,V_Detailed_Report!$C14,'PQ-Due Dates'!$M:$M,"&gt;="&amp;V_Detailed_Report!P$3,'PQ-Due Dates'!$M:$M,"&lt;="&amp;V_Detailed_Report!P$4)</f>
        <v>0</v>
      </c>
      <c r="Q14" s="157">
        <f>SUMIFS('PQ-Due Dates'!$L:$L,'PQ-Due Dates'!$A:$A,V_Detailed_Report!$C14,'PQ-Due Dates'!$M:$M,"&gt;="&amp;V_Detailed_Report!Q$3,'PQ-Due Dates'!$M:$M,"&lt;="&amp;V_Detailed_Report!Q$4)</f>
        <v>0</v>
      </c>
      <c r="R14" s="157">
        <f>SUMIFS('PQ-Due Dates'!$L:$L,'PQ-Due Dates'!$A:$A,V_Detailed_Report!$C14,'PQ-Due Dates'!$M:$M,"&gt;="&amp;V_Detailed_Report!R$3,'PQ-Due Dates'!$M:$M,"&lt;="&amp;V_Detailed_Report!R$4)</f>
        <v>0</v>
      </c>
      <c r="S14" s="157">
        <f>SUMIFS('PQ-Due Dates'!$L:$L,'PQ-Due Dates'!$A:$A,V_Detailed_Report!$C14,'PQ-Due Dates'!$M:$M,"&gt;="&amp;V_Detailed_Report!S$3,'PQ-Due Dates'!$M:$M,"&lt;="&amp;V_Detailed_Report!S$4)</f>
        <v>0</v>
      </c>
      <c r="T14" s="157">
        <f>SUMIFS('PQ-Due Dates'!$L:$L,'PQ-Due Dates'!$A:$A,V_Detailed_Report!$C14,'PQ-Due Dates'!$M:$M,"&gt;="&amp;V_Detailed_Report!T$3,'PQ-Due Dates'!$M:$M,"&lt;="&amp;V_Detailed_Report!T$4)</f>
        <v>0</v>
      </c>
      <c r="U14" s="157">
        <f t="shared" si="1"/>
        <v>0</v>
      </c>
      <c r="V14" s="157">
        <f t="shared" si="2"/>
        <v>401128.4</v>
      </c>
      <c r="W14" s="157">
        <f t="shared" si="3"/>
        <v>401128.4</v>
      </c>
    </row>
    <row r="15" spans="1:23" x14ac:dyDescent="0.25">
      <c r="A15" s="162" t="s">
        <v>27</v>
      </c>
      <c r="B15" s="162" t="s">
        <v>19</v>
      </c>
      <c r="C15" s="162" t="s">
        <v>208</v>
      </c>
      <c r="D15" s="162" t="str">
        <f>VLOOKUP(C15,'M_LC Summary'!A:F,6,0)</f>
        <v>SAB</v>
      </c>
      <c r="E15" s="162" t="str">
        <f>VLOOKUP(C15,'M_LC Summary'!A:C,3,0)</f>
        <v>EVOLVING CONSTELLATION CO. FOR ENERGY</v>
      </c>
      <c r="F15" s="157">
        <f>VLOOKUP(C15,'M_LC Summary'!A:K,11,0)</f>
        <v>550000.15</v>
      </c>
      <c r="G15" s="157">
        <f>VLOOKUP(C15,'M_LC Summary'!A:L,12,0)</f>
        <v>482497.13</v>
      </c>
      <c r="H15" s="157">
        <f t="shared" si="0"/>
        <v>67503.020000000019</v>
      </c>
      <c r="I15" s="157">
        <f>SUMIFS('PQ-Due Dates'!$L:$L,'PQ-Due Dates'!$A:$A,V_Detailed_Report!$C15,'PQ-Due Dates'!$M:$M,"&gt;="&amp;V_Detailed_Report!I$3,'PQ-Due Dates'!$M:$M,"&lt;="&amp;V_Detailed_Report!I$4)</f>
        <v>0</v>
      </c>
      <c r="J15" s="157">
        <f>SUMIFS('PQ-Due Dates'!$L:$L,'PQ-Due Dates'!$A:$A,V_Detailed_Report!$C15,'PQ-Due Dates'!$M:$M,"&gt;="&amp;V_Detailed_Report!J$3,'PQ-Due Dates'!$M:$M,"&lt;="&amp;V_Detailed_Report!J$4)</f>
        <v>0</v>
      </c>
      <c r="K15" s="157">
        <f>SUMIFS('PQ-Due Dates'!$L:$L,'PQ-Due Dates'!$A:$A,V_Detailed_Report!$C15,'PQ-Due Dates'!$M:$M,"&gt;="&amp;V_Detailed_Report!K$3,'PQ-Due Dates'!$M:$M,"&lt;="&amp;V_Detailed_Report!K$4)</f>
        <v>0</v>
      </c>
      <c r="L15" s="157">
        <f>SUMIFS('PQ-Due Dates'!$L:$L,'PQ-Due Dates'!$A:$A,V_Detailed_Report!$C15,'PQ-Due Dates'!$M:$M,"&gt;="&amp;V_Detailed_Report!L$3,'PQ-Due Dates'!$M:$M,"&lt;="&amp;V_Detailed_Report!L$4)</f>
        <v>0</v>
      </c>
      <c r="M15" s="157">
        <f>SUMIFS('PQ-Due Dates'!$L:$L,'PQ-Due Dates'!$A:$A,V_Detailed_Report!$C15,'PQ-Due Dates'!$M:$M,"&gt;="&amp;V_Detailed_Report!M$3,'PQ-Due Dates'!$M:$M,"&lt;="&amp;V_Detailed_Report!M$4)</f>
        <v>0</v>
      </c>
      <c r="N15" s="157">
        <f>SUMIFS('PQ-Due Dates'!$L:$L,'PQ-Due Dates'!$A:$A,V_Detailed_Report!$C15,'PQ-Due Dates'!$M:$M,"&gt;="&amp;V_Detailed_Report!N$3,'PQ-Due Dates'!$M:$M,"&lt;="&amp;V_Detailed_Report!N$4)</f>
        <v>0</v>
      </c>
      <c r="O15" s="157">
        <f>SUMIFS('PQ-Due Dates'!$L:$L,'PQ-Due Dates'!$A:$A,V_Detailed_Report!$C15,'PQ-Due Dates'!$M:$M,"&gt;="&amp;V_Detailed_Report!O$3,'PQ-Due Dates'!$M:$M,"&lt;="&amp;V_Detailed_Report!O$4)</f>
        <v>0</v>
      </c>
      <c r="P15" s="157">
        <f>SUMIFS('PQ-Due Dates'!$L:$L,'PQ-Due Dates'!$A:$A,V_Detailed_Report!$C15,'PQ-Due Dates'!$M:$M,"&gt;="&amp;V_Detailed_Report!P$3,'PQ-Due Dates'!$M:$M,"&lt;="&amp;V_Detailed_Report!P$4)</f>
        <v>0</v>
      </c>
      <c r="Q15" s="157">
        <f>SUMIFS('PQ-Due Dates'!$L:$L,'PQ-Due Dates'!$A:$A,V_Detailed_Report!$C15,'PQ-Due Dates'!$M:$M,"&gt;="&amp;V_Detailed_Report!Q$3,'PQ-Due Dates'!$M:$M,"&lt;="&amp;V_Detailed_Report!Q$4)</f>
        <v>0</v>
      </c>
      <c r="R15" s="157">
        <f>SUMIFS('PQ-Due Dates'!$L:$L,'PQ-Due Dates'!$A:$A,V_Detailed_Report!$C15,'PQ-Due Dates'!$M:$M,"&gt;="&amp;V_Detailed_Report!R$3,'PQ-Due Dates'!$M:$M,"&lt;="&amp;V_Detailed_Report!R$4)</f>
        <v>0</v>
      </c>
      <c r="S15" s="157">
        <f>SUMIFS('PQ-Due Dates'!$L:$L,'PQ-Due Dates'!$A:$A,V_Detailed_Report!$C15,'PQ-Due Dates'!$M:$M,"&gt;="&amp;V_Detailed_Report!S$3,'PQ-Due Dates'!$M:$M,"&lt;="&amp;V_Detailed_Report!S$4)</f>
        <v>0</v>
      </c>
      <c r="T15" s="157">
        <f>SUMIFS('PQ-Due Dates'!$L:$L,'PQ-Due Dates'!$A:$A,V_Detailed_Report!$C15,'PQ-Due Dates'!$M:$M,"&gt;="&amp;V_Detailed_Report!T$3,'PQ-Due Dates'!$M:$M,"&lt;="&amp;V_Detailed_Report!T$4)</f>
        <v>0</v>
      </c>
      <c r="U15" s="157">
        <f t="shared" si="1"/>
        <v>0</v>
      </c>
      <c r="V15" s="157">
        <f t="shared" si="2"/>
        <v>67503.020000000019</v>
      </c>
      <c r="W15" s="157">
        <f t="shared" si="3"/>
        <v>67503.020000000019</v>
      </c>
    </row>
    <row r="16" spans="1:23" x14ac:dyDescent="0.25">
      <c r="A16" s="162" t="s">
        <v>27</v>
      </c>
      <c r="B16" s="162" t="s">
        <v>19</v>
      </c>
      <c r="C16" s="162" t="s">
        <v>320</v>
      </c>
      <c r="D16" s="162" t="str">
        <f>VLOOKUP(C16,'M_LC Summary'!A:F,6,0)</f>
        <v>SAB</v>
      </c>
      <c r="E16" s="162" t="str">
        <f>VLOOKUP(C16,'M_LC Summary'!A:C,3,0)</f>
        <v>AlJammaz Hydrotek</v>
      </c>
      <c r="F16" s="157">
        <f>VLOOKUP(C16,'M_LC Summary'!A:K,11,0)</f>
        <v>1269458.03</v>
      </c>
      <c r="G16" s="157">
        <f>VLOOKUP(C16,'M_LC Summary'!A:L,12,0)</f>
        <v>0</v>
      </c>
      <c r="H16" s="157">
        <f t="shared" si="0"/>
        <v>1269458.03</v>
      </c>
      <c r="I16" s="157">
        <f>SUMIFS('PQ-Due Dates'!$L:$L,'PQ-Due Dates'!$A:$A,V_Detailed_Report!$C16,'PQ-Due Dates'!$M:$M,"&gt;="&amp;V_Detailed_Report!I$3,'PQ-Due Dates'!$M:$M,"&lt;="&amp;V_Detailed_Report!I$4)</f>
        <v>0</v>
      </c>
      <c r="J16" s="157">
        <f>SUMIFS('PQ-Due Dates'!$L:$L,'PQ-Due Dates'!$A:$A,V_Detailed_Report!$C16,'PQ-Due Dates'!$M:$M,"&gt;="&amp;V_Detailed_Report!J$3,'PQ-Due Dates'!$M:$M,"&lt;="&amp;V_Detailed_Report!J$4)</f>
        <v>0</v>
      </c>
      <c r="K16" s="157">
        <f>SUMIFS('PQ-Due Dates'!$L:$L,'PQ-Due Dates'!$A:$A,V_Detailed_Report!$C16,'PQ-Due Dates'!$M:$M,"&gt;="&amp;V_Detailed_Report!K$3,'PQ-Due Dates'!$M:$M,"&lt;="&amp;V_Detailed_Report!K$4)</f>
        <v>0</v>
      </c>
      <c r="L16" s="157">
        <f>SUMIFS('PQ-Due Dates'!$L:$L,'PQ-Due Dates'!$A:$A,V_Detailed_Report!$C16,'PQ-Due Dates'!$M:$M,"&gt;="&amp;V_Detailed_Report!L$3,'PQ-Due Dates'!$M:$M,"&lt;="&amp;V_Detailed_Report!L$4)</f>
        <v>0</v>
      </c>
      <c r="M16" s="157">
        <f>SUMIFS('PQ-Due Dates'!$L:$L,'PQ-Due Dates'!$A:$A,V_Detailed_Report!$C16,'PQ-Due Dates'!$M:$M,"&gt;="&amp;V_Detailed_Report!M$3,'PQ-Due Dates'!$M:$M,"&lt;="&amp;V_Detailed_Report!M$4)</f>
        <v>0</v>
      </c>
      <c r="N16" s="157">
        <f>SUMIFS('PQ-Due Dates'!$L:$L,'PQ-Due Dates'!$A:$A,V_Detailed_Report!$C16,'PQ-Due Dates'!$M:$M,"&gt;="&amp;V_Detailed_Report!N$3,'PQ-Due Dates'!$M:$M,"&lt;="&amp;V_Detailed_Report!N$4)</f>
        <v>0</v>
      </c>
      <c r="O16" s="157">
        <f>SUMIFS('PQ-Due Dates'!$L:$L,'PQ-Due Dates'!$A:$A,V_Detailed_Report!$C16,'PQ-Due Dates'!$M:$M,"&gt;="&amp;V_Detailed_Report!O$3,'PQ-Due Dates'!$M:$M,"&lt;="&amp;V_Detailed_Report!O$4)</f>
        <v>0</v>
      </c>
      <c r="P16" s="157">
        <f>SUMIFS('PQ-Due Dates'!$L:$L,'PQ-Due Dates'!$A:$A,V_Detailed_Report!$C16,'PQ-Due Dates'!$M:$M,"&gt;="&amp;V_Detailed_Report!P$3,'PQ-Due Dates'!$M:$M,"&lt;="&amp;V_Detailed_Report!P$4)</f>
        <v>0</v>
      </c>
      <c r="Q16" s="157">
        <f>SUMIFS('PQ-Due Dates'!$L:$L,'PQ-Due Dates'!$A:$A,V_Detailed_Report!$C16,'PQ-Due Dates'!$M:$M,"&gt;="&amp;V_Detailed_Report!Q$3,'PQ-Due Dates'!$M:$M,"&lt;="&amp;V_Detailed_Report!Q$4)</f>
        <v>0</v>
      </c>
      <c r="R16" s="157">
        <f>SUMIFS('PQ-Due Dates'!$L:$L,'PQ-Due Dates'!$A:$A,V_Detailed_Report!$C16,'PQ-Due Dates'!$M:$M,"&gt;="&amp;V_Detailed_Report!R$3,'PQ-Due Dates'!$M:$M,"&lt;="&amp;V_Detailed_Report!R$4)</f>
        <v>0</v>
      </c>
      <c r="S16" s="157">
        <f>SUMIFS('PQ-Due Dates'!$L:$L,'PQ-Due Dates'!$A:$A,V_Detailed_Report!$C16,'PQ-Due Dates'!$M:$M,"&gt;="&amp;V_Detailed_Report!S$3,'PQ-Due Dates'!$M:$M,"&lt;="&amp;V_Detailed_Report!S$4)</f>
        <v>0</v>
      </c>
      <c r="T16" s="157">
        <f>SUMIFS('PQ-Due Dates'!$L:$L,'PQ-Due Dates'!$A:$A,V_Detailed_Report!$C16,'PQ-Due Dates'!$M:$M,"&gt;="&amp;V_Detailed_Report!T$3,'PQ-Due Dates'!$M:$M,"&lt;="&amp;V_Detailed_Report!T$4)</f>
        <v>0</v>
      </c>
      <c r="U16" s="157">
        <f t="shared" si="1"/>
        <v>0</v>
      </c>
      <c r="V16" s="157">
        <f t="shared" si="2"/>
        <v>1269458.03</v>
      </c>
      <c r="W16" s="157">
        <f t="shared" si="3"/>
        <v>1269458.03</v>
      </c>
    </row>
    <row r="17" spans="1:23" x14ac:dyDescent="0.25">
      <c r="A17" s="162" t="s">
        <v>27</v>
      </c>
      <c r="B17" s="162" t="s">
        <v>19</v>
      </c>
      <c r="C17" s="162" t="s">
        <v>371</v>
      </c>
      <c r="D17" s="162" t="str">
        <f>VLOOKUP(C17,'M_LC Summary'!A:F,6,0)</f>
        <v>Jazira</v>
      </c>
      <c r="E17" s="162" t="str">
        <f>VLOOKUP(C17,'M_LC Summary'!A:C,3,0)</f>
        <v>The Fundamental Installation For Electric Work Co</v>
      </c>
      <c r="F17" s="157">
        <f>VLOOKUP(C17,'M_LC Summary'!A:K,11,0)</f>
        <v>67000000</v>
      </c>
      <c r="G17" s="157">
        <f>VLOOKUP(C17,'M_LC Summary'!A:L,12,0)</f>
        <v>25000000</v>
      </c>
      <c r="H17" s="157">
        <f t="shared" si="0"/>
        <v>42000000</v>
      </c>
      <c r="I17" s="157">
        <f>SUMIFS('PQ-Due Dates'!$L:$L,'PQ-Due Dates'!$A:$A,V_Detailed_Report!$C17,'PQ-Due Dates'!$M:$M,"&gt;="&amp;V_Detailed_Report!I$3,'PQ-Due Dates'!$M:$M,"&lt;="&amp;V_Detailed_Report!I$4)</f>
        <v>0</v>
      </c>
      <c r="J17" s="157">
        <f>SUMIFS('PQ-Due Dates'!$L:$L,'PQ-Due Dates'!$A:$A,V_Detailed_Report!$C17,'PQ-Due Dates'!$M:$M,"&gt;="&amp;V_Detailed_Report!J$3,'PQ-Due Dates'!$M:$M,"&lt;="&amp;V_Detailed_Report!J$4)</f>
        <v>42000000</v>
      </c>
      <c r="K17" s="157">
        <f>SUMIFS('PQ-Due Dates'!$L:$L,'PQ-Due Dates'!$A:$A,V_Detailed_Report!$C17,'PQ-Due Dates'!$M:$M,"&gt;="&amp;V_Detailed_Report!K$3,'PQ-Due Dates'!$M:$M,"&lt;="&amp;V_Detailed_Report!K$4)</f>
        <v>0</v>
      </c>
      <c r="L17" s="157">
        <f>SUMIFS('PQ-Due Dates'!$L:$L,'PQ-Due Dates'!$A:$A,V_Detailed_Report!$C17,'PQ-Due Dates'!$M:$M,"&gt;="&amp;V_Detailed_Report!L$3,'PQ-Due Dates'!$M:$M,"&lt;="&amp;V_Detailed_Report!L$4)</f>
        <v>0</v>
      </c>
      <c r="M17" s="157">
        <f>SUMIFS('PQ-Due Dates'!$L:$L,'PQ-Due Dates'!$A:$A,V_Detailed_Report!$C17,'PQ-Due Dates'!$M:$M,"&gt;="&amp;V_Detailed_Report!M$3,'PQ-Due Dates'!$M:$M,"&lt;="&amp;V_Detailed_Report!M$4)</f>
        <v>0</v>
      </c>
      <c r="N17" s="157">
        <f>SUMIFS('PQ-Due Dates'!$L:$L,'PQ-Due Dates'!$A:$A,V_Detailed_Report!$C17,'PQ-Due Dates'!$M:$M,"&gt;="&amp;V_Detailed_Report!N$3,'PQ-Due Dates'!$M:$M,"&lt;="&amp;V_Detailed_Report!N$4)</f>
        <v>0</v>
      </c>
      <c r="O17" s="157">
        <f>SUMIFS('PQ-Due Dates'!$L:$L,'PQ-Due Dates'!$A:$A,V_Detailed_Report!$C17,'PQ-Due Dates'!$M:$M,"&gt;="&amp;V_Detailed_Report!O$3,'PQ-Due Dates'!$M:$M,"&lt;="&amp;V_Detailed_Report!O$4)</f>
        <v>0</v>
      </c>
      <c r="P17" s="157">
        <f>SUMIFS('PQ-Due Dates'!$L:$L,'PQ-Due Dates'!$A:$A,V_Detailed_Report!$C17,'PQ-Due Dates'!$M:$M,"&gt;="&amp;V_Detailed_Report!P$3,'PQ-Due Dates'!$M:$M,"&lt;="&amp;V_Detailed_Report!P$4)</f>
        <v>0</v>
      </c>
      <c r="Q17" s="157">
        <f>SUMIFS('PQ-Due Dates'!$L:$L,'PQ-Due Dates'!$A:$A,V_Detailed_Report!$C17,'PQ-Due Dates'!$M:$M,"&gt;="&amp;V_Detailed_Report!Q$3,'PQ-Due Dates'!$M:$M,"&lt;="&amp;V_Detailed_Report!Q$4)</f>
        <v>0</v>
      </c>
      <c r="R17" s="157">
        <f>SUMIFS('PQ-Due Dates'!$L:$L,'PQ-Due Dates'!$A:$A,V_Detailed_Report!$C17,'PQ-Due Dates'!$M:$M,"&gt;="&amp;V_Detailed_Report!R$3,'PQ-Due Dates'!$M:$M,"&lt;="&amp;V_Detailed_Report!R$4)</f>
        <v>0</v>
      </c>
      <c r="S17" s="157">
        <f>SUMIFS('PQ-Due Dates'!$L:$L,'PQ-Due Dates'!$A:$A,V_Detailed_Report!$C17,'PQ-Due Dates'!$M:$M,"&gt;="&amp;V_Detailed_Report!S$3,'PQ-Due Dates'!$M:$M,"&lt;="&amp;V_Detailed_Report!S$4)</f>
        <v>0</v>
      </c>
      <c r="T17" s="157">
        <f>SUMIFS('PQ-Due Dates'!$L:$L,'PQ-Due Dates'!$A:$A,V_Detailed_Report!$C17,'PQ-Due Dates'!$M:$M,"&gt;="&amp;V_Detailed_Report!T$3,'PQ-Due Dates'!$M:$M,"&lt;="&amp;V_Detailed_Report!T$4)</f>
        <v>0</v>
      </c>
      <c r="U17" s="157">
        <f t="shared" si="1"/>
        <v>42000000</v>
      </c>
      <c r="V17" s="157">
        <f t="shared" si="2"/>
        <v>0</v>
      </c>
      <c r="W17" s="157">
        <f t="shared" si="3"/>
        <v>42000000</v>
      </c>
    </row>
    <row r="18" spans="1:23" x14ac:dyDescent="0.25">
      <c r="A18" s="162" t="s">
        <v>27</v>
      </c>
      <c r="B18" s="162" t="s">
        <v>19</v>
      </c>
      <c r="C18" s="162" t="s">
        <v>376</v>
      </c>
      <c r="D18" s="162" t="str">
        <f>VLOOKUP(C18,'M_LC Summary'!A:F,6,0)</f>
        <v>SAB</v>
      </c>
      <c r="E18" s="162" t="str">
        <f>VLOOKUP(C18,'M_LC Summary'!A:C,3,0)</f>
        <v>Innovative Contractors for Advanced Dimension (ICAD)</v>
      </c>
      <c r="F18" s="157">
        <f>VLOOKUP(C18,'M_LC Summary'!A:K,11,0)</f>
        <v>10000000</v>
      </c>
      <c r="G18" s="157">
        <f>VLOOKUP(C18,'M_LC Summary'!A:L,12,0)</f>
        <v>0</v>
      </c>
      <c r="H18" s="157">
        <f t="shared" si="0"/>
        <v>10000000</v>
      </c>
      <c r="I18" s="157">
        <f>SUMIFS('PQ-Due Dates'!$L:$L,'PQ-Due Dates'!$A:$A,V_Detailed_Report!$C18,'PQ-Due Dates'!$M:$M,"&gt;="&amp;V_Detailed_Report!I$3,'PQ-Due Dates'!$M:$M,"&lt;="&amp;V_Detailed_Report!I$4)</f>
        <v>0</v>
      </c>
      <c r="J18" s="157">
        <f>SUMIFS('PQ-Due Dates'!$L:$L,'PQ-Due Dates'!$A:$A,V_Detailed_Report!$C18,'PQ-Due Dates'!$M:$M,"&gt;="&amp;V_Detailed_Report!J$3,'PQ-Due Dates'!$M:$M,"&lt;="&amp;V_Detailed_Report!J$4)</f>
        <v>0</v>
      </c>
      <c r="K18" s="157">
        <f>SUMIFS('PQ-Due Dates'!$L:$L,'PQ-Due Dates'!$A:$A,V_Detailed_Report!$C18,'PQ-Due Dates'!$M:$M,"&gt;="&amp;V_Detailed_Report!K$3,'PQ-Due Dates'!$M:$M,"&lt;="&amp;V_Detailed_Report!K$4)</f>
        <v>0</v>
      </c>
      <c r="L18" s="157">
        <f>SUMIFS('PQ-Due Dates'!$L:$L,'PQ-Due Dates'!$A:$A,V_Detailed_Report!$C18,'PQ-Due Dates'!$M:$M,"&gt;="&amp;V_Detailed_Report!L$3,'PQ-Due Dates'!$M:$M,"&lt;="&amp;V_Detailed_Report!L$4)</f>
        <v>0</v>
      </c>
      <c r="M18" s="157">
        <f>SUMIFS('PQ-Due Dates'!$L:$L,'PQ-Due Dates'!$A:$A,V_Detailed_Report!$C18,'PQ-Due Dates'!$M:$M,"&gt;="&amp;V_Detailed_Report!M$3,'PQ-Due Dates'!$M:$M,"&lt;="&amp;V_Detailed_Report!M$4)</f>
        <v>0</v>
      </c>
      <c r="N18" s="157">
        <f>SUMIFS('PQ-Due Dates'!$L:$L,'PQ-Due Dates'!$A:$A,V_Detailed_Report!$C18,'PQ-Due Dates'!$M:$M,"&gt;="&amp;V_Detailed_Report!N$3,'PQ-Due Dates'!$M:$M,"&lt;="&amp;V_Detailed_Report!N$4)</f>
        <v>0</v>
      </c>
      <c r="O18" s="157">
        <f>SUMIFS('PQ-Due Dates'!$L:$L,'PQ-Due Dates'!$A:$A,V_Detailed_Report!$C18,'PQ-Due Dates'!$M:$M,"&gt;="&amp;V_Detailed_Report!O$3,'PQ-Due Dates'!$M:$M,"&lt;="&amp;V_Detailed_Report!O$4)</f>
        <v>10000000</v>
      </c>
      <c r="P18" s="157">
        <f>SUMIFS('PQ-Due Dates'!$L:$L,'PQ-Due Dates'!$A:$A,V_Detailed_Report!$C18,'PQ-Due Dates'!$M:$M,"&gt;="&amp;V_Detailed_Report!P$3,'PQ-Due Dates'!$M:$M,"&lt;="&amp;V_Detailed_Report!P$4)</f>
        <v>0</v>
      </c>
      <c r="Q18" s="157">
        <f>SUMIFS('PQ-Due Dates'!$L:$L,'PQ-Due Dates'!$A:$A,V_Detailed_Report!$C18,'PQ-Due Dates'!$M:$M,"&gt;="&amp;V_Detailed_Report!Q$3,'PQ-Due Dates'!$M:$M,"&lt;="&amp;V_Detailed_Report!Q$4)</f>
        <v>0</v>
      </c>
      <c r="R18" s="157">
        <f>SUMIFS('PQ-Due Dates'!$L:$L,'PQ-Due Dates'!$A:$A,V_Detailed_Report!$C18,'PQ-Due Dates'!$M:$M,"&gt;="&amp;V_Detailed_Report!R$3,'PQ-Due Dates'!$M:$M,"&lt;="&amp;V_Detailed_Report!R$4)</f>
        <v>0</v>
      </c>
      <c r="S18" s="157">
        <f>SUMIFS('PQ-Due Dates'!$L:$L,'PQ-Due Dates'!$A:$A,V_Detailed_Report!$C18,'PQ-Due Dates'!$M:$M,"&gt;="&amp;V_Detailed_Report!S$3,'PQ-Due Dates'!$M:$M,"&lt;="&amp;V_Detailed_Report!S$4)</f>
        <v>0</v>
      </c>
      <c r="T18" s="157">
        <f>SUMIFS('PQ-Due Dates'!$L:$L,'PQ-Due Dates'!$A:$A,V_Detailed_Report!$C18,'PQ-Due Dates'!$M:$M,"&gt;="&amp;V_Detailed_Report!T$3,'PQ-Due Dates'!$M:$M,"&lt;="&amp;V_Detailed_Report!T$4)</f>
        <v>0</v>
      </c>
      <c r="U18" s="157">
        <f t="shared" si="1"/>
        <v>10000000</v>
      </c>
      <c r="V18" s="157">
        <f t="shared" si="2"/>
        <v>0</v>
      </c>
      <c r="W18" s="157">
        <f t="shared" si="3"/>
        <v>10000000</v>
      </c>
    </row>
    <row r="19" spans="1:23" ht="15.75" thickBot="1" x14ac:dyDescent="0.3">
      <c r="A19" s="171" t="s">
        <v>27</v>
      </c>
      <c r="B19" s="171" t="s">
        <v>19</v>
      </c>
      <c r="C19" s="171" t="s">
        <v>420</v>
      </c>
      <c r="D19" s="171" t="str">
        <f>VLOOKUP(C19,'M_LC Summary'!A:F,6,0)</f>
        <v>Alinma</v>
      </c>
      <c r="E19" s="171" t="str">
        <f>VLOOKUP(C19,'M_LC Summary'!A:C,3,0)</f>
        <v>Innovative Contractors for Advanced Dimension (ICAD)</v>
      </c>
      <c r="F19" s="158">
        <f>VLOOKUP(C19,'M_LC Summary'!A:K,11,0)</f>
        <v>21481033</v>
      </c>
      <c r="G19" s="158">
        <f>VLOOKUP(C19,'M_LC Summary'!A:L,12,0)</f>
        <v>0</v>
      </c>
      <c r="H19" s="158">
        <f t="shared" si="0"/>
        <v>21481033</v>
      </c>
      <c r="I19" s="158">
        <f>SUMIFS('PQ-Due Dates'!$L:$L,'PQ-Due Dates'!$A:$A,V_Detailed_Report!$C19,'PQ-Due Dates'!$M:$M,"&gt;="&amp;V_Detailed_Report!I$3,'PQ-Due Dates'!$M:$M,"&lt;="&amp;V_Detailed_Report!I$4)</f>
        <v>0</v>
      </c>
      <c r="J19" s="158">
        <f>SUMIFS('PQ-Due Dates'!$L:$L,'PQ-Due Dates'!$A:$A,V_Detailed_Report!$C19,'PQ-Due Dates'!$M:$M,"&gt;="&amp;V_Detailed_Report!J$3,'PQ-Due Dates'!$M:$M,"&lt;="&amp;V_Detailed_Report!J$4)</f>
        <v>0</v>
      </c>
      <c r="K19" s="158">
        <f>SUMIFS('PQ-Due Dates'!$L:$L,'PQ-Due Dates'!$A:$A,V_Detailed_Report!$C19,'PQ-Due Dates'!$M:$M,"&gt;="&amp;V_Detailed_Report!K$3,'PQ-Due Dates'!$M:$M,"&lt;="&amp;V_Detailed_Report!K$4)</f>
        <v>0</v>
      </c>
      <c r="L19" s="158">
        <f>SUMIFS('PQ-Due Dates'!$L:$L,'PQ-Due Dates'!$A:$A,V_Detailed_Report!$C19,'PQ-Due Dates'!$M:$M,"&gt;="&amp;V_Detailed_Report!L$3,'PQ-Due Dates'!$M:$M,"&lt;="&amp;V_Detailed_Report!L$4)</f>
        <v>0</v>
      </c>
      <c r="M19" s="158">
        <f>SUMIFS('PQ-Due Dates'!$L:$L,'PQ-Due Dates'!$A:$A,V_Detailed_Report!$C19,'PQ-Due Dates'!$M:$M,"&gt;="&amp;V_Detailed_Report!M$3,'PQ-Due Dates'!$M:$M,"&lt;="&amp;V_Detailed_Report!M$4)</f>
        <v>0</v>
      </c>
      <c r="N19" s="158">
        <f>SUMIFS('PQ-Due Dates'!$L:$L,'PQ-Due Dates'!$A:$A,V_Detailed_Report!$C19,'PQ-Due Dates'!$M:$M,"&gt;="&amp;V_Detailed_Report!N$3,'PQ-Due Dates'!$M:$M,"&lt;="&amp;V_Detailed_Report!N$4)</f>
        <v>0</v>
      </c>
      <c r="O19" s="158">
        <f>SUMIFS('PQ-Due Dates'!$L:$L,'PQ-Due Dates'!$A:$A,V_Detailed_Report!$C19,'PQ-Due Dates'!$M:$M,"&gt;="&amp;V_Detailed_Report!O$3,'PQ-Due Dates'!$M:$M,"&lt;="&amp;V_Detailed_Report!O$4)</f>
        <v>21481033</v>
      </c>
      <c r="P19" s="158">
        <f>SUMIFS('PQ-Due Dates'!$L:$L,'PQ-Due Dates'!$A:$A,V_Detailed_Report!$C19,'PQ-Due Dates'!$M:$M,"&gt;="&amp;V_Detailed_Report!P$3,'PQ-Due Dates'!$M:$M,"&lt;="&amp;V_Detailed_Report!P$4)</f>
        <v>0</v>
      </c>
      <c r="Q19" s="158">
        <f>SUMIFS('PQ-Due Dates'!$L:$L,'PQ-Due Dates'!$A:$A,V_Detailed_Report!$C19,'PQ-Due Dates'!$M:$M,"&gt;="&amp;V_Detailed_Report!Q$3,'PQ-Due Dates'!$M:$M,"&lt;="&amp;V_Detailed_Report!Q$4)</f>
        <v>0</v>
      </c>
      <c r="R19" s="158">
        <f>SUMIFS('PQ-Due Dates'!$L:$L,'PQ-Due Dates'!$A:$A,V_Detailed_Report!$C19,'PQ-Due Dates'!$M:$M,"&gt;="&amp;V_Detailed_Report!R$3,'PQ-Due Dates'!$M:$M,"&lt;="&amp;V_Detailed_Report!R$4)</f>
        <v>0</v>
      </c>
      <c r="S19" s="158">
        <f>SUMIFS('PQ-Due Dates'!$L:$L,'PQ-Due Dates'!$A:$A,V_Detailed_Report!$C19,'PQ-Due Dates'!$M:$M,"&gt;="&amp;V_Detailed_Report!S$3,'PQ-Due Dates'!$M:$M,"&lt;="&amp;V_Detailed_Report!S$4)</f>
        <v>0</v>
      </c>
      <c r="T19" s="158">
        <f>SUMIFS('PQ-Due Dates'!$L:$L,'PQ-Due Dates'!$A:$A,V_Detailed_Report!$C19,'PQ-Due Dates'!$M:$M,"&gt;="&amp;V_Detailed_Report!T$3,'PQ-Due Dates'!$M:$M,"&lt;="&amp;V_Detailed_Report!T$4)</f>
        <v>0</v>
      </c>
      <c r="U19" s="158">
        <f t="shared" si="1"/>
        <v>21481033</v>
      </c>
      <c r="V19" s="158">
        <f t="shared" si="2"/>
        <v>0</v>
      </c>
      <c r="W19" s="158">
        <f t="shared" si="3"/>
        <v>21481033</v>
      </c>
    </row>
    <row r="20" spans="1:23" ht="15.75" thickBot="1" x14ac:dyDescent="0.3">
      <c r="A20" s="61"/>
      <c r="B20" s="60"/>
      <c r="C20" s="68" t="s">
        <v>27</v>
      </c>
      <c r="D20" s="68" t="s">
        <v>19</v>
      </c>
      <c r="E20" s="60" t="s">
        <v>93</v>
      </c>
      <c r="F20" s="64">
        <f>SUMIFS(F:F,$A:$A,$C$20,$B:$B,$20:$20 $D:$D)</f>
        <v>102200491.18000001</v>
      </c>
      <c r="G20" s="64">
        <f>SUMIFS(G:G,$A:$A,$C$20,$B:$B,$20:$20 $D:$D)</f>
        <v>26966794.75</v>
      </c>
      <c r="H20" s="64">
        <f>SUMIFS(H:H,$A:$A,$C$20,$B:$B,$20:$20 $D:$D)</f>
        <v>75233696.430000007</v>
      </c>
      <c r="I20" s="64">
        <f>SUMIFS(I:I,$A:$A,$C$20,$B:$B,$20:$20 $D:$D)</f>
        <v>0</v>
      </c>
      <c r="J20" s="64">
        <f>SUMIFS(J:J,$A:$A,$C$20,$B:$B,$20:$20 $D:$D)</f>
        <v>42000000</v>
      </c>
      <c r="K20" s="64">
        <f>SUMIFS(K:K,$A:$A,$C$20,$B:$B,$20:$20 $D:$D)</f>
        <v>0</v>
      </c>
      <c r="L20" s="64">
        <f>SUMIFS(L:L,$A:$A,$C$20,$B:$B,$20:$20 $D:$D)</f>
        <v>0</v>
      </c>
      <c r="M20" s="64">
        <f>SUMIFS(M:M,$A:$A,$C$20,$B:$B,$20:$20 $D:$D)</f>
        <v>0</v>
      </c>
      <c r="N20" s="64">
        <f>SUMIFS(N:N,$A:$A,$C$20,$B:$B,$20:$20 $D:$D)</f>
        <v>0</v>
      </c>
      <c r="O20" s="64">
        <f>SUMIFS(O:O,$A:$A,$C$20,$B:$B,$20:$20 $D:$D)</f>
        <v>31481033</v>
      </c>
      <c r="P20" s="64">
        <f>SUMIFS(P:P,$A:$A,$C$20,$B:$B,$20:$20 $D:$D)</f>
        <v>0</v>
      </c>
      <c r="Q20" s="64">
        <f>SUMIFS(Q:Q,$A:$A,$C$20,$B:$B,$20:$20 $D:$D)</f>
        <v>0</v>
      </c>
      <c r="R20" s="64">
        <f>SUMIFS(R:R,$A:$A,$C$20,$B:$B,$20:$20 $D:$D)</f>
        <v>0</v>
      </c>
      <c r="S20" s="64">
        <f>SUMIFS(S:S,$A:$A,$C$20,$B:$B,$20:$20 $D:$D)</f>
        <v>0</v>
      </c>
      <c r="T20" s="64">
        <f>SUMIFS(T:T,$A:$A,$C$20,$B:$B,$20:$20 $D:$D)</f>
        <v>0</v>
      </c>
      <c r="U20" s="64">
        <f>SUMIFS(U:U,$A:$A,$C$20,$B:$B,$20:$20 $D:$D)</f>
        <v>73481033</v>
      </c>
      <c r="V20" s="64">
        <f>SUMIFS(V:V,$A:$A,$C$20,$B:$B,$20:$20 $D:$D)</f>
        <v>1752663.4299999997</v>
      </c>
      <c r="W20" s="65">
        <f>SUMIFS(W:W,$A:$A,$C$20,$B:$B,$20:$20 $D:$D)</f>
        <v>75233696.430000007</v>
      </c>
    </row>
    <row r="21" spans="1:23" x14ac:dyDescent="0.25">
      <c r="A21" s="173"/>
      <c r="B21" s="173"/>
      <c r="C21" s="173"/>
      <c r="D21" s="173"/>
      <c r="E21" s="173"/>
      <c r="F21" s="159"/>
      <c r="G21" s="159"/>
      <c r="H21" s="159"/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59"/>
      <c r="W21" s="159"/>
    </row>
    <row r="22" spans="1:23" x14ac:dyDescent="0.25">
      <c r="A22" s="162" t="s">
        <v>17</v>
      </c>
      <c r="B22" s="162" t="s">
        <v>19</v>
      </c>
      <c r="C22" s="162" t="s">
        <v>180</v>
      </c>
      <c r="D22" s="162" t="str">
        <f>VLOOKUP(C22,'M_LC Summary'!A:F,6,0)</f>
        <v>Alinma</v>
      </c>
      <c r="E22" s="162" t="str">
        <f>VLOOKUP(C22,'M_LC Summary'!A:C,3,0)</f>
        <v>GAS SOLUTIONS</v>
      </c>
      <c r="F22" s="157">
        <f>VLOOKUP(C22,'M_LC Summary'!A:K,11,0)</f>
        <v>381276.62</v>
      </c>
      <c r="G22" s="157">
        <f>VLOOKUP(C22,'M_LC Summary'!A:L,12,0)</f>
        <v>140641.01</v>
      </c>
      <c r="H22" s="157">
        <f t="shared" si="0"/>
        <v>240635.61</v>
      </c>
      <c r="I22" s="157">
        <f>SUMIFS('PQ-Due Dates'!$L:$L,'PQ-Due Dates'!$A:$A,V_Detailed_Report!$C22,'PQ-Due Dates'!$M:$M,"&gt;="&amp;V_Detailed_Report!I$3,'PQ-Due Dates'!$M:$M,"&lt;="&amp;V_Detailed_Report!I$4)</f>
        <v>0</v>
      </c>
      <c r="J22" s="157">
        <f>SUMIFS('PQ-Due Dates'!$L:$L,'PQ-Due Dates'!$A:$A,V_Detailed_Report!$C22,'PQ-Due Dates'!$M:$M,"&gt;="&amp;V_Detailed_Report!J$3,'PQ-Due Dates'!$M:$M,"&lt;="&amp;V_Detailed_Report!J$4)</f>
        <v>0</v>
      </c>
      <c r="K22" s="157">
        <f>SUMIFS('PQ-Due Dates'!$L:$L,'PQ-Due Dates'!$A:$A,V_Detailed_Report!$C22,'PQ-Due Dates'!$M:$M,"&gt;="&amp;V_Detailed_Report!K$3,'PQ-Due Dates'!$M:$M,"&lt;="&amp;V_Detailed_Report!K$4)</f>
        <v>0</v>
      </c>
      <c r="L22" s="157">
        <f>SUMIFS('PQ-Due Dates'!$L:$L,'PQ-Due Dates'!$A:$A,V_Detailed_Report!$C22,'PQ-Due Dates'!$M:$M,"&gt;="&amp;V_Detailed_Report!L$3,'PQ-Due Dates'!$M:$M,"&lt;="&amp;V_Detailed_Report!L$4)</f>
        <v>0</v>
      </c>
      <c r="M22" s="157">
        <f>SUMIFS('PQ-Due Dates'!$L:$L,'PQ-Due Dates'!$A:$A,V_Detailed_Report!$C22,'PQ-Due Dates'!$M:$M,"&gt;="&amp;V_Detailed_Report!M$3,'PQ-Due Dates'!$M:$M,"&lt;="&amp;V_Detailed_Report!M$4)</f>
        <v>0</v>
      </c>
      <c r="N22" s="157">
        <f>SUMIFS('PQ-Due Dates'!$L:$L,'PQ-Due Dates'!$A:$A,V_Detailed_Report!$C22,'PQ-Due Dates'!$M:$M,"&gt;="&amp;V_Detailed_Report!N$3,'PQ-Due Dates'!$M:$M,"&lt;="&amp;V_Detailed_Report!N$4)</f>
        <v>0</v>
      </c>
      <c r="O22" s="157">
        <f>SUMIFS('PQ-Due Dates'!$L:$L,'PQ-Due Dates'!$A:$A,V_Detailed_Report!$C22,'PQ-Due Dates'!$M:$M,"&gt;="&amp;V_Detailed_Report!O$3,'PQ-Due Dates'!$M:$M,"&lt;="&amp;V_Detailed_Report!O$4)</f>
        <v>0</v>
      </c>
      <c r="P22" s="157">
        <f>SUMIFS('PQ-Due Dates'!$L:$L,'PQ-Due Dates'!$A:$A,V_Detailed_Report!$C22,'PQ-Due Dates'!$M:$M,"&gt;="&amp;V_Detailed_Report!P$3,'PQ-Due Dates'!$M:$M,"&lt;="&amp;V_Detailed_Report!P$4)</f>
        <v>0</v>
      </c>
      <c r="Q22" s="157">
        <f>SUMIFS('PQ-Due Dates'!$L:$L,'PQ-Due Dates'!$A:$A,V_Detailed_Report!$C22,'PQ-Due Dates'!$M:$M,"&gt;="&amp;V_Detailed_Report!Q$3,'PQ-Due Dates'!$M:$M,"&lt;="&amp;V_Detailed_Report!Q$4)</f>
        <v>0</v>
      </c>
      <c r="R22" s="157">
        <f>SUMIFS('PQ-Due Dates'!$L:$L,'PQ-Due Dates'!$A:$A,V_Detailed_Report!$C22,'PQ-Due Dates'!$M:$M,"&gt;="&amp;V_Detailed_Report!R$3,'PQ-Due Dates'!$M:$M,"&lt;="&amp;V_Detailed_Report!R$4)</f>
        <v>0</v>
      </c>
      <c r="S22" s="157">
        <f>SUMIFS('PQ-Due Dates'!$L:$L,'PQ-Due Dates'!$A:$A,V_Detailed_Report!$C22,'PQ-Due Dates'!$M:$M,"&gt;="&amp;V_Detailed_Report!S$3,'PQ-Due Dates'!$M:$M,"&lt;="&amp;V_Detailed_Report!S$4)</f>
        <v>0</v>
      </c>
      <c r="T22" s="157">
        <f>SUMIFS('PQ-Due Dates'!$L:$L,'PQ-Due Dates'!$A:$A,V_Detailed_Report!$C22,'PQ-Due Dates'!$M:$M,"&gt;="&amp;V_Detailed_Report!T$3,'PQ-Due Dates'!$M:$M,"&lt;="&amp;V_Detailed_Report!T$4)</f>
        <v>0</v>
      </c>
      <c r="U22" s="157">
        <f t="shared" si="1"/>
        <v>0</v>
      </c>
      <c r="V22" s="157">
        <f t="shared" si="2"/>
        <v>240635.61</v>
      </c>
      <c r="W22" s="157">
        <f t="shared" si="3"/>
        <v>240635.61</v>
      </c>
    </row>
    <row r="23" spans="1:23" x14ac:dyDescent="0.25">
      <c r="A23" s="162" t="s">
        <v>17</v>
      </c>
      <c r="B23" s="162" t="s">
        <v>19</v>
      </c>
      <c r="C23" s="162" t="s">
        <v>258</v>
      </c>
      <c r="D23" s="162" t="str">
        <f>VLOOKUP(C23,'M_LC Summary'!A:F,6,0)</f>
        <v>Alinma</v>
      </c>
      <c r="E23" s="162" t="str">
        <f>VLOOKUP(C23,'M_LC Summary'!A:C,3,0)</f>
        <v>AI-Hadbania Trading Co.</v>
      </c>
      <c r="F23" s="157">
        <f>VLOOKUP(C23,'M_LC Summary'!A:K,11,0)</f>
        <v>3487033.23</v>
      </c>
      <c r="G23" s="157">
        <f>VLOOKUP(C23,'M_LC Summary'!A:L,12,0)</f>
        <v>1989866.83</v>
      </c>
      <c r="H23" s="157">
        <f t="shared" si="0"/>
        <v>1497166.4</v>
      </c>
      <c r="I23" s="157">
        <f>SUMIFS('PQ-Due Dates'!$L:$L,'PQ-Due Dates'!$A:$A,V_Detailed_Report!$C23,'PQ-Due Dates'!$M:$M,"&gt;="&amp;V_Detailed_Report!I$3,'PQ-Due Dates'!$M:$M,"&lt;="&amp;V_Detailed_Report!I$4)</f>
        <v>0</v>
      </c>
      <c r="J23" s="157">
        <f>SUMIFS('PQ-Due Dates'!$L:$L,'PQ-Due Dates'!$A:$A,V_Detailed_Report!$C23,'PQ-Due Dates'!$M:$M,"&gt;="&amp;V_Detailed_Report!J$3,'PQ-Due Dates'!$M:$M,"&lt;="&amp;V_Detailed_Report!J$4)</f>
        <v>0</v>
      </c>
      <c r="K23" s="157">
        <f>SUMIFS('PQ-Due Dates'!$L:$L,'PQ-Due Dates'!$A:$A,V_Detailed_Report!$C23,'PQ-Due Dates'!$M:$M,"&gt;="&amp;V_Detailed_Report!K$3,'PQ-Due Dates'!$M:$M,"&lt;="&amp;V_Detailed_Report!K$4)</f>
        <v>0</v>
      </c>
      <c r="L23" s="157">
        <f>SUMIFS('PQ-Due Dates'!$L:$L,'PQ-Due Dates'!$A:$A,V_Detailed_Report!$C23,'PQ-Due Dates'!$M:$M,"&gt;="&amp;V_Detailed_Report!L$3,'PQ-Due Dates'!$M:$M,"&lt;="&amp;V_Detailed_Report!L$4)</f>
        <v>0</v>
      </c>
      <c r="M23" s="157">
        <f>SUMIFS('PQ-Due Dates'!$L:$L,'PQ-Due Dates'!$A:$A,V_Detailed_Report!$C23,'PQ-Due Dates'!$M:$M,"&gt;="&amp;V_Detailed_Report!M$3,'PQ-Due Dates'!$M:$M,"&lt;="&amp;V_Detailed_Report!M$4)</f>
        <v>0</v>
      </c>
      <c r="N23" s="157">
        <f>SUMIFS('PQ-Due Dates'!$L:$L,'PQ-Due Dates'!$A:$A,V_Detailed_Report!$C23,'PQ-Due Dates'!$M:$M,"&gt;="&amp;V_Detailed_Report!N$3,'PQ-Due Dates'!$M:$M,"&lt;="&amp;V_Detailed_Report!N$4)</f>
        <v>0</v>
      </c>
      <c r="O23" s="157">
        <f>SUMIFS('PQ-Due Dates'!$L:$L,'PQ-Due Dates'!$A:$A,V_Detailed_Report!$C23,'PQ-Due Dates'!$M:$M,"&gt;="&amp;V_Detailed_Report!O$3,'PQ-Due Dates'!$M:$M,"&lt;="&amp;V_Detailed_Report!O$4)</f>
        <v>0</v>
      </c>
      <c r="P23" s="157">
        <f>SUMIFS('PQ-Due Dates'!$L:$L,'PQ-Due Dates'!$A:$A,V_Detailed_Report!$C23,'PQ-Due Dates'!$M:$M,"&gt;="&amp;V_Detailed_Report!P$3,'PQ-Due Dates'!$M:$M,"&lt;="&amp;V_Detailed_Report!P$4)</f>
        <v>0</v>
      </c>
      <c r="Q23" s="157">
        <f>SUMIFS('PQ-Due Dates'!$L:$L,'PQ-Due Dates'!$A:$A,V_Detailed_Report!$C23,'PQ-Due Dates'!$M:$M,"&gt;="&amp;V_Detailed_Report!Q$3,'PQ-Due Dates'!$M:$M,"&lt;="&amp;V_Detailed_Report!Q$4)</f>
        <v>0</v>
      </c>
      <c r="R23" s="157">
        <f>SUMIFS('PQ-Due Dates'!$L:$L,'PQ-Due Dates'!$A:$A,V_Detailed_Report!$C23,'PQ-Due Dates'!$M:$M,"&gt;="&amp;V_Detailed_Report!R$3,'PQ-Due Dates'!$M:$M,"&lt;="&amp;V_Detailed_Report!R$4)</f>
        <v>0</v>
      </c>
      <c r="S23" s="157">
        <f>SUMIFS('PQ-Due Dates'!$L:$L,'PQ-Due Dates'!$A:$A,V_Detailed_Report!$C23,'PQ-Due Dates'!$M:$M,"&gt;="&amp;V_Detailed_Report!S$3,'PQ-Due Dates'!$M:$M,"&lt;="&amp;V_Detailed_Report!S$4)</f>
        <v>0</v>
      </c>
      <c r="T23" s="157">
        <f>SUMIFS('PQ-Due Dates'!$L:$L,'PQ-Due Dates'!$A:$A,V_Detailed_Report!$C23,'PQ-Due Dates'!$M:$M,"&gt;="&amp;V_Detailed_Report!T$3,'PQ-Due Dates'!$M:$M,"&lt;="&amp;V_Detailed_Report!T$4)</f>
        <v>0</v>
      </c>
      <c r="U23" s="157">
        <f t="shared" si="1"/>
        <v>0</v>
      </c>
      <c r="V23" s="157">
        <f t="shared" si="2"/>
        <v>1497166.4</v>
      </c>
      <c r="W23" s="157">
        <f t="shared" si="3"/>
        <v>1497166.4</v>
      </c>
    </row>
    <row r="24" spans="1:23" x14ac:dyDescent="0.25">
      <c r="A24" s="162" t="s">
        <v>17</v>
      </c>
      <c r="B24" s="162" t="s">
        <v>19</v>
      </c>
      <c r="C24" s="162" t="s">
        <v>259</v>
      </c>
      <c r="D24" s="162" t="str">
        <f>VLOOKUP(C24,'M_LC Summary'!A:F,6,0)</f>
        <v>Alinma</v>
      </c>
      <c r="E24" s="162" t="str">
        <f>VLOOKUP(C24,'M_LC Summary'!A:C,3,0)</f>
        <v>Mohammad Saleh Bahareth co.</v>
      </c>
      <c r="F24" s="157">
        <f>VLOOKUP(C24,'M_LC Summary'!A:K,11,0)</f>
        <v>565057.47</v>
      </c>
      <c r="G24" s="157">
        <f>VLOOKUP(C24,'M_LC Summary'!A:L,12,0)</f>
        <v>332244.19</v>
      </c>
      <c r="H24" s="157">
        <f t="shared" si="0"/>
        <v>232813.27999999997</v>
      </c>
      <c r="I24" s="157">
        <f>SUMIFS('PQ-Due Dates'!$L:$L,'PQ-Due Dates'!$A:$A,V_Detailed_Report!$C24,'PQ-Due Dates'!$M:$M,"&gt;="&amp;V_Detailed_Report!I$3,'PQ-Due Dates'!$M:$M,"&lt;="&amp;V_Detailed_Report!I$4)</f>
        <v>0</v>
      </c>
      <c r="J24" s="157">
        <f>SUMIFS('PQ-Due Dates'!$L:$L,'PQ-Due Dates'!$A:$A,V_Detailed_Report!$C24,'PQ-Due Dates'!$M:$M,"&gt;="&amp;V_Detailed_Report!J$3,'PQ-Due Dates'!$M:$M,"&lt;="&amp;V_Detailed_Report!J$4)</f>
        <v>0</v>
      </c>
      <c r="K24" s="157">
        <f>SUMIFS('PQ-Due Dates'!$L:$L,'PQ-Due Dates'!$A:$A,V_Detailed_Report!$C24,'PQ-Due Dates'!$M:$M,"&gt;="&amp;V_Detailed_Report!K$3,'PQ-Due Dates'!$M:$M,"&lt;="&amp;V_Detailed_Report!K$4)</f>
        <v>0</v>
      </c>
      <c r="L24" s="157">
        <f>SUMIFS('PQ-Due Dates'!$L:$L,'PQ-Due Dates'!$A:$A,V_Detailed_Report!$C24,'PQ-Due Dates'!$M:$M,"&gt;="&amp;V_Detailed_Report!L$3,'PQ-Due Dates'!$M:$M,"&lt;="&amp;V_Detailed_Report!L$4)</f>
        <v>0</v>
      </c>
      <c r="M24" s="157">
        <f>SUMIFS('PQ-Due Dates'!$L:$L,'PQ-Due Dates'!$A:$A,V_Detailed_Report!$C24,'PQ-Due Dates'!$M:$M,"&gt;="&amp;V_Detailed_Report!M$3,'PQ-Due Dates'!$M:$M,"&lt;="&amp;V_Detailed_Report!M$4)</f>
        <v>0</v>
      </c>
      <c r="N24" s="157">
        <f>SUMIFS('PQ-Due Dates'!$L:$L,'PQ-Due Dates'!$A:$A,V_Detailed_Report!$C24,'PQ-Due Dates'!$M:$M,"&gt;="&amp;V_Detailed_Report!N$3,'PQ-Due Dates'!$M:$M,"&lt;="&amp;V_Detailed_Report!N$4)</f>
        <v>0</v>
      </c>
      <c r="O24" s="157">
        <f>SUMIFS('PQ-Due Dates'!$L:$L,'PQ-Due Dates'!$A:$A,V_Detailed_Report!$C24,'PQ-Due Dates'!$M:$M,"&gt;="&amp;V_Detailed_Report!O$3,'PQ-Due Dates'!$M:$M,"&lt;="&amp;V_Detailed_Report!O$4)</f>
        <v>0</v>
      </c>
      <c r="P24" s="157">
        <f>SUMIFS('PQ-Due Dates'!$L:$L,'PQ-Due Dates'!$A:$A,V_Detailed_Report!$C24,'PQ-Due Dates'!$M:$M,"&gt;="&amp;V_Detailed_Report!P$3,'PQ-Due Dates'!$M:$M,"&lt;="&amp;V_Detailed_Report!P$4)</f>
        <v>0</v>
      </c>
      <c r="Q24" s="157">
        <f>SUMIFS('PQ-Due Dates'!$L:$L,'PQ-Due Dates'!$A:$A,V_Detailed_Report!$C24,'PQ-Due Dates'!$M:$M,"&gt;="&amp;V_Detailed_Report!Q$3,'PQ-Due Dates'!$M:$M,"&lt;="&amp;V_Detailed_Report!Q$4)</f>
        <v>0</v>
      </c>
      <c r="R24" s="157">
        <f>SUMIFS('PQ-Due Dates'!$L:$L,'PQ-Due Dates'!$A:$A,V_Detailed_Report!$C24,'PQ-Due Dates'!$M:$M,"&gt;="&amp;V_Detailed_Report!R$3,'PQ-Due Dates'!$M:$M,"&lt;="&amp;V_Detailed_Report!R$4)</f>
        <v>0</v>
      </c>
      <c r="S24" s="157">
        <f>SUMIFS('PQ-Due Dates'!$L:$L,'PQ-Due Dates'!$A:$A,V_Detailed_Report!$C24,'PQ-Due Dates'!$M:$M,"&gt;="&amp;V_Detailed_Report!S$3,'PQ-Due Dates'!$M:$M,"&lt;="&amp;V_Detailed_Report!S$4)</f>
        <v>0</v>
      </c>
      <c r="T24" s="157">
        <f>SUMIFS('PQ-Due Dates'!$L:$L,'PQ-Due Dates'!$A:$A,V_Detailed_Report!$C24,'PQ-Due Dates'!$M:$M,"&gt;="&amp;V_Detailed_Report!T$3,'PQ-Due Dates'!$M:$M,"&lt;="&amp;V_Detailed_Report!T$4)</f>
        <v>0</v>
      </c>
      <c r="U24" s="157">
        <f t="shared" si="1"/>
        <v>0</v>
      </c>
      <c r="V24" s="157">
        <f t="shared" si="2"/>
        <v>232813.27999999997</v>
      </c>
      <c r="W24" s="157">
        <f t="shared" si="3"/>
        <v>232813.27999999997</v>
      </c>
    </row>
    <row r="25" spans="1:23" x14ac:dyDescent="0.25">
      <c r="A25" s="162" t="s">
        <v>17</v>
      </c>
      <c r="B25" s="162" t="s">
        <v>19</v>
      </c>
      <c r="C25" s="162" t="s">
        <v>269</v>
      </c>
      <c r="D25" s="162" t="str">
        <f>VLOOKUP(C25,'M_LC Summary'!A:F,6,0)</f>
        <v>Alinma</v>
      </c>
      <c r="E25" s="162" t="str">
        <f>VLOOKUP(C25,'M_LC Summary'!A:C,3,0)</f>
        <v>LSI PROJECTS LIMITED</v>
      </c>
      <c r="F25" s="157">
        <f>VLOOKUP(C25,'M_LC Summary'!A:K,11,0)</f>
        <v>337933.93759999995</v>
      </c>
      <c r="G25" s="157">
        <f>VLOOKUP(C25,'M_LC Summary'!A:L,12,0)</f>
        <v>0</v>
      </c>
      <c r="H25" s="157">
        <f t="shared" si="0"/>
        <v>337933.93759999995</v>
      </c>
      <c r="I25" s="157">
        <f>SUMIFS('PQ-Due Dates'!$L:$L,'PQ-Due Dates'!$A:$A,V_Detailed_Report!$C25,'PQ-Due Dates'!$M:$M,"&gt;="&amp;V_Detailed_Report!I$3,'PQ-Due Dates'!$M:$M,"&lt;="&amp;V_Detailed_Report!I$4)</f>
        <v>0</v>
      </c>
      <c r="J25" s="157">
        <f>SUMIFS('PQ-Due Dates'!$L:$L,'PQ-Due Dates'!$A:$A,V_Detailed_Report!$C25,'PQ-Due Dates'!$M:$M,"&gt;="&amp;V_Detailed_Report!J$3,'PQ-Due Dates'!$M:$M,"&lt;="&amp;V_Detailed_Report!J$4)</f>
        <v>0</v>
      </c>
      <c r="K25" s="157">
        <f>SUMIFS('PQ-Due Dates'!$L:$L,'PQ-Due Dates'!$A:$A,V_Detailed_Report!$C25,'PQ-Due Dates'!$M:$M,"&gt;="&amp;V_Detailed_Report!K$3,'PQ-Due Dates'!$M:$M,"&lt;="&amp;V_Detailed_Report!K$4)</f>
        <v>0</v>
      </c>
      <c r="L25" s="157">
        <f>SUMIFS('PQ-Due Dates'!$L:$L,'PQ-Due Dates'!$A:$A,V_Detailed_Report!$C25,'PQ-Due Dates'!$M:$M,"&gt;="&amp;V_Detailed_Report!L$3,'PQ-Due Dates'!$M:$M,"&lt;="&amp;V_Detailed_Report!L$4)</f>
        <v>0</v>
      </c>
      <c r="M25" s="157">
        <f>SUMIFS('PQ-Due Dates'!$L:$L,'PQ-Due Dates'!$A:$A,V_Detailed_Report!$C25,'PQ-Due Dates'!$M:$M,"&gt;="&amp;V_Detailed_Report!M$3,'PQ-Due Dates'!$M:$M,"&lt;="&amp;V_Detailed_Report!M$4)</f>
        <v>0</v>
      </c>
      <c r="N25" s="157">
        <f>SUMIFS('PQ-Due Dates'!$L:$L,'PQ-Due Dates'!$A:$A,V_Detailed_Report!$C25,'PQ-Due Dates'!$M:$M,"&gt;="&amp;V_Detailed_Report!N$3,'PQ-Due Dates'!$M:$M,"&lt;="&amp;V_Detailed_Report!N$4)</f>
        <v>0</v>
      </c>
      <c r="O25" s="157">
        <f>SUMIFS('PQ-Due Dates'!$L:$L,'PQ-Due Dates'!$A:$A,V_Detailed_Report!$C25,'PQ-Due Dates'!$M:$M,"&gt;="&amp;V_Detailed_Report!O$3,'PQ-Due Dates'!$M:$M,"&lt;="&amp;V_Detailed_Report!O$4)</f>
        <v>0</v>
      </c>
      <c r="P25" s="157">
        <f>SUMIFS('PQ-Due Dates'!$L:$L,'PQ-Due Dates'!$A:$A,V_Detailed_Report!$C25,'PQ-Due Dates'!$M:$M,"&gt;="&amp;V_Detailed_Report!P$3,'PQ-Due Dates'!$M:$M,"&lt;="&amp;V_Detailed_Report!P$4)</f>
        <v>0</v>
      </c>
      <c r="Q25" s="157">
        <f>SUMIFS('PQ-Due Dates'!$L:$L,'PQ-Due Dates'!$A:$A,V_Detailed_Report!$C25,'PQ-Due Dates'!$M:$M,"&gt;="&amp;V_Detailed_Report!Q$3,'PQ-Due Dates'!$M:$M,"&lt;="&amp;V_Detailed_Report!Q$4)</f>
        <v>0</v>
      </c>
      <c r="R25" s="157">
        <f>SUMIFS('PQ-Due Dates'!$L:$L,'PQ-Due Dates'!$A:$A,V_Detailed_Report!$C25,'PQ-Due Dates'!$M:$M,"&gt;="&amp;V_Detailed_Report!R$3,'PQ-Due Dates'!$M:$M,"&lt;="&amp;V_Detailed_Report!R$4)</f>
        <v>0</v>
      </c>
      <c r="S25" s="157">
        <f>SUMIFS('PQ-Due Dates'!$L:$L,'PQ-Due Dates'!$A:$A,V_Detailed_Report!$C25,'PQ-Due Dates'!$M:$M,"&gt;="&amp;V_Detailed_Report!S$3,'PQ-Due Dates'!$M:$M,"&lt;="&amp;V_Detailed_Report!S$4)</f>
        <v>0</v>
      </c>
      <c r="T25" s="157">
        <f>SUMIFS('PQ-Due Dates'!$L:$L,'PQ-Due Dates'!$A:$A,V_Detailed_Report!$C25,'PQ-Due Dates'!$M:$M,"&gt;="&amp;V_Detailed_Report!T$3,'PQ-Due Dates'!$M:$M,"&lt;="&amp;V_Detailed_Report!T$4)</f>
        <v>0</v>
      </c>
      <c r="U25" s="157">
        <f t="shared" si="1"/>
        <v>0</v>
      </c>
      <c r="V25" s="157">
        <f t="shared" si="2"/>
        <v>337933.93759999995</v>
      </c>
      <c r="W25" s="157">
        <f t="shared" si="3"/>
        <v>337933.93759999995</v>
      </c>
    </row>
    <row r="26" spans="1:23" x14ac:dyDescent="0.25">
      <c r="A26" s="162" t="s">
        <v>17</v>
      </c>
      <c r="B26" s="162" t="s">
        <v>19</v>
      </c>
      <c r="C26" s="162" t="s">
        <v>276</v>
      </c>
      <c r="D26" s="162" t="str">
        <f>VLOOKUP(C26,'M_LC Summary'!A:F,6,0)</f>
        <v>Alinma</v>
      </c>
      <c r="E26" s="162" t="str">
        <f>VLOOKUP(C26,'M_LC Summary'!A:C,3,0)</f>
        <v>BBH-CHEMTROL INTERNATIONAL ORGANIZATION S.L</v>
      </c>
      <c r="F26" s="157">
        <f>VLOOKUP(C26,'M_LC Summary'!A:K,11,0)</f>
        <v>7592941.7549999999</v>
      </c>
      <c r="G26" s="157">
        <f>VLOOKUP(C26,'M_LC Summary'!A:L,12,0)</f>
        <v>703586.90607999999</v>
      </c>
      <c r="H26" s="157">
        <f t="shared" si="0"/>
        <v>6889354.8489199998</v>
      </c>
      <c r="I26" s="157">
        <f>SUMIFS('PQ-Due Dates'!$L:$L,'PQ-Due Dates'!$A:$A,V_Detailed_Report!$C26,'PQ-Due Dates'!$M:$M,"&gt;="&amp;V_Detailed_Report!I$3,'PQ-Due Dates'!$M:$M,"&lt;="&amp;V_Detailed_Report!I$4)</f>
        <v>0</v>
      </c>
      <c r="J26" s="157">
        <f>SUMIFS('PQ-Due Dates'!$L:$L,'PQ-Due Dates'!$A:$A,V_Detailed_Report!$C26,'PQ-Due Dates'!$M:$M,"&gt;="&amp;V_Detailed_Report!J$3,'PQ-Due Dates'!$M:$M,"&lt;="&amp;V_Detailed_Report!J$4)</f>
        <v>0</v>
      </c>
      <c r="K26" s="157">
        <f>SUMIFS('PQ-Due Dates'!$L:$L,'PQ-Due Dates'!$A:$A,V_Detailed_Report!$C26,'PQ-Due Dates'!$M:$M,"&gt;="&amp;V_Detailed_Report!K$3,'PQ-Due Dates'!$M:$M,"&lt;="&amp;V_Detailed_Report!K$4)</f>
        <v>0</v>
      </c>
      <c r="L26" s="157">
        <f>SUMIFS('PQ-Due Dates'!$L:$L,'PQ-Due Dates'!$A:$A,V_Detailed_Report!$C26,'PQ-Due Dates'!$M:$M,"&gt;="&amp;V_Detailed_Report!L$3,'PQ-Due Dates'!$M:$M,"&lt;="&amp;V_Detailed_Report!L$4)</f>
        <v>0</v>
      </c>
      <c r="M26" s="157">
        <f>SUMIFS('PQ-Due Dates'!$L:$L,'PQ-Due Dates'!$A:$A,V_Detailed_Report!$C26,'PQ-Due Dates'!$M:$M,"&gt;="&amp;V_Detailed_Report!M$3,'PQ-Due Dates'!$M:$M,"&lt;="&amp;V_Detailed_Report!M$4)</f>
        <v>0</v>
      </c>
      <c r="N26" s="157">
        <f>SUMIFS('PQ-Due Dates'!$L:$L,'PQ-Due Dates'!$A:$A,V_Detailed_Report!$C26,'PQ-Due Dates'!$M:$M,"&gt;="&amp;V_Detailed_Report!N$3,'PQ-Due Dates'!$M:$M,"&lt;="&amp;V_Detailed_Report!N$4)</f>
        <v>0</v>
      </c>
      <c r="O26" s="157">
        <f>SUMIFS('PQ-Due Dates'!$L:$L,'PQ-Due Dates'!$A:$A,V_Detailed_Report!$C26,'PQ-Due Dates'!$M:$M,"&gt;="&amp;V_Detailed_Report!O$3,'PQ-Due Dates'!$M:$M,"&lt;="&amp;V_Detailed_Report!O$4)</f>
        <v>0</v>
      </c>
      <c r="P26" s="157">
        <f>SUMIFS('PQ-Due Dates'!$L:$L,'PQ-Due Dates'!$A:$A,V_Detailed_Report!$C26,'PQ-Due Dates'!$M:$M,"&gt;="&amp;V_Detailed_Report!P$3,'PQ-Due Dates'!$M:$M,"&lt;="&amp;V_Detailed_Report!P$4)</f>
        <v>0</v>
      </c>
      <c r="Q26" s="157">
        <f>SUMIFS('PQ-Due Dates'!$L:$L,'PQ-Due Dates'!$A:$A,V_Detailed_Report!$C26,'PQ-Due Dates'!$M:$M,"&gt;="&amp;V_Detailed_Report!Q$3,'PQ-Due Dates'!$M:$M,"&lt;="&amp;V_Detailed_Report!Q$4)</f>
        <v>0</v>
      </c>
      <c r="R26" s="157">
        <f>SUMIFS('PQ-Due Dates'!$L:$L,'PQ-Due Dates'!$A:$A,V_Detailed_Report!$C26,'PQ-Due Dates'!$M:$M,"&gt;="&amp;V_Detailed_Report!R$3,'PQ-Due Dates'!$M:$M,"&lt;="&amp;V_Detailed_Report!R$4)</f>
        <v>0</v>
      </c>
      <c r="S26" s="157">
        <f>SUMIFS('PQ-Due Dates'!$L:$L,'PQ-Due Dates'!$A:$A,V_Detailed_Report!$C26,'PQ-Due Dates'!$M:$M,"&gt;="&amp;V_Detailed_Report!S$3,'PQ-Due Dates'!$M:$M,"&lt;="&amp;V_Detailed_Report!S$4)</f>
        <v>0</v>
      </c>
      <c r="T26" s="157">
        <f>SUMIFS('PQ-Due Dates'!$L:$L,'PQ-Due Dates'!$A:$A,V_Detailed_Report!$C26,'PQ-Due Dates'!$M:$M,"&gt;="&amp;V_Detailed_Report!T$3,'PQ-Due Dates'!$M:$M,"&lt;="&amp;V_Detailed_Report!T$4)</f>
        <v>0</v>
      </c>
      <c r="U26" s="157">
        <f t="shared" si="1"/>
        <v>0</v>
      </c>
      <c r="V26" s="157">
        <f t="shared" si="2"/>
        <v>6889354.8489199998</v>
      </c>
      <c r="W26" s="157">
        <f t="shared" si="3"/>
        <v>6889354.8489199998</v>
      </c>
    </row>
    <row r="27" spans="1:23" x14ac:dyDescent="0.25">
      <c r="A27" s="162" t="s">
        <v>17</v>
      </c>
      <c r="B27" s="162" t="s">
        <v>19</v>
      </c>
      <c r="C27" s="162" t="s">
        <v>277</v>
      </c>
      <c r="D27" s="162" t="str">
        <f>VLOOKUP(C27,'M_LC Summary'!A:F,6,0)</f>
        <v>Alinma</v>
      </c>
      <c r="E27" s="162" t="str">
        <f>VLOOKUP(C27,'M_LC Summary'!A:C,3,0)</f>
        <v>LSI PROJECTS LIMITED</v>
      </c>
      <c r="F27" s="157">
        <f>VLOOKUP(C27,'M_LC Summary'!A:K,11,0)</f>
        <v>7118602.9487999994</v>
      </c>
      <c r="G27" s="157">
        <f>VLOOKUP(C27,'M_LC Summary'!A:L,12,0)</f>
        <v>363328.54672888498</v>
      </c>
      <c r="H27" s="157">
        <f t="shared" si="0"/>
        <v>6755274.4020711146</v>
      </c>
      <c r="I27" s="157">
        <f>SUMIFS('PQ-Due Dates'!$L:$L,'PQ-Due Dates'!$A:$A,V_Detailed_Report!$C27,'PQ-Due Dates'!$M:$M,"&gt;="&amp;V_Detailed_Report!I$3,'PQ-Due Dates'!$M:$M,"&lt;="&amp;V_Detailed_Report!I$4)</f>
        <v>0</v>
      </c>
      <c r="J27" s="157">
        <f>SUMIFS('PQ-Due Dates'!$L:$L,'PQ-Due Dates'!$A:$A,V_Detailed_Report!$C27,'PQ-Due Dates'!$M:$M,"&gt;="&amp;V_Detailed_Report!J$3,'PQ-Due Dates'!$M:$M,"&lt;="&amp;V_Detailed_Report!J$4)</f>
        <v>0</v>
      </c>
      <c r="K27" s="157">
        <f>SUMIFS('PQ-Due Dates'!$L:$L,'PQ-Due Dates'!$A:$A,V_Detailed_Report!$C27,'PQ-Due Dates'!$M:$M,"&gt;="&amp;V_Detailed_Report!K$3,'PQ-Due Dates'!$M:$M,"&lt;="&amp;V_Detailed_Report!K$4)</f>
        <v>0</v>
      </c>
      <c r="L27" s="157">
        <f>SUMIFS('PQ-Due Dates'!$L:$L,'PQ-Due Dates'!$A:$A,V_Detailed_Report!$C27,'PQ-Due Dates'!$M:$M,"&gt;="&amp;V_Detailed_Report!L$3,'PQ-Due Dates'!$M:$M,"&lt;="&amp;V_Detailed_Report!L$4)</f>
        <v>0</v>
      </c>
      <c r="M27" s="157">
        <f>SUMIFS('PQ-Due Dates'!$L:$L,'PQ-Due Dates'!$A:$A,V_Detailed_Report!$C27,'PQ-Due Dates'!$M:$M,"&gt;="&amp;V_Detailed_Report!M$3,'PQ-Due Dates'!$M:$M,"&lt;="&amp;V_Detailed_Report!M$4)</f>
        <v>0</v>
      </c>
      <c r="N27" s="157">
        <f>SUMIFS('PQ-Due Dates'!$L:$L,'PQ-Due Dates'!$A:$A,V_Detailed_Report!$C27,'PQ-Due Dates'!$M:$M,"&gt;="&amp;V_Detailed_Report!N$3,'PQ-Due Dates'!$M:$M,"&lt;="&amp;V_Detailed_Report!N$4)</f>
        <v>0</v>
      </c>
      <c r="O27" s="157">
        <f>SUMIFS('PQ-Due Dates'!$L:$L,'PQ-Due Dates'!$A:$A,V_Detailed_Report!$C27,'PQ-Due Dates'!$M:$M,"&gt;="&amp;V_Detailed_Report!O$3,'PQ-Due Dates'!$M:$M,"&lt;="&amp;V_Detailed_Report!O$4)</f>
        <v>0</v>
      </c>
      <c r="P27" s="157">
        <f>SUMIFS('PQ-Due Dates'!$L:$L,'PQ-Due Dates'!$A:$A,V_Detailed_Report!$C27,'PQ-Due Dates'!$M:$M,"&gt;="&amp;V_Detailed_Report!P$3,'PQ-Due Dates'!$M:$M,"&lt;="&amp;V_Detailed_Report!P$4)</f>
        <v>0</v>
      </c>
      <c r="Q27" s="157">
        <f>SUMIFS('PQ-Due Dates'!$L:$L,'PQ-Due Dates'!$A:$A,V_Detailed_Report!$C27,'PQ-Due Dates'!$M:$M,"&gt;="&amp;V_Detailed_Report!Q$3,'PQ-Due Dates'!$M:$M,"&lt;="&amp;V_Detailed_Report!Q$4)</f>
        <v>0</v>
      </c>
      <c r="R27" s="157">
        <f>SUMIFS('PQ-Due Dates'!$L:$L,'PQ-Due Dates'!$A:$A,V_Detailed_Report!$C27,'PQ-Due Dates'!$M:$M,"&gt;="&amp;V_Detailed_Report!R$3,'PQ-Due Dates'!$M:$M,"&lt;="&amp;V_Detailed_Report!R$4)</f>
        <v>0</v>
      </c>
      <c r="S27" s="157">
        <f>SUMIFS('PQ-Due Dates'!$L:$L,'PQ-Due Dates'!$A:$A,V_Detailed_Report!$C27,'PQ-Due Dates'!$M:$M,"&gt;="&amp;V_Detailed_Report!S$3,'PQ-Due Dates'!$M:$M,"&lt;="&amp;V_Detailed_Report!S$4)</f>
        <v>0</v>
      </c>
      <c r="T27" s="157">
        <f>SUMIFS('PQ-Due Dates'!$L:$L,'PQ-Due Dates'!$A:$A,V_Detailed_Report!$C27,'PQ-Due Dates'!$M:$M,"&gt;="&amp;V_Detailed_Report!T$3,'PQ-Due Dates'!$M:$M,"&lt;="&amp;V_Detailed_Report!T$4)</f>
        <v>0</v>
      </c>
      <c r="U27" s="157">
        <f t="shared" si="1"/>
        <v>0</v>
      </c>
      <c r="V27" s="157">
        <f t="shared" si="2"/>
        <v>6755274.4020711146</v>
      </c>
      <c r="W27" s="157">
        <f t="shared" si="3"/>
        <v>6755274.4020711146</v>
      </c>
    </row>
    <row r="28" spans="1:23" ht="15.75" thickBot="1" x14ac:dyDescent="0.3">
      <c r="A28" s="171" t="s">
        <v>17</v>
      </c>
      <c r="B28" s="171" t="s">
        <v>19</v>
      </c>
      <c r="C28" s="171" t="s">
        <v>421</v>
      </c>
      <c r="D28" s="171" t="str">
        <f>VLOOKUP(C28,'M_LC Summary'!A:F,6,0)</f>
        <v>Alinma</v>
      </c>
      <c r="E28" s="171" t="str">
        <f>VLOOKUP(C28,'M_LC Summary'!A:C,3,0)</f>
        <v>Depa Saudi Arabia for Contracting and Interior Decorating Co. Ltd.</v>
      </c>
      <c r="F28" s="158">
        <f>VLOOKUP(C28,'M_LC Summary'!A:K,11,0)</f>
        <v>20000000</v>
      </c>
      <c r="G28" s="158">
        <f>VLOOKUP(C28,'M_LC Summary'!A:L,12,0)</f>
        <v>0</v>
      </c>
      <c r="H28" s="158">
        <f t="shared" si="0"/>
        <v>20000000</v>
      </c>
      <c r="I28" s="158">
        <f>SUMIFS('PQ-Due Dates'!$L:$L,'PQ-Due Dates'!$A:$A,V_Detailed_Report!$C28,'PQ-Due Dates'!$M:$M,"&gt;="&amp;V_Detailed_Report!I$3,'PQ-Due Dates'!$M:$M,"&lt;="&amp;V_Detailed_Report!I$4)</f>
        <v>0</v>
      </c>
      <c r="J28" s="158">
        <f>SUMIFS('PQ-Due Dates'!$L:$L,'PQ-Due Dates'!$A:$A,V_Detailed_Report!$C28,'PQ-Due Dates'!$M:$M,"&gt;="&amp;V_Detailed_Report!J$3,'PQ-Due Dates'!$M:$M,"&lt;="&amp;V_Detailed_Report!J$4)</f>
        <v>0</v>
      </c>
      <c r="K28" s="158">
        <f>SUMIFS('PQ-Due Dates'!$L:$L,'PQ-Due Dates'!$A:$A,V_Detailed_Report!$C28,'PQ-Due Dates'!$M:$M,"&gt;="&amp;V_Detailed_Report!K$3,'PQ-Due Dates'!$M:$M,"&lt;="&amp;V_Detailed_Report!K$4)</f>
        <v>0</v>
      </c>
      <c r="L28" s="158">
        <f>SUMIFS('PQ-Due Dates'!$L:$L,'PQ-Due Dates'!$A:$A,V_Detailed_Report!$C28,'PQ-Due Dates'!$M:$M,"&gt;="&amp;V_Detailed_Report!L$3,'PQ-Due Dates'!$M:$M,"&lt;="&amp;V_Detailed_Report!L$4)</f>
        <v>0</v>
      </c>
      <c r="M28" s="158">
        <f>SUMIFS('PQ-Due Dates'!$L:$L,'PQ-Due Dates'!$A:$A,V_Detailed_Report!$C28,'PQ-Due Dates'!$M:$M,"&gt;="&amp;V_Detailed_Report!M$3,'PQ-Due Dates'!$M:$M,"&lt;="&amp;V_Detailed_Report!M$4)</f>
        <v>5643717.4500000002</v>
      </c>
      <c r="N28" s="158">
        <f>SUMIFS('PQ-Due Dates'!$L:$L,'PQ-Due Dates'!$A:$A,V_Detailed_Report!$C28,'PQ-Due Dates'!$M:$M,"&gt;="&amp;V_Detailed_Report!N$3,'PQ-Due Dates'!$M:$M,"&lt;="&amp;V_Detailed_Report!N$4)</f>
        <v>0</v>
      </c>
      <c r="O28" s="158">
        <f>SUMIFS('PQ-Due Dates'!$L:$L,'PQ-Due Dates'!$A:$A,V_Detailed_Report!$C28,'PQ-Due Dates'!$M:$M,"&gt;="&amp;V_Detailed_Report!O$3,'PQ-Due Dates'!$M:$M,"&lt;="&amp;V_Detailed_Report!O$4)</f>
        <v>0</v>
      </c>
      <c r="P28" s="158">
        <f>SUMIFS('PQ-Due Dates'!$L:$L,'PQ-Due Dates'!$A:$A,V_Detailed_Report!$C28,'PQ-Due Dates'!$M:$M,"&gt;="&amp;V_Detailed_Report!P$3,'PQ-Due Dates'!$M:$M,"&lt;="&amp;V_Detailed_Report!P$4)</f>
        <v>2593391.5299999998</v>
      </c>
      <c r="Q28" s="158">
        <f>SUMIFS('PQ-Due Dates'!$L:$L,'PQ-Due Dates'!$A:$A,V_Detailed_Report!$C28,'PQ-Due Dates'!$M:$M,"&gt;="&amp;V_Detailed_Report!Q$3,'PQ-Due Dates'!$M:$M,"&lt;="&amp;V_Detailed_Report!Q$4)</f>
        <v>0</v>
      </c>
      <c r="R28" s="158">
        <f>SUMIFS('PQ-Due Dates'!$L:$L,'PQ-Due Dates'!$A:$A,V_Detailed_Report!$C28,'PQ-Due Dates'!$M:$M,"&gt;="&amp;V_Detailed_Report!R$3,'PQ-Due Dates'!$M:$M,"&lt;="&amp;V_Detailed_Report!R$4)</f>
        <v>0</v>
      </c>
      <c r="S28" s="158">
        <f>SUMIFS('PQ-Due Dates'!$L:$L,'PQ-Due Dates'!$A:$A,V_Detailed_Report!$C28,'PQ-Due Dates'!$M:$M,"&gt;="&amp;V_Detailed_Report!S$3,'PQ-Due Dates'!$M:$M,"&lt;="&amp;V_Detailed_Report!S$4)</f>
        <v>0</v>
      </c>
      <c r="T28" s="158">
        <f>SUMIFS('PQ-Due Dates'!$L:$L,'PQ-Due Dates'!$A:$A,V_Detailed_Report!$C28,'PQ-Due Dates'!$M:$M,"&gt;="&amp;V_Detailed_Report!T$3,'PQ-Due Dates'!$M:$M,"&lt;="&amp;V_Detailed_Report!T$4)</f>
        <v>0</v>
      </c>
      <c r="U28" s="158">
        <f t="shared" si="1"/>
        <v>8237108.9800000004</v>
      </c>
      <c r="V28" s="158">
        <f t="shared" si="2"/>
        <v>11762891.02</v>
      </c>
      <c r="W28" s="158">
        <f t="shared" si="3"/>
        <v>20000000</v>
      </c>
    </row>
    <row r="29" spans="1:23" ht="15.75" thickBot="1" x14ac:dyDescent="0.3">
      <c r="A29" s="61"/>
      <c r="B29" s="60"/>
      <c r="C29" s="68" t="s">
        <v>17</v>
      </c>
      <c r="D29" s="68" t="s">
        <v>19</v>
      </c>
      <c r="E29" s="60" t="s">
        <v>93</v>
      </c>
      <c r="F29" s="64">
        <f>SUMIFS(F:F,$A:$A,$C$29,$B:$B,$29:$29 $D:$D)</f>
        <v>39482845.961400002</v>
      </c>
      <c r="G29" s="64">
        <f>SUMIFS(G:G,$A:$A,$C$29,$B:$B,$29:$29 $D:$D)</f>
        <v>3529667.4828088847</v>
      </c>
      <c r="H29" s="64">
        <f>SUMIFS(H:H,$A:$A,$C$29,$B:$B,$29:$29 $D:$D)</f>
        <v>35953178.478591114</v>
      </c>
      <c r="I29" s="64">
        <f>SUMIFS(I:I,$A:$A,$C$29,$B:$B,$29:$29 $D:$D)</f>
        <v>0</v>
      </c>
      <c r="J29" s="64">
        <f>SUMIFS(J:J,$A:$A,$C$29,$B:$B,$29:$29 $D:$D)</f>
        <v>0</v>
      </c>
      <c r="K29" s="64">
        <f>SUMIFS(K:K,$A:$A,$C$29,$B:$B,$29:$29 $D:$D)</f>
        <v>0</v>
      </c>
      <c r="L29" s="64">
        <f>SUMIFS(L:L,$A:$A,$C$29,$B:$B,$29:$29 $D:$D)</f>
        <v>0</v>
      </c>
      <c r="M29" s="64">
        <f>SUMIFS(M:M,$A:$A,$C$29,$B:$B,$29:$29 $D:$D)</f>
        <v>5643717.4500000002</v>
      </c>
      <c r="N29" s="64">
        <f>SUMIFS(N:N,$A:$A,$C$29,$B:$B,$29:$29 $D:$D)</f>
        <v>0</v>
      </c>
      <c r="O29" s="64">
        <f>SUMIFS(O:O,$A:$A,$C$29,$B:$B,$29:$29 $D:$D)</f>
        <v>0</v>
      </c>
      <c r="P29" s="64">
        <f>SUMIFS(P:P,$A:$A,$C$29,$B:$B,$29:$29 $D:$D)</f>
        <v>2593391.5299999998</v>
      </c>
      <c r="Q29" s="64">
        <f>SUMIFS(Q:Q,$A:$A,$C$29,$B:$B,$29:$29 $D:$D)</f>
        <v>0</v>
      </c>
      <c r="R29" s="64">
        <f>SUMIFS(R:R,$A:$A,$C$29,$B:$B,$29:$29 $D:$D)</f>
        <v>0</v>
      </c>
      <c r="S29" s="64">
        <f>SUMIFS(S:S,$A:$A,$C$29,$B:$B,$29:$29 $D:$D)</f>
        <v>0</v>
      </c>
      <c r="T29" s="64">
        <f>SUMIFS(T:T,$A:$A,$C$29,$B:$B,$29:$29 $D:$D)</f>
        <v>0</v>
      </c>
      <c r="U29" s="64">
        <f>SUMIFS(U:U,$A:$A,$C$29,$B:$B,$29:$29 $D:$D)</f>
        <v>8237108.9800000004</v>
      </c>
      <c r="V29" s="64">
        <f>SUMIFS(V:V,$A:$A,$C$29,$B:$B,$29:$29 $D:$D)</f>
        <v>27716069.498591114</v>
      </c>
      <c r="W29" s="65">
        <f>SUMIFS(W:W,$A:$A,$C$29,$B:$B,$29:$29 $D:$D)</f>
        <v>35953178.478591114</v>
      </c>
    </row>
    <row r="30" spans="1:23" x14ac:dyDescent="0.25">
      <c r="A30" s="173"/>
      <c r="B30" s="173"/>
      <c r="C30" s="173"/>
      <c r="D30" s="173"/>
      <c r="E30" s="173"/>
      <c r="F30" s="159"/>
      <c r="G30" s="159"/>
      <c r="H30" s="159"/>
      <c r="I30" s="159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59"/>
      <c r="W30" s="159"/>
    </row>
    <row r="31" spans="1:23" x14ac:dyDescent="0.25">
      <c r="A31" s="162" t="s">
        <v>151</v>
      </c>
      <c r="B31" s="162" t="s">
        <v>19</v>
      </c>
      <c r="C31" s="162" t="s">
        <v>159</v>
      </c>
      <c r="D31" s="162" t="str">
        <f>VLOOKUP(C31,'M_LC Summary'!A:F,6,0)</f>
        <v>SNB</v>
      </c>
      <c r="E31" s="162" t="str">
        <f>VLOOKUP(C31,'M_LC Summary'!A:C,3,0)</f>
        <v>BBH-CHEMTROL INTERNATIONAL ORGANIZATION S.L</v>
      </c>
      <c r="F31" s="157">
        <f>VLOOKUP(C31,'M_LC Summary'!A:K,11,0)</f>
        <v>42588000</v>
      </c>
      <c r="G31" s="157">
        <f>VLOOKUP(C31,'M_LC Summary'!A:L,12,0)</f>
        <v>12335918.542009998</v>
      </c>
      <c r="H31" s="157">
        <f t="shared" si="0"/>
        <v>30252081.457990002</v>
      </c>
      <c r="I31" s="157">
        <f>SUMIFS('PQ-Due Dates'!$L:$L,'PQ-Due Dates'!$A:$A,V_Detailed_Report!$C31,'PQ-Due Dates'!$M:$M,"&gt;="&amp;V_Detailed_Report!I$3,'PQ-Due Dates'!$M:$M,"&lt;="&amp;V_Detailed_Report!I$4)</f>
        <v>4960446.9619200006</v>
      </c>
      <c r="J31" s="157">
        <f>SUMIFS('PQ-Due Dates'!$L:$L,'PQ-Due Dates'!$A:$A,V_Detailed_Report!$C31,'PQ-Due Dates'!$M:$M,"&gt;="&amp;V_Detailed_Report!J$3,'PQ-Due Dates'!$M:$M,"&lt;="&amp;V_Detailed_Report!J$4)</f>
        <v>4566890.3481600005</v>
      </c>
      <c r="K31" s="157">
        <f>SUMIFS('PQ-Due Dates'!$L:$L,'PQ-Due Dates'!$A:$A,V_Detailed_Report!$C31,'PQ-Due Dates'!$M:$M,"&gt;="&amp;V_Detailed_Report!K$3,'PQ-Due Dates'!$M:$M,"&lt;="&amp;V_Detailed_Report!K$4)</f>
        <v>0</v>
      </c>
      <c r="L31" s="157">
        <f>SUMIFS('PQ-Due Dates'!$L:$L,'PQ-Due Dates'!$A:$A,V_Detailed_Report!$C31,'PQ-Due Dates'!$M:$M,"&gt;="&amp;V_Detailed_Report!L$3,'PQ-Due Dates'!$M:$M,"&lt;="&amp;V_Detailed_Report!L$4)</f>
        <v>0</v>
      </c>
      <c r="M31" s="157">
        <f>SUMIFS('PQ-Due Dates'!$L:$L,'PQ-Due Dates'!$A:$A,V_Detailed_Report!$C31,'PQ-Due Dates'!$M:$M,"&gt;="&amp;V_Detailed_Report!M$3,'PQ-Due Dates'!$M:$M,"&lt;="&amp;V_Detailed_Report!M$4)</f>
        <v>0</v>
      </c>
      <c r="N31" s="157">
        <f>SUMIFS('PQ-Due Dates'!$L:$L,'PQ-Due Dates'!$A:$A,V_Detailed_Report!$C31,'PQ-Due Dates'!$M:$M,"&gt;="&amp;V_Detailed_Report!N$3,'PQ-Due Dates'!$M:$M,"&lt;="&amp;V_Detailed_Report!N$4)</f>
        <v>0</v>
      </c>
      <c r="O31" s="157">
        <f>SUMIFS('PQ-Due Dates'!$L:$L,'PQ-Due Dates'!$A:$A,V_Detailed_Report!$C31,'PQ-Due Dates'!$M:$M,"&gt;="&amp;V_Detailed_Report!O$3,'PQ-Due Dates'!$M:$M,"&lt;="&amp;V_Detailed_Report!O$4)</f>
        <v>0</v>
      </c>
      <c r="P31" s="157">
        <f>SUMIFS('PQ-Due Dates'!$L:$L,'PQ-Due Dates'!$A:$A,V_Detailed_Report!$C31,'PQ-Due Dates'!$M:$M,"&gt;="&amp;V_Detailed_Report!P$3,'PQ-Due Dates'!$M:$M,"&lt;="&amp;V_Detailed_Report!P$4)</f>
        <v>0</v>
      </c>
      <c r="Q31" s="157">
        <f>SUMIFS('PQ-Due Dates'!$L:$L,'PQ-Due Dates'!$A:$A,V_Detailed_Report!$C31,'PQ-Due Dates'!$M:$M,"&gt;="&amp;V_Detailed_Report!Q$3,'PQ-Due Dates'!$M:$M,"&lt;="&amp;V_Detailed_Report!Q$4)</f>
        <v>0</v>
      </c>
      <c r="R31" s="157">
        <f>SUMIFS('PQ-Due Dates'!$L:$L,'PQ-Due Dates'!$A:$A,V_Detailed_Report!$C31,'PQ-Due Dates'!$M:$M,"&gt;="&amp;V_Detailed_Report!R$3,'PQ-Due Dates'!$M:$M,"&lt;="&amp;V_Detailed_Report!R$4)</f>
        <v>0</v>
      </c>
      <c r="S31" s="157">
        <f>SUMIFS('PQ-Due Dates'!$L:$L,'PQ-Due Dates'!$A:$A,V_Detailed_Report!$C31,'PQ-Due Dates'!$M:$M,"&gt;="&amp;V_Detailed_Report!S$3,'PQ-Due Dates'!$M:$M,"&lt;="&amp;V_Detailed_Report!S$4)</f>
        <v>0</v>
      </c>
      <c r="T31" s="157">
        <f>SUMIFS('PQ-Due Dates'!$L:$L,'PQ-Due Dates'!$A:$A,V_Detailed_Report!$C31,'PQ-Due Dates'!$M:$M,"&gt;="&amp;V_Detailed_Report!T$3,'PQ-Due Dates'!$M:$M,"&lt;="&amp;V_Detailed_Report!T$4)</f>
        <v>0</v>
      </c>
      <c r="U31" s="157">
        <f t="shared" si="1"/>
        <v>9527337.3100800011</v>
      </c>
      <c r="V31" s="157">
        <f t="shared" si="2"/>
        <v>20724744.147909999</v>
      </c>
      <c r="W31" s="157">
        <f t="shared" si="3"/>
        <v>30252081.457989998</v>
      </c>
    </row>
    <row r="32" spans="1:23" x14ac:dyDescent="0.25">
      <c r="A32" s="162" t="s">
        <v>151</v>
      </c>
      <c r="B32" s="162" t="s">
        <v>19</v>
      </c>
      <c r="C32" s="162" t="s">
        <v>254</v>
      </c>
      <c r="D32" s="162" t="str">
        <f>VLOOKUP(C32,'M_LC Summary'!A:F,6,0)</f>
        <v>SNB</v>
      </c>
      <c r="E32" s="162" t="str">
        <f>VLOOKUP(C32,'M_LC Summary'!A:C,3,0)</f>
        <v>ALNAFIE METAL INDUSTRIES CO LTD</v>
      </c>
      <c r="F32" s="157">
        <f>VLOOKUP(C32,'M_LC Summary'!A:K,11,0)</f>
        <v>18703391.850000001</v>
      </c>
      <c r="G32" s="157">
        <f>VLOOKUP(C32,'M_LC Summary'!A:L,12,0)</f>
        <v>17787660.100000001</v>
      </c>
      <c r="H32" s="157">
        <f t="shared" si="0"/>
        <v>915731.75</v>
      </c>
      <c r="I32" s="157">
        <f>SUMIFS('PQ-Due Dates'!$L:$L,'PQ-Due Dates'!$A:$A,V_Detailed_Report!$C32,'PQ-Due Dates'!$M:$M,"&gt;="&amp;V_Detailed_Report!I$3,'PQ-Due Dates'!$M:$M,"&lt;="&amp;V_Detailed_Report!I$4)</f>
        <v>0</v>
      </c>
      <c r="J32" s="157">
        <f>SUMIFS('PQ-Due Dates'!$L:$L,'PQ-Due Dates'!$A:$A,V_Detailed_Report!$C32,'PQ-Due Dates'!$M:$M,"&gt;="&amp;V_Detailed_Report!J$3,'PQ-Due Dates'!$M:$M,"&lt;="&amp;V_Detailed_Report!J$4)</f>
        <v>0</v>
      </c>
      <c r="K32" s="157">
        <f>SUMIFS('PQ-Due Dates'!$L:$L,'PQ-Due Dates'!$A:$A,V_Detailed_Report!$C32,'PQ-Due Dates'!$M:$M,"&gt;="&amp;V_Detailed_Report!K$3,'PQ-Due Dates'!$M:$M,"&lt;="&amp;V_Detailed_Report!K$4)</f>
        <v>0</v>
      </c>
      <c r="L32" s="157">
        <f>SUMIFS('PQ-Due Dates'!$L:$L,'PQ-Due Dates'!$A:$A,V_Detailed_Report!$C32,'PQ-Due Dates'!$M:$M,"&gt;="&amp;V_Detailed_Report!L$3,'PQ-Due Dates'!$M:$M,"&lt;="&amp;V_Detailed_Report!L$4)</f>
        <v>0</v>
      </c>
      <c r="M32" s="157">
        <f>SUMIFS('PQ-Due Dates'!$L:$L,'PQ-Due Dates'!$A:$A,V_Detailed_Report!$C32,'PQ-Due Dates'!$M:$M,"&gt;="&amp;V_Detailed_Report!M$3,'PQ-Due Dates'!$M:$M,"&lt;="&amp;V_Detailed_Report!M$4)</f>
        <v>0</v>
      </c>
      <c r="N32" s="157">
        <f>SUMIFS('PQ-Due Dates'!$L:$L,'PQ-Due Dates'!$A:$A,V_Detailed_Report!$C32,'PQ-Due Dates'!$M:$M,"&gt;="&amp;V_Detailed_Report!N$3,'PQ-Due Dates'!$M:$M,"&lt;="&amp;V_Detailed_Report!N$4)</f>
        <v>0</v>
      </c>
      <c r="O32" s="157">
        <f>SUMIFS('PQ-Due Dates'!$L:$L,'PQ-Due Dates'!$A:$A,V_Detailed_Report!$C32,'PQ-Due Dates'!$M:$M,"&gt;="&amp;V_Detailed_Report!O$3,'PQ-Due Dates'!$M:$M,"&lt;="&amp;V_Detailed_Report!O$4)</f>
        <v>0</v>
      </c>
      <c r="P32" s="157">
        <f>SUMIFS('PQ-Due Dates'!$L:$L,'PQ-Due Dates'!$A:$A,V_Detailed_Report!$C32,'PQ-Due Dates'!$M:$M,"&gt;="&amp;V_Detailed_Report!P$3,'PQ-Due Dates'!$M:$M,"&lt;="&amp;V_Detailed_Report!P$4)</f>
        <v>0</v>
      </c>
      <c r="Q32" s="157">
        <f>SUMIFS('PQ-Due Dates'!$L:$L,'PQ-Due Dates'!$A:$A,V_Detailed_Report!$C32,'PQ-Due Dates'!$M:$M,"&gt;="&amp;V_Detailed_Report!Q$3,'PQ-Due Dates'!$M:$M,"&lt;="&amp;V_Detailed_Report!Q$4)</f>
        <v>0</v>
      </c>
      <c r="R32" s="157">
        <f>SUMIFS('PQ-Due Dates'!$L:$L,'PQ-Due Dates'!$A:$A,V_Detailed_Report!$C32,'PQ-Due Dates'!$M:$M,"&gt;="&amp;V_Detailed_Report!R$3,'PQ-Due Dates'!$M:$M,"&lt;="&amp;V_Detailed_Report!R$4)</f>
        <v>0</v>
      </c>
      <c r="S32" s="157">
        <f>SUMIFS('PQ-Due Dates'!$L:$L,'PQ-Due Dates'!$A:$A,V_Detailed_Report!$C32,'PQ-Due Dates'!$M:$M,"&gt;="&amp;V_Detailed_Report!S$3,'PQ-Due Dates'!$M:$M,"&lt;="&amp;V_Detailed_Report!S$4)</f>
        <v>0</v>
      </c>
      <c r="T32" s="157">
        <f>SUMIFS('PQ-Due Dates'!$L:$L,'PQ-Due Dates'!$A:$A,V_Detailed_Report!$C32,'PQ-Due Dates'!$M:$M,"&gt;="&amp;V_Detailed_Report!T$3,'PQ-Due Dates'!$M:$M,"&lt;="&amp;V_Detailed_Report!T$4)</f>
        <v>0</v>
      </c>
      <c r="U32" s="157">
        <f t="shared" si="1"/>
        <v>0</v>
      </c>
      <c r="V32" s="157">
        <f t="shared" si="2"/>
        <v>915731.75</v>
      </c>
      <c r="W32" s="157">
        <f t="shared" si="3"/>
        <v>915731.75</v>
      </c>
    </row>
    <row r="33" spans="1:23" x14ac:dyDescent="0.25">
      <c r="A33" s="162" t="s">
        <v>151</v>
      </c>
      <c r="B33" s="162" t="s">
        <v>19</v>
      </c>
      <c r="C33" s="162" t="s">
        <v>272</v>
      </c>
      <c r="D33" s="162" t="str">
        <f>VLOOKUP(C33,'M_LC Summary'!A:F,6,0)</f>
        <v>SNB</v>
      </c>
      <c r="E33" s="162" t="str">
        <f>VLOOKUP(C33,'M_LC Summary'!A:C,3,0)</f>
        <v>APS ARABIAN CONTRACTING COMPANY</v>
      </c>
      <c r="F33" s="157">
        <f>VLOOKUP(C33,'M_LC Summary'!A:K,11,0)</f>
        <v>2072033.2</v>
      </c>
      <c r="G33" s="157">
        <f>VLOOKUP(C33,'M_LC Summary'!A:L,12,0)</f>
        <v>463730.6</v>
      </c>
      <c r="H33" s="157">
        <f t="shared" si="0"/>
        <v>1608302.6</v>
      </c>
      <c r="I33" s="157">
        <f>SUMIFS('PQ-Due Dates'!$L:$L,'PQ-Due Dates'!$A:$A,V_Detailed_Report!$C33,'PQ-Due Dates'!$M:$M,"&gt;="&amp;V_Detailed_Report!I$3,'PQ-Due Dates'!$M:$M,"&lt;="&amp;V_Detailed_Report!I$4)</f>
        <v>0</v>
      </c>
      <c r="J33" s="157">
        <f>SUMIFS('PQ-Due Dates'!$L:$L,'PQ-Due Dates'!$A:$A,V_Detailed_Report!$C33,'PQ-Due Dates'!$M:$M,"&gt;="&amp;V_Detailed_Report!J$3,'PQ-Due Dates'!$M:$M,"&lt;="&amp;V_Detailed_Report!J$4)</f>
        <v>652505.4</v>
      </c>
      <c r="K33" s="157">
        <f>SUMIFS('PQ-Due Dates'!$L:$L,'PQ-Due Dates'!$A:$A,V_Detailed_Report!$C33,'PQ-Due Dates'!$M:$M,"&gt;="&amp;V_Detailed_Report!K$3,'PQ-Due Dates'!$M:$M,"&lt;="&amp;V_Detailed_Report!K$4)</f>
        <v>0</v>
      </c>
      <c r="L33" s="157">
        <f>SUMIFS('PQ-Due Dates'!$L:$L,'PQ-Due Dates'!$A:$A,V_Detailed_Report!$C33,'PQ-Due Dates'!$M:$M,"&gt;="&amp;V_Detailed_Report!L$3,'PQ-Due Dates'!$M:$M,"&lt;="&amp;V_Detailed_Report!L$4)</f>
        <v>0</v>
      </c>
      <c r="M33" s="157">
        <f>SUMIFS('PQ-Due Dates'!$L:$L,'PQ-Due Dates'!$A:$A,V_Detailed_Report!$C33,'PQ-Due Dates'!$M:$M,"&gt;="&amp;V_Detailed_Report!M$3,'PQ-Due Dates'!$M:$M,"&lt;="&amp;V_Detailed_Report!M$4)</f>
        <v>0</v>
      </c>
      <c r="N33" s="157">
        <f>SUMIFS('PQ-Due Dates'!$L:$L,'PQ-Due Dates'!$A:$A,V_Detailed_Report!$C33,'PQ-Due Dates'!$M:$M,"&gt;="&amp;V_Detailed_Report!N$3,'PQ-Due Dates'!$M:$M,"&lt;="&amp;V_Detailed_Report!N$4)</f>
        <v>0</v>
      </c>
      <c r="O33" s="157">
        <f>SUMIFS('PQ-Due Dates'!$L:$L,'PQ-Due Dates'!$A:$A,V_Detailed_Report!$C33,'PQ-Due Dates'!$M:$M,"&gt;="&amp;V_Detailed_Report!O$3,'PQ-Due Dates'!$M:$M,"&lt;="&amp;V_Detailed_Report!O$4)</f>
        <v>0</v>
      </c>
      <c r="P33" s="157">
        <f>SUMIFS('PQ-Due Dates'!$L:$L,'PQ-Due Dates'!$A:$A,V_Detailed_Report!$C33,'PQ-Due Dates'!$M:$M,"&gt;="&amp;V_Detailed_Report!P$3,'PQ-Due Dates'!$M:$M,"&lt;="&amp;V_Detailed_Report!P$4)</f>
        <v>0</v>
      </c>
      <c r="Q33" s="157">
        <f>SUMIFS('PQ-Due Dates'!$L:$L,'PQ-Due Dates'!$A:$A,V_Detailed_Report!$C33,'PQ-Due Dates'!$M:$M,"&gt;="&amp;V_Detailed_Report!Q$3,'PQ-Due Dates'!$M:$M,"&lt;="&amp;V_Detailed_Report!Q$4)</f>
        <v>0</v>
      </c>
      <c r="R33" s="157">
        <f>SUMIFS('PQ-Due Dates'!$L:$L,'PQ-Due Dates'!$A:$A,V_Detailed_Report!$C33,'PQ-Due Dates'!$M:$M,"&gt;="&amp;V_Detailed_Report!R$3,'PQ-Due Dates'!$M:$M,"&lt;="&amp;V_Detailed_Report!R$4)</f>
        <v>0</v>
      </c>
      <c r="S33" s="157">
        <f>SUMIFS('PQ-Due Dates'!$L:$L,'PQ-Due Dates'!$A:$A,V_Detailed_Report!$C33,'PQ-Due Dates'!$M:$M,"&gt;="&amp;V_Detailed_Report!S$3,'PQ-Due Dates'!$M:$M,"&lt;="&amp;V_Detailed_Report!S$4)</f>
        <v>0</v>
      </c>
      <c r="T33" s="157">
        <f>SUMIFS('PQ-Due Dates'!$L:$L,'PQ-Due Dates'!$A:$A,V_Detailed_Report!$C33,'PQ-Due Dates'!$M:$M,"&gt;="&amp;V_Detailed_Report!T$3,'PQ-Due Dates'!$M:$M,"&lt;="&amp;V_Detailed_Report!T$4)</f>
        <v>0</v>
      </c>
      <c r="U33" s="157">
        <f t="shared" si="1"/>
        <v>652505.4</v>
      </c>
      <c r="V33" s="157">
        <f t="shared" si="2"/>
        <v>955797.20000000007</v>
      </c>
      <c r="W33" s="157">
        <f t="shared" si="3"/>
        <v>1608302.6</v>
      </c>
    </row>
    <row r="34" spans="1:23" x14ac:dyDescent="0.25">
      <c r="A34" s="162" t="s">
        <v>151</v>
      </c>
      <c r="B34" s="162" t="s">
        <v>19</v>
      </c>
      <c r="C34" s="162" t="s">
        <v>325</v>
      </c>
      <c r="D34" s="162" t="str">
        <f>VLOOKUP(C34,'M_LC Summary'!A:F,6,0)</f>
        <v>SNB</v>
      </c>
      <c r="E34" s="162" t="str">
        <f>VLOOKUP(C34,'M_LC Summary'!A:C,3,0)</f>
        <v>Al Talal Modern Est</v>
      </c>
      <c r="F34" s="157">
        <f>VLOOKUP(C34,'M_LC Summary'!A:K,11,0)</f>
        <v>400000</v>
      </c>
      <c r="G34" s="157">
        <f>VLOOKUP(C34,'M_LC Summary'!A:L,12,0)</f>
        <v>0</v>
      </c>
      <c r="H34" s="157">
        <f t="shared" si="0"/>
        <v>400000</v>
      </c>
      <c r="I34" s="157">
        <f>SUMIFS('PQ-Due Dates'!$L:$L,'PQ-Due Dates'!$A:$A,V_Detailed_Report!$C34,'PQ-Due Dates'!$M:$M,"&gt;="&amp;V_Detailed_Report!I$3,'PQ-Due Dates'!$M:$M,"&lt;="&amp;V_Detailed_Report!I$4)</f>
        <v>0</v>
      </c>
      <c r="J34" s="157">
        <f>SUMIFS('PQ-Due Dates'!$L:$L,'PQ-Due Dates'!$A:$A,V_Detailed_Report!$C34,'PQ-Due Dates'!$M:$M,"&gt;="&amp;V_Detailed_Report!J$3,'PQ-Due Dates'!$M:$M,"&lt;="&amp;V_Detailed_Report!J$4)</f>
        <v>0</v>
      </c>
      <c r="K34" s="157">
        <f>SUMIFS('PQ-Due Dates'!$L:$L,'PQ-Due Dates'!$A:$A,V_Detailed_Report!$C34,'PQ-Due Dates'!$M:$M,"&gt;="&amp;V_Detailed_Report!K$3,'PQ-Due Dates'!$M:$M,"&lt;="&amp;V_Detailed_Report!K$4)</f>
        <v>0</v>
      </c>
      <c r="L34" s="157">
        <f>SUMIFS('PQ-Due Dates'!$L:$L,'PQ-Due Dates'!$A:$A,V_Detailed_Report!$C34,'PQ-Due Dates'!$M:$M,"&gt;="&amp;V_Detailed_Report!L$3,'PQ-Due Dates'!$M:$M,"&lt;="&amp;V_Detailed_Report!L$4)</f>
        <v>0</v>
      </c>
      <c r="M34" s="157">
        <f>SUMIFS('PQ-Due Dates'!$L:$L,'PQ-Due Dates'!$A:$A,V_Detailed_Report!$C34,'PQ-Due Dates'!$M:$M,"&gt;="&amp;V_Detailed_Report!M$3,'PQ-Due Dates'!$M:$M,"&lt;="&amp;V_Detailed_Report!M$4)</f>
        <v>0</v>
      </c>
      <c r="N34" s="157">
        <f>SUMIFS('PQ-Due Dates'!$L:$L,'PQ-Due Dates'!$A:$A,V_Detailed_Report!$C34,'PQ-Due Dates'!$M:$M,"&gt;="&amp;V_Detailed_Report!N$3,'PQ-Due Dates'!$M:$M,"&lt;="&amp;V_Detailed_Report!N$4)</f>
        <v>0</v>
      </c>
      <c r="O34" s="157">
        <f>SUMIFS('PQ-Due Dates'!$L:$L,'PQ-Due Dates'!$A:$A,V_Detailed_Report!$C34,'PQ-Due Dates'!$M:$M,"&gt;="&amp;V_Detailed_Report!O$3,'PQ-Due Dates'!$M:$M,"&lt;="&amp;V_Detailed_Report!O$4)</f>
        <v>0</v>
      </c>
      <c r="P34" s="157">
        <f>SUMIFS('PQ-Due Dates'!$L:$L,'PQ-Due Dates'!$A:$A,V_Detailed_Report!$C34,'PQ-Due Dates'!$M:$M,"&gt;="&amp;V_Detailed_Report!P$3,'PQ-Due Dates'!$M:$M,"&lt;="&amp;V_Detailed_Report!P$4)</f>
        <v>0</v>
      </c>
      <c r="Q34" s="157">
        <f>SUMIFS('PQ-Due Dates'!$L:$L,'PQ-Due Dates'!$A:$A,V_Detailed_Report!$C34,'PQ-Due Dates'!$M:$M,"&gt;="&amp;V_Detailed_Report!Q$3,'PQ-Due Dates'!$M:$M,"&lt;="&amp;V_Detailed_Report!Q$4)</f>
        <v>0</v>
      </c>
      <c r="R34" s="157">
        <f>SUMIFS('PQ-Due Dates'!$L:$L,'PQ-Due Dates'!$A:$A,V_Detailed_Report!$C34,'PQ-Due Dates'!$M:$M,"&gt;="&amp;V_Detailed_Report!R$3,'PQ-Due Dates'!$M:$M,"&lt;="&amp;V_Detailed_Report!R$4)</f>
        <v>0</v>
      </c>
      <c r="S34" s="157">
        <f>SUMIFS('PQ-Due Dates'!$L:$L,'PQ-Due Dates'!$A:$A,V_Detailed_Report!$C34,'PQ-Due Dates'!$M:$M,"&gt;="&amp;V_Detailed_Report!S$3,'PQ-Due Dates'!$M:$M,"&lt;="&amp;V_Detailed_Report!S$4)</f>
        <v>0</v>
      </c>
      <c r="T34" s="157">
        <f>SUMIFS('PQ-Due Dates'!$L:$L,'PQ-Due Dates'!$A:$A,V_Detailed_Report!$C34,'PQ-Due Dates'!$M:$M,"&gt;="&amp;V_Detailed_Report!T$3,'PQ-Due Dates'!$M:$M,"&lt;="&amp;V_Detailed_Report!T$4)</f>
        <v>0</v>
      </c>
      <c r="U34" s="157">
        <f t="shared" si="1"/>
        <v>0</v>
      </c>
      <c r="V34" s="157">
        <f t="shared" si="2"/>
        <v>400000</v>
      </c>
      <c r="W34" s="157">
        <f t="shared" si="3"/>
        <v>400000</v>
      </c>
    </row>
    <row r="35" spans="1:23" x14ac:dyDescent="0.25">
      <c r="A35" s="162" t="s">
        <v>151</v>
      </c>
      <c r="B35" s="162" t="s">
        <v>19</v>
      </c>
      <c r="C35" s="162" t="s">
        <v>352</v>
      </c>
      <c r="D35" s="162" t="str">
        <f>VLOOKUP(C35,'M_LC Summary'!A:F,6,0)</f>
        <v>SNB</v>
      </c>
      <c r="E35" s="162" t="str">
        <f>VLOOKUP(C35,'M_LC Summary'!A:C,3,0)</f>
        <v>Building System Intelligent Contractor BSICO</v>
      </c>
      <c r="F35" s="157">
        <f>VLOOKUP(C35,'M_LC Summary'!A:K,11,0)</f>
        <v>274384</v>
      </c>
      <c r="G35" s="157">
        <f>VLOOKUP(C35,'M_LC Summary'!A:L,12,0)</f>
        <v>0</v>
      </c>
      <c r="H35" s="157">
        <f t="shared" si="0"/>
        <v>274384</v>
      </c>
      <c r="I35" s="157">
        <f>SUMIFS('PQ-Due Dates'!$L:$L,'PQ-Due Dates'!$A:$A,V_Detailed_Report!$C35,'PQ-Due Dates'!$M:$M,"&gt;="&amp;V_Detailed_Report!I$3,'PQ-Due Dates'!$M:$M,"&lt;="&amp;V_Detailed_Report!I$4)</f>
        <v>0</v>
      </c>
      <c r="J35" s="157">
        <f>SUMIFS('PQ-Due Dates'!$L:$L,'PQ-Due Dates'!$A:$A,V_Detailed_Report!$C35,'PQ-Due Dates'!$M:$M,"&gt;="&amp;V_Detailed_Report!J$3,'PQ-Due Dates'!$M:$M,"&lt;="&amp;V_Detailed_Report!J$4)</f>
        <v>0</v>
      </c>
      <c r="K35" s="157">
        <f>SUMIFS('PQ-Due Dates'!$L:$L,'PQ-Due Dates'!$A:$A,V_Detailed_Report!$C35,'PQ-Due Dates'!$M:$M,"&gt;="&amp;V_Detailed_Report!K$3,'PQ-Due Dates'!$M:$M,"&lt;="&amp;V_Detailed_Report!K$4)</f>
        <v>0</v>
      </c>
      <c r="L35" s="157">
        <f>SUMIFS('PQ-Due Dates'!$L:$L,'PQ-Due Dates'!$A:$A,V_Detailed_Report!$C35,'PQ-Due Dates'!$M:$M,"&gt;="&amp;V_Detailed_Report!L$3,'PQ-Due Dates'!$M:$M,"&lt;="&amp;V_Detailed_Report!L$4)</f>
        <v>0</v>
      </c>
      <c r="M35" s="157">
        <f>SUMIFS('PQ-Due Dates'!$L:$L,'PQ-Due Dates'!$A:$A,V_Detailed_Report!$C35,'PQ-Due Dates'!$M:$M,"&gt;="&amp;V_Detailed_Report!M$3,'PQ-Due Dates'!$M:$M,"&lt;="&amp;V_Detailed_Report!M$4)</f>
        <v>0</v>
      </c>
      <c r="N35" s="157">
        <f>SUMIFS('PQ-Due Dates'!$L:$L,'PQ-Due Dates'!$A:$A,V_Detailed_Report!$C35,'PQ-Due Dates'!$M:$M,"&gt;="&amp;V_Detailed_Report!N$3,'PQ-Due Dates'!$M:$M,"&lt;="&amp;V_Detailed_Report!N$4)</f>
        <v>0</v>
      </c>
      <c r="O35" s="157">
        <f>SUMIFS('PQ-Due Dates'!$L:$L,'PQ-Due Dates'!$A:$A,V_Detailed_Report!$C35,'PQ-Due Dates'!$M:$M,"&gt;="&amp;V_Detailed_Report!O$3,'PQ-Due Dates'!$M:$M,"&lt;="&amp;V_Detailed_Report!O$4)</f>
        <v>0</v>
      </c>
      <c r="P35" s="157">
        <f>SUMIFS('PQ-Due Dates'!$L:$L,'PQ-Due Dates'!$A:$A,V_Detailed_Report!$C35,'PQ-Due Dates'!$M:$M,"&gt;="&amp;V_Detailed_Report!P$3,'PQ-Due Dates'!$M:$M,"&lt;="&amp;V_Detailed_Report!P$4)</f>
        <v>0</v>
      </c>
      <c r="Q35" s="157">
        <f>SUMIFS('PQ-Due Dates'!$L:$L,'PQ-Due Dates'!$A:$A,V_Detailed_Report!$C35,'PQ-Due Dates'!$M:$M,"&gt;="&amp;V_Detailed_Report!Q$3,'PQ-Due Dates'!$M:$M,"&lt;="&amp;V_Detailed_Report!Q$4)</f>
        <v>0</v>
      </c>
      <c r="R35" s="157">
        <f>SUMIFS('PQ-Due Dates'!$L:$L,'PQ-Due Dates'!$A:$A,V_Detailed_Report!$C35,'PQ-Due Dates'!$M:$M,"&gt;="&amp;V_Detailed_Report!R$3,'PQ-Due Dates'!$M:$M,"&lt;="&amp;V_Detailed_Report!R$4)</f>
        <v>0</v>
      </c>
      <c r="S35" s="157">
        <f>SUMIFS('PQ-Due Dates'!$L:$L,'PQ-Due Dates'!$A:$A,V_Detailed_Report!$C35,'PQ-Due Dates'!$M:$M,"&gt;="&amp;V_Detailed_Report!S$3,'PQ-Due Dates'!$M:$M,"&lt;="&amp;V_Detailed_Report!S$4)</f>
        <v>0</v>
      </c>
      <c r="T35" s="157">
        <f>SUMIFS('PQ-Due Dates'!$L:$L,'PQ-Due Dates'!$A:$A,V_Detailed_Report!$C35,'PQ-Due Dates'!$M:$M,"&gt;="&amp;V_Detailed_Report!T$3,'PQ-Due Dates'!$M:$M,"&lt;="&amp;V_Detailed_Report!T$4)</f>
        <v>0</v>
      </c>
      <c r="U35" s="157">
        <f t="shared" si="1"/>
        <v>0</v>
      </c>
      <c r="V35" s="157">
        <f t="shared" si="2"/>
        <v>274384</v>
      </c>
      <c r="W35" s="157">
        <f t="shared" si="3"/>
        <v>274384</v>
      </c>
    </row>
    <row r="36" spans="1:23" x14ac:dyDescent="0.25">
      <c r="A36" s="162" t="s">
        <v>151</v>
      </c>
      <c r="B36" s="162" t="s">
        <v>19</v>
      </c>
      <c r="C36" s="162" t="s">
        <v>354</v>
      </c>
      <c r="D36" s="162" t="str">
        <f>VLOOKUP(C36,'M_LC Summary'!A:F,6,0)</f>
        <v>SNB</v>
      </c>
      <c r="E36" s="162" t="str">
        <f>VLOOKUP(C36,'M_LC Summary'!A:C,3,0)</f>
        <v>Koon Trading Company</v>
      </c>
      <c r="F36" s="157">
        <f>VLOOKUP(C36,'M_LC Summary'!A:K,11,0)</f>
        <v>400000</v>
      </c>
      <c r="G36" s="157">
        <f>VLOOKUP(C36,'M_LC Summary'!A:L,12,0)</f>
        <v>0</v>
      </c>
      <c r="H36" s="157">
        <f t="shared" si="0"/>
        <v>400000</v>
      </c>
      <c r="I36" s="157">
        <f>SUMIFS('PQ-Due Dates'!$L:$L,'PQ-Due Dates'!$A:$A,V_Detailed_Report!$C36,'PQ-Due Dates'!$M:$M,"&gt;="&amp;V_Detailed_Report!I$3,'PQ-Due Dates'!$M:$M,"&lt;="&amp;V_Detailed_Report!I$4)</f>
        <v>0</v>
      </c>
      <c r="J36" s="157">
        <f>SUMIFS('PQ-Due Dates'!$L:$L,'PQ-Due Dates'!$A:$A,V_Detailed_Report!$C36,'PQ-Due Dates'!$M:$M,"&gt;="&amp;V_Detailed_Report!J$3,'PQ-Due Dates'!$M:$M,"&lt;="&amp;V_Detailed_Report!J$4)</f>
        <v>0</v>
      </c>
      <c r="K36" s="157">
        <f>SUMIFS('PQ-Due Dates'!$L:$L,'PQ-Due Dates'!$A:$A,V_Detailed_Report!$C36,'PQ-Due Dates'!$M:$M,"&gt;="&amp;V_Detailed_Report!K$3,'PQ-Due Dates'!$M:$M,"&lt;="&amp;V_Detailed_Report!K$4)</f>
        <v>0</v>
      </c>
      <c r="L36" s="157">
        <f>SUMIFS('PQ-Due Dates'!$L:$L,'PQ-Due Dates'!$A:$A,V_Detailed_Report!$C36,'PQ-Due Dates'!$M:$M,"&gt;="&amp;V_Detailed_Report!L$3,'PQ-Due Dates'!$M:$M,"&lt;="&amp;V_Detailed_Report!L$4)</f>
        <v>0</v>
      </c>
      <c r="M36" s="157">
        <f>SUMIFS('PQ-Due Dates'!$L:$L,'PQ-Due Dates'!$A:$A,V_Detailed_Report!$C36,'PQ-Due Dates'!$M:$M,"&gt;="&amp;V_Detailed_Report!M$3,'PQ-Due Dates'!$M:$M,"&lt;="&amp;V_Detailed_Report!M$4)</f>
        <v>0</v>
      </c>
      <c r="N36" s="157">
        <f>SUMIFS('PQ-Due Dates'!$L:$L,'PQ-Due Dates'!$A:$A,V_Detailed_Report!$C36,'PQ-Due Dates'!$M:$M,"&gt;="&amp;V_Detailed_Report!N$3,'PQ-Due Dates'!$M:$M,"&lt;="&amp;V_Detailed_Report!N$4)</f>
        <v>0</v>
      </c>
      <c r="O36" s="157">
        <f>SUMIFS('PQ-Due Dates'!$L:$L,'PQ-Due Dates'!$A:$A,V_Detailed_Report!$C36,'PQ-Due Dates'!$M:$M,"&gt;="&amp;V_Detailed_Report!O$3,'PQ-Due Dates'!$M:$M,"&lt;="&amp;V_Detailed_Report!O$4)</f>
        <v>0</v>
      </c>
      <c r="P36" s="157">
        <f>SUMIFS('PQ-Due Dates'!$L:$L,'PQ-Due Dates'!$A:$A,V_Detailed_Report!$C36,'PQ-Due Dates'!$M:$M,"&gt;="&amp;V_Detailed_Report!P$3,'PQ-Due Dates'!$M:$M,"&lt;="&amp;V_Detailed_Report!P$4)</f>
        <v>0</v>
      </c>
      <c r="Q36" s="157">
        <f>SUMIFS('PQ-Due Dates'!$L:$L,'PQ-Due Dates'!$A:$A,V_Detailed_Report!$C36,'PQ-Due Dates'!$M:$M,"&gt;="&amp;V_Detailed_Report!Q$3,'PQ-Due Dates'!$M:$M,"&lt;="&amp;V_Detailed_Report!Q$4)</f>
        <v>0</v>
      </c>
      <c r="R36" s="157">
        <f>SUMIFS('PQ-Due Dates'!$L:$L,'PQ-Due Dates'!$A:$A,V_Detailed_Report!$C36,'PQ-Due Dates'!$M:$M,"&gt;="&amp;V_Detailed_Report!R$3,'PQ-Due Dates'!$M:$M,"&lt;="&amp;V_Detailed_Report!R$4)</f>
        <v>0</v>
      </c>
      <c r="S36" s="157">
        <f>SUMIFS('PQ-Due Dates'!$L:$L,'PQ-Due Dates'!$A:$A,V_Detailed_Report!$C36,'PQ-Due Dates'!$M:$M,"&gt;="&amp;V_Detailed_Report!S$3,'PQ-Due Dates'!$M:$M,"&lt;="&amp;V_Detailed_Report!S$4)</f>
        <v>0</v>
      </c>
      <c r="T36" s="157">
        <f>SUMIFS('PQ-Due Dates'!$L:$L,'PQ-Due Dates'!$A:$A,V_Detailed_Report!$C36,'PQ-Due Dates'!$M:$M,"&gt;="&amp;V_Detailed_Report!T$3,'PQ-Due Dates'!$M:$M,"&lt;="&amp;V_Detailed_Report!T$4)</f>
        <v>0</v>
      </c>
      <c r="U36" s="157">
        <f t="shared" si="1"/>
        <v>0</v>
      </c>
      <c r="V36" s="157">
        <f t="shared" si="2"/>
        <v>400000</v>
      </c>
      <c r="W36" s="157">
        <f t="shared" si="3"/>
        <v>400000</v>
      </c>
    </row>
    <row r="37" spans="1:23" x14ac:dyDescent="0.25">
      <c r="A37" s="162" t="s">
        <v>151</v>
      </c>
      <c r="B37" s="162" t="s">
        <v>19</v>
      </c>
      <c r="C37" s="162" t="s">
        <v>367</v>
      </c>
      <c r="D37" s="162" t="str">
        <f>VLOOKUP(C37,'M_LC Summary'!A:F,6,0)</f>
        <v>SNB</v>
      </c>
      <c r="E37" s="162" t="str">
        <f>VLOOKUP(C37,'M_LC Summary'!A:C,3,0)</f>
        <v>Safid Co Ltd</v>
      </c>
      <c r="F37" s="157">
        <f>VLOOKUP(C37,'M_LC Summary'!A:K,11,0)</f>
        <v>500000</v>
      </c>
      <c r="G37" s="157">
        <f>VLOOKUP(C37,'M_LC Summary'!A:L,12,0)</f>
        <v>0</v>
      </c>
      <c r="H37" s="157">
        <f t="shared" si="0"/>
        <v>500000</v>
      </c>
      <c r="I37" s="157">
        <f>SUMIFS('PQ-Due Dates'!$L:$L,'PQ-Due Dates'!$A:$A,V_Detailed_Report!$C37,'PQ-Due Dates'!$M:$M,"&gt;="&amp;V_Detailed_Report!I$3,'PQ-Due Dates'!$M:$M,"&lt;="&amp;V_Detailed_Report!I$4)</f>
        <v>0</v>
      </c>
      <c r="J37" s="157">
        <f>SUMIFS('PQ-Due Dates'!$L:$L,'PQ-Due Dates'!$A:$A,V_Detailed_Report!$C37,'PQ-Due Dates'!$M:$M,"&gt;="&amp;V_Detailed_Report!J$3,'PQ-Due Dates'!$M:$M,"&lt;="&amp;V_Detailed_Report!J$4)</f>
        <v>0</v>
      </c>
      <c r="K37" s="157">
        <f>SUMIFS('PQ-Due Dates'!$L:$L,'PQ-Due Dates'!$A:$A,V_Detailed_Report!$C37,'PQ-Due Dates'!$M:$M,"&gt;="&amp;V_Detailed_Report!K$3,'PQ-Due Dates'!$M:$M,"&lt;="&amp;V_Detailed_Report!K$4)</f>
        <v>0</v>
      </c>
      <c r="L37" s="157">
        <f>SUMIFS('PQ-Due Dates'!$L:$L,'PQ-Due Dates'!$A:$A,V_Detailed_Report!$C37,'PQ-Due Dates'!$M:$M,"&gt;="&amp;V_Detailed_Report!L$3,'PQ-Due Dates'!$M:$M,"&lt;="&amp;V_Detailed_Report!L$4)</f>
        <v>500000</v>
      </c>
      <c r="M37" s="157">
        <f>SUMIFS('PQ-Due Dates'!$L:$L,'PQ-Due Dates'!$A:$A,V_Detailed_Report!$C37,'PQ-Due Dates'!$M:$M,"&gt;="&amp;V_Detailed_Report!M$3,'PQ-Due Dates'!$M:$M,"&lt;="&amp;V_Detailed_Report!M$4)</f>
        <v>0</v>
      </c>
      <c r="N37" s="157">
        <f>SUMIFS('PQ-Due Dates'!$L:$L,'PQ-Due Dates'!$A:$A,V_Detailed_Report!$C37,'PQ-Due Dates'!$M:$M,"&gt;="&amp;V_Detailed_Report!N$3,'PQ-Due Dates'!$M:$M,"&lt;="&amp;V_Detailed_Report!N$4)</f>
        <v>0</v>
      </c>
      <c r="O37" s="157">
        <f>SUMIFS('PQ-Due Dates'!$L:$L,'PQ-Due Dates'!$A:$A,V_Detailed_Report!$C37,'PQ-Due Dates'!$M:$M,"&gt;="&amp;V_Detailed_Report!O$3,'PQ-Due Dates'!$M:$M,"&lt;="&amp;V_Detailed_Report!O$4)</f>
        <v>0</v>
      </c>
      <c r="P37" s="157">
        <f>SUMIFS('PQ-Due Dates'!$L:$L,'PQ-Due Dates'!$A:$A,V_Detailed_Report!$C37,'PQ-Due Dates'!$M:$M,"&gt;="&amp;V_Detailed_Report!P$3,'PQ-Due Dates'!$M:$M,"&lt;="&amp;V_Detailed_Report!P$4)</f>
        <v>0</v>
      </c>
      <c r="Q37" s="157">
        <f>SUMIFS('PQ-Due Dates'!$L:$L,'PQ-Due Dates'!$A:$A,V_Detailed_Report!$C37,'PQ-Due Dates'!$M:$M,"&gt;="&amp;V_Detailed_Report!Q$3,'PQ-Due Dates'!$M:$M,"&lt;="&amp;V_Detailed_Report!Q$4)</f>
        <v>0</v>
      </c>
      <c r="R37" s="157">
        <f>SUMIFS('PQ-Due Dates'!$L:$L,'PQ-Due Dates'!$A:$A,V_Detailed_Report!$C37,'PQ-Due Dates'!$M:$M,"&gt;="&amp;V_Detailed_Report!R$3,'PQ-Due Dates'!$M:$M,"&lt;="&amp;V_Detailed_Report!R$4)</f>
        <v>0</v>
      </c>
      <c r="S37" s="157">
        <f>SUMIFS('PQ-Due Dates'!$L:$L,'PQ-Due Dates'!$A:$A,V_Detailed_Report!$C37,'PQ-Due Dates'!$M:$M,"&gt;="&amp;V_Detailed_Report!S$3,'PQ-Due Dates'!$M:$M,"&lt;="&amp;V_Detailed_Report!S$4)</f>
        <v>0</v>
      </c>
      <c r="T37" s="157">
        <f>SUMIFS('PQ-Due Dates'!$L:$L,'PQ-Due Dates'!$A:$A,V_Detailed_Report!$C37,'PQ-Due Dates'!$M:$M,"&gt;="&amp;V_Detailed_Report!T$3,'PQ-Due Dates'!$M:$M,"&lt;="&amp;V_Detailed_Report!T$4)</f>
        <v>0</v>
      </c>
      <c r="U37" s="157">
        <f t="shared" si="1"/>
        <v>500000</v>
      </c>
      <c r="V37" s="157">
        <f t="shared" si="2"/>
        <v>0</v>
      </c>
      <c r="W37" s="157">
        <f t="shared" si="3"/>
        <v>500000</v>
      </c>
    </row>
    <row r="38" spans="1:23" x14ac:dyDescent="0.25">
      <c r="A38" s="162" t="s">
        <v>151</v>
      </c>
      <c r="B38" s="162" t="s">
        <v>19</v>
      </c>
      <c r="C38" s="162" t="s">
        <v>417</v>
      </c>
      <c r="D38" s="162" t="str">
        <f>VLOOKUP(C38,'M_LC Summary'!A:F,6,0)</f>
        <v>SNB</v>
      </c>
      <c r="E38" s="162" t="str">
        <f>VLOOKUP(C38,'M_LC Summary'!A:C,3,0)</f>
        <v>Saudi Electric Supply Company Limited(SESCO)</v>
      </c>
      <c r="F38" s="157">
        <f>VLOOKUP(C38,'M_LC Summary'!A:K,11,0)</f>
        <v>650000</v>
      </c>
      <c r="G38" s="157">
        <f>VLOOKUP(C38,'M_LC Summary'!A:L,12,0)</f>
        <v>0</v>
      </c>
      <c r="H38" s="157">
        <f t="shared" si="0"/>
        <v>650000</v>
      </c>
      <c r="I38" s="157">
        <f>SUMIFS('PQ-Due Dates'!$L:$L,'PQ-Due Dates'!$A:$A,V_Detailed_Report!$C38,'PQ-Due Dates'!$M:$M,"&gt;="&amp;V_Detailed_Report!I$3,'PQ-Due Dates'!$M:$M,"&lt;="&amp;V_Detailed_Report!I$4)</f>
        <v>0</v>
      </c>
      <c r="J38" s="157">
        <f>SUMIFS('PQ-Due Dates'!$L:$L,'PQ-Due Dates'!$A:$A,V_Detailed_Report!$C38,'PQ-Due Dates'!$M:$M,"&gt;="&amp;V_Detailed_Report!J$3,'PQ-Due Dates'!$M:$M,"&lt;="&amp;V_Detailed_Report!J$4)</f>
        <v>0</v>
      </c>
      <c r="K38" s="157">
        <f>SUMIFS('PQ-Due Dates'!$L:$L,'PQ-Due Dates'!$A:$A,V_Detailed_Report!$C38,'PQ-Due Dates'!$M:$M,"&gt;="&amp;V_Detailed_Report!K$3,'PQ-Due Dates'!$M:$M,"&lt;="&amp;V_Detailed_Report!K$4)</f>
        <v>0</v>
      </c>
      <c r="L38" s="157">
        <f>SUMIFS('PQ-Due Dates'!$L:$L,'PQ-Due Dates'!$A:$A,V_Detailed_Report!$C38,'PQ-Due Dates'!$M:$M,"&gt;="&amp;V_Detailed_Report!L$3,'PQ-Due Dates'!$M:$M,"&lt;="&amp;V_Detailed_Report!L$4)</f>
        <v>0</v>
      </c>
      <c r="M38" s="157">
        <f>SUMIFS('PQ-Due Dates'!$L:$L,'PQ-Due Dates'!$A:$A,V_Detailed_Report!$C38,'PQ-Due Dates'!$M:$M,"&gt;="&amp;V_Detailed_Report!M$3,'PQ-Due Dates'!$M:$M,"&lt;="&amp;V_Detailed_Report!M$4)</f>
        <v>0</v>
      </c>
      <c r="N38" s="157">
        <f>SUMIFS('PQ-Due Dates'!$L:$L,'PQ-Due Dates'!$A:$A,V_Detailed_Report!$C38,'PQ-Due Dates'!$M:$M,"&gt;="&amp;V_Detailed_Report!N$3,'PQ-Due Dates'!$M:$M,"&lt;="&amp;V_Detailed_Report!N$4)</f>
        <v>0</v>
      </c>
      <c r="O38" s="157">
        <f>SUMIFS('PQ-Due Dates'!$L:$L,'PQ-Due Dates'!$A:$A,V_Detailed_Report!$C38,'PQ-Due Dates'!$M:$M,"&gt;="&amp;V_Detailed_Report!O$3,'PQ-Due Dates'!$M:$M,"&lt;="&amp;V_Detailed_Report!O$4)</f>
        <v>0</v>
      </c>
      <c r="P38" s="157">
        <f>SUMIFS('PQ-Due Dates'!$L:$L,'PQ-Due Dates'!$A:$A,V_Detailed_Report!$C38,'PQ-Due Dates'!$M:$M,"&gt;="&amp;V_Detailed_Report!P$3,'PQ-Due Dates'!$M:$M,"&lt;="&amp;V_Detailed_Report!P$4)</f>
        <v>0</v>
      </c>
      <c r="Q38" s="157">
        <f>SUMIFS('PQ-Due Dates'!$L:$L,'PQ-Due Dates'!$A:$A,V_Detailed_Report!$C38,'PQ-Due Dates'!$M:$M,"&gt;="&amp;V_Detailed_Report!Q$3,'PQ-Due Dates'!$M:$M,"&lt;="&amp;V_Detailed_Report!Q$4)</f>
        <v>0</v>
      </c>
      <c r="R38" s="157">
        <f>SUMIFS('PQ-Due Dates'!$L:$L,'PQ-Due Dates'!$A:$A,V_Detailed_Report!$C38,'PQ-Due Dates'!$M:$M,"&gt;="&amp;V_Detailed_Report!R$3,'PQ-Due Dates'!$M:$M,"&lt;="&amp;V_Detailed_Report!R$4)</f>
        <v>0</v>
      </c>
      <c r="S38" s="157">
        <f>SUMIFS('PQ-Due Dates'!$L:$L,'PQ-Due Dates'!$A:$A,V_Detailed_Report!$C38,'PQ-Due Dates'!$M:$M,"&gt;="&amp;V_Detailed_Report!S$3,'PQ-Due Dates'!$M:$M,"&lt;="&amp;V_Detailed_Report!S$4)</f>
        <v>0</v>
      </c>
      <c r="T38" s="157">
        <f>SUMIFS('PQ-Due Dates'!$L:$L,'PQ-Due Dates'!$A:$A,V_Detailed_Report!$C38,'PQ-Due Dates'!$M:$M,"&gt;="&amp;V_Detailed_Report!T$3,'PQ-Due Dates'!$M:$M,"&lt;="&amp;V_Detailed_Report!T$4)</f>
        <v>0</v>
      </c>
      <c r="U38" s="157">
        <f t="shared" si="1"/>
        <v>0</v>
      </c>
      <c r="V38" s="157">
        <f t="shared" si="2"/>
        <v>650000</v>
      </c>
      <c r="W38" s="157">
        <f t="shared" si="3"/>
        <v>650000</v>
      </c>
    </row>
    <row r="39" spans="1:23" x14ac:dyDescent="0.25">
      <c r="A39" s="162" t="s">
        <v>151</v>
      </c>
      <c r="B39" s="162" t="s">
        <v>19</v>
      </c>
      <c r="C39" s="162" t="s">
        <v>422</v>
      </c>
      <c r="D39" s="162" t="str">
        <f>VLOOKUP(C39,'M_LC Summary'!A:F,6,0)</f>
        <v>SNB</v>
      </c>
      <c r="E39" s="162" t="str">
        <f>VLOOKUP(C39,'M_LC Summary'!A:C,3,0)</f>
        <v>ALNAFIE METAL INDUSTRIES CO LTD</v>
      </c>
      <c r="F39" s="157">
        <f>VLOOKUP(C39,'M_LC Summary'!A:K,11,0)</f>
        <v>7446132.75</v>
      </c>
      <c r="G39" s="157">
        <f>VLOOKUP(C39,'M_LC Summary'!A:L,12,0)</f>
        <v>2500000</v>
      </c>
      <c r="H39" s="157">
        <f t="shared" si="0"/>
        <v>4946132.75</v>
      </c>
      <c r="I39" s="157">
        <f>SUMIFS('PQ-Due Dates'!$L:$L,'PQ-Due Dates'!$A:$A,V_Detailed_Report!$C39,'PQ-Due Dates'!$M:$M,"&gt;="&amp;V_Detailed_Report!I$3,'PQ-Due Dates'!$M:$M,"&lt;="&amp;V_Detailed_Report!I$4)</f>
        <v>0</v>
      </c>
      <c r="J39" s="157">
        <f>SUMIFS('PQ-Due Dates'!$L:$L,'PQ-Due Dates'!$A:$A,V_Detailed_Report!$C39,'PQ-Due Dates'!$M:$M,"&gt;="&amp;V_Detailed_Report!J$3,'PQ-Due Dates'!$M:$M,"&lt;="&amp;V_Detailed_Report!J$4)</f>
        <v>0</v>
      </c>
      <c r="K39" s="157">
        <f>SUMIFS('PQ-Due Dates'!$L:$L,'PQ-Due Dates'!$A:$A,V_Detailed_Report!$C39,'PQ-Due Dates'!$M:$M,"&gt;="&amp;V_Detailed_Report!K$3,'PQ-Due Dates'!$M:$M,"&lt;="&amp;V_Detailed_Report!K$4)</f>
        <v>0</v>
      </c>
      <c r="L39" s="157">
        <f>SUMIFS('PQ-Due Dates'!$L:$L,'PQ-Due Dates'!$A:$A,V_Detailed_Report!$C39,'PQ-Due Dates'!$M:$M,"&gt;="&amp;V_Detailed_Report!L$3,'PQ-Due Dates'!$M:$M,"&lt;="&amp;V_Detailed_Report!L$4)</f>
        <v>0</v>
      </c>
      <c r="M39" s="157">
        <f>SUMIFS('PQ-Due Dates'!$L:$L,'PQ-Due Dates'!$A:$A,V_Detailed_Report!$C39,'PQ-Due Dates'!$M:$M,"&gt;="&amp;V_Detailed_Report!M$3,'PQ-Due Dates'!$M:$M,"&lt;="&amp;V_Detailed_Report!M$4)</f>
        <v>0</v>
      </c>
      <c r="N39" s="157">
        <f>SUMIFS('PQ-Due Dates'!$L:$L,'PQ-Due Dates'!$A:$A,V_Detailed_Report!$C39,'PQ-Due Dates'!$M:$M,"&gt;="&amp;V_Detailed_Report!N$3,'PQ-Due Dates'!$M:$M,"&lt;="&amp;V_Detailed_Report!N$4)</f>
        <v>0</v>
      </c>
      <c r="O39" s="157">
        <f>SUMIFS('PQ-Due Dates'!$L:$L,'PQ-Due Dates'!$A:$A,V_Detailed_Report!$C39,'PQ-Due Dates'!$M:$M,"&gt;="&amp;V_Detailed_Report!O$3,'PQ-Due Dates'!$M:$M,"&lt;="&amp;V_Detailed_Report!O$4)</f>
        <v>0</v>
      </c>
      <c r="P39" s="157">
        <f>SUMIFS('PQ-Due Dates'!$L:$L,'PQ-Due Dates'!$A:$A,V_Detailed_Report!$C39,'PQ-Due Dates'!$M:$M,"&gt;="&amp;V_Detailed_Report!P$3,'PQ-Due Dates'!$M:$M,"&lt;="&amp;V_Detailed_Report!P$4)</f>
        <v>0</v>
      </c>
      <c r="Q39" s="157">
        <f>SUMIFS('PQ-Due Dates'!$L:$L,'PQ-Due Dates'!$A:$A,V_Detailed_Report!$C39,'PQ-Due Dates'!$M:$M,"&gt;="&amp;V_Detailed_Report!Q$3,'PQ-Due Dates'!$M:$M,"&lt;="&amp;V_Detailed_Report!Q$4)</f>
        <v>0</v>
      </c>
      <c r="R39" s="157">
        <f>SUMIFS('PQ-Due Dates'!$L:$L,'PQ-Due Dates'!$A:$A,V_Detailed_Report!$C39,'PQ-Due Dates'!$M:$M,"&gt;="&amp;V_Detailed_Report!R$3,'PQ-Due Dates'!$M:$M,"&lt;="&amp;V_Detailed_Report!R$4)</f>
        <v>0</v>
      </c>
      <c r="S39" s="157">
        <f>SUMIFS('PQ-Due Dates'!$L:$L,'PQ-Due Dates'!$A:$A,V_Detailed_Report!$C39,'PQ-Due Dates'!$M:$M,"&gt;="&amp;V_Detailed_Report!S$3,'PQ-Due Dates'!$M:$M,"&lt;="&amp;V_Detailed_Report!S$4)</f>
        <v>0</v>
      </c>
      <c r="T39" s="157">
        <f>SUMIFS('PQ-Due Dates'!$L:$L,'PQ-Due Dates'!$A:$A,V_Detailed_Report!$C39,'PQ-Due Dates'!$M:$M,"&gt;="&amp;V_Detailed_Report!T$3,'PQ-Due Dates'!$M:$M,"&lt;="&amp;V_Detailed_Report!T$4)</f>
        <v>0</v>
      </c>
      <c r="U39" s="157">
        <f t="shared" si="1"/>
        <v>0</v>
      </c>
      <c r="V39" s="157">
        <f t="shared" si="2"/>
        <v>4946132.75</v>
      </c>
      <c r="W39" s="157">
        <f t="shared" si="3"/>
        <v>4946132.75</v>
      </c>
    </row>
    <row r="40" spans="1:23" x14ac:dyDescent="0.25">
      <c r="A40" s="162" t="s">
        <v>151</v>
      </c>
      <c r="B40" s="162" t="s">
        <v>19</v>
      </c>
      <c r="C40" s="162" t="s">
        <v>423</v>
      </c>
      <c r="D40" s="162" t="str">
        <f>VLOOKUP(C40,'M_LC Summary'!A:F,6,0)</f>
        <v>SNB</v>
      </c>
      <c r="E40" s="162" t="str">
        <f>VLOOKUP(C40,'M_LC Summary'!A:C,3,0)</f>
        <v>Electric House Trading Company L.L.C.</v>
      </c>
      <c r="F40" s="157">
        <f>VLOOKUP(C40,'M_LC Summary'!A:K,11,0)</f>
        <v>2193076</v>
      </c>
      <c r="G40" s="157">
        <f>VLOOKUP(C40,'M_LC Summary'!A:L,12,0)</f>
        <v>0</v>
      </c>
      <c r="H40" s="157">
        <f t="shared" si="0"/>
        <v>2193076</v>
      </c>
      <c r="I40" s="157">
        <f>SUMIFS('PQ-Due Dates'!$L:$L,'PQ-Due Dates'!$A:$A,V_Detailed_Report!$C40,'PQ-Due Dates'!$M:$M,"&gt;="&amp;V_Detailed_Report!I$3,'PQ-Due Dates'!$M:$M,"&lt;="&amp;V_Detailed_Report!I$4)</f>
        <v>0</v>
      </c>
      <c r="J40" s="157">
        <f>SUMIFS('PQ-Due Dates'!$L:$L,'PQ-Due Dates'!$A:$A,V_Detailed_Report!$C40,'PQ-Due Dates'!$M:$M,"&gt;="&amp;V_Detailed_Report!J$3,'PQ-Due Dates'!$M:$M,"&lt;="&amp;V_Detailed_Report!J$4)</f>
        <v>0</v>
      </c>
      <c r="K40" s="157">
        <f>SUMIFS('PQ-Due Dates'!$L:$L,'PQ-Due Dates'!$A:$A,V_Detailed_Report!$C40,'PQ-Due Dates'!$M:$M,"&gt;="&amp;V_Detailed_Report!K$3,'PQ-Due Dates'!$M:$M,"&lt;="&amp;V_Detailed_Report!K$4)</f>
        <v>0</v>
      </c>
      <c r="L40" s="157">
        <f>SUMIFS('PQ-Due Dates'!$L:$L,'PQ-Due Dates'!$A:$A,V_Detailed_Report!$C40,'PQ-Due Dates'!$M:$M,"&gt;="&amp;V_Detailed_Report!L$3,'PQ-Due Dates'!$M:$M,"&lt;="&amp;V_Detailed_Report!L$4)</f>
        <v>0</v>
      </c>
      <c r="M40" s="157">
        <f>SUMIFS('PQ-Due Dates'!$L:$L,'PQ-Due Dates'!$A:$A,V_Detailed_Report!$C40,'PQ-Due Dates'!$M:$M,"&gt;="&amp;V_Detailed_Report!M$3,'PQ-Due Dates'!$M:$M,"&lt;="&amp;V_Detailed_Report!M$4)</f>
        <v>2193076</v>
      </c>
      <c r="N40" s="157">
        <f>SUMIFS('PQ-Due Dates'!$L:$L,'PQ-Due Dates'!$A:$A,V_Detailed_Report!$C40,'PQ-Due Dates'!$M:$M,"&gt;="&amp;V_Detailed_Report!N$3,'PQ-Due Dates'!$M:$M,"&lt;="&amp;V_Detailed_Report!N$4)</f>
        <v>0</v>
      </c>
      <c r="O40" s="157">
        <f>SUMIFS('PQ-Due Dates'!$L:$L,'PQ-Due Dates'!$A:$A,V_Detailed_Report!$C40,'PQ-Due Dates'!$M:$M,"&gt;="&amp;V_Detailed_Report!O$3,'PQ-Due Dates'!$M:$M,"&lt;="&amp;V_Detailed_Report!O$4)</f>
        <v>0</v>
      </c>
      <c r="P40" s="157">
        <f>SUMIFS('PQ-Due Dates'!$L:$L,'PQ-Due Dates'!$A:$A,V_Detailed_Report!$C40,'PQ-Due Dates'!$M:$M,"&gt;="&amp;V_Detailed_Report!P$3,'PQ-Due Dates'!$M:$M,"&lt;="&amp;V_Detailed_Report!P$4)</f>
        <v>0</v>
      </c>
      <c r="Q40" s="157">
        <f>SUMIFS('PQ-Due Dates'!$L:$L,'PQ-Due Dates'!$A:$A,V_Detailed_Report!$C40,'PQ-Due Dates'!$M:$M,"&gt;="&amp;V_Detailed_Report!Q$3,'PQ-Due Dates'!$M:$M,"&lt;="&amp;V_Detailed_Report!Q$4)</f>
        <v>0</v>
      </c>
      <c r="R40" s="157">
        <f>SUMIFS('PQ-Due Dates'!$L:$L,'PQ-Due Dates'!$A:$A,V_Detailed_Report!$C40,'PQ-Due Dates'!$M:$M,"&gt;="&amp;V_Detailed_Report!R$3,'PQ-Due Dates'!$M:$M,"&lt;="&amp;V_Detailed_Report!R$4)</f>
        <v>0</v>
      </c>
      <c r="S40" s="157">
        <f>SUMIFS('PQ-Due Dates'!$L:$L,'PQ-Due Dates'!$A:$A,V_Detailed_Report!$C40,'PQ-Due Dates'!$M:$M,"&gt;="&amp;V_Detailed_Report!S$3,'PQ-Due Dates'!$M:$M,"&lt;="&amp;V_Detailed_Report!S$4)</f>
        <v>0</v>
      </c>
      <c r="T40" s="157">
        <f>SUMIFS('PQ-Due Dates'!$L:$L,'PQ-Due Dates'!$A:$A,V_Detailed_Report!$C40,'PQ-Due Dates'!$M:$M,"&gt;="&amp;V_Detailed_Report!T$3,'PQ-Due Dates'!$M:$M,"&lt;="&amp;V_Detailed_Report!T$4)</f>
        <v>0</v>
      </c>
      <c r="U40" s="157">
        <f t="shared" si="1"/>
        <v>2193076</v>
      </c>
      <c r="V40" s="157">
        <f t="shared" si="2"/>
        <v>0</v>
      </c>
      <c r="W40" s="157">
        <f t="shared" si="3"/>
        <v>2193076</v>
      </c>
    </row>
    <row r="41" spans="1:23" x14ac:dyDescent="0.25">
      <c r="A41" s="162" t="s">
        <v>151</v>
      </c>
      <c r="B41" s="162" t="s">
        <v>19</v>
      </c>
      <c r="C41" s="162" t="s">
        <v>445</v>
      </c>
      <c r="D41" s="162" t="str">
        <f>VLOOKUP(C41,'M_LC Summary'!A:F,6,0)</f>
        <v>SNB</v>
      </c>
      <c r="E41" s="162" t="str">
        <f>VLOOKUP(C41,'M_LC Summary'!A:C,3,0)</f>
        <v>Al Dhow Gulf Company for Trading and Contracting Ltd</v>
      </c>
      <c r="F41" s="157">
        <f>VLOOKUP(C41,'M_LC Summary'!A:K,11,0)</f>
        <v>6000000</v>
      </c>
      <c r="G41" s="157">
        <f>VLOOKUP(C41,'M_LC Summary'!A:L,12,0)</f>
        <v>0</v>
      </c>
      <c r="H41" s="157">
        <f t="shared" si="0"/>
        <v>6000000</v>
      </c>
      <c r="I41" s="157">
        <f>SUMIFS('PQ-Due Dates'!$L:$L,'PQ-Due Dates'!$A:$A,V_Detailed_Report!$C41,'PQ-Due Dates'!$M:$M,"&gt;="&amp;V_Detailed_Report!I$3,'PQ-Due Dates'!$M:$M,"&lt;="&amp;V_Detailed_Report!I$4)</f>
        <v>0</v>
      </c>
      <c r="J41" s="157">
        <f>SUMIFS('PQ-Due Dates'!$L:$L,'PQ-Due Dates'!$A:$A,V_Detailed_Report!$C41,'PQ-Due Dates'!$M:$M,"&gt;="&amp;V_Detailed_Report!J$3,'PQ-Due Dates'!$M:$M,"&lt;="&amp;V_Detailed_Report!J$4)</f>
        <v>0</v>
      </c>
      <c r="K41" s="157">
        <f>SUMIFS('PQ-Due Dates'!$L:$L,'PQ-Due Dates'!$A:$A,V_Detailed_Report!$C41,'PQ-Due Dates'!$M:$M,"&gt;="&amp;V_Detailed_Report!K$3,'PQ-Due Dates'!$M:$M,"&lt;="&amp;V_Detailed_Report!K$4)</f>
        <v>0</v>
      </c>
      <c r="L41" s="157">
        <f>SUMIFS('PQ-Due Dates'!$L:$L,'PQ-Due Dates'!$A:$A,V_Detailed_Report!$C41,'PQ-Due Dates'!$M:$M,"&gt;="&amp;V_Detailed_Report!L$3,'PQ-Due Dates'!$M:$M,"&lt;="&amp;V_Detailed_Report!L$4)</f>
        <v>0</v>
      </c>
      <c r="M41" s="157">
        <f>SUMIFS('PQ-Due Dates'!$L:$L,'PQ-Due Dates'!$A:$A,V_Detailed_Report!$C41,'PQ-Due Dates'!$M:$M,"&gt;="&amp;V_Detailed_Report!M$3,'PQ-Due Dates'!$M:$M,"&lt;="&amp;V_Detailed_Report!M$4)</f>
        <v>0</v>
      </c>
      <c r="N41" s="157">
        <f>SUMIFS('PQ-Due Dates'!$L:$L,'PQ-Due Dates'!$A:$A,V_Detailed_Report!$C41,'PQ-Due Dates'!$M:$M,"&gt;="&amp;V_Detailed_Report!N$3,'PQ-Due Dates'!$M:$M,"&lt;="&amp;V_Detailed_Report!N$4)</f>
        <v>0</v>
      </c>
      <c r="O41" s="157">
        <f>SUMIFS('PQ-Due Dates'!$L:$L,'PQ-Due Dates'!$A:$A,V_Detailed_Report!$C41,'PQ-Due Dates'!$M:$M,"&gt;="&amp;V_Detailed_Report!O$3,'PQ-Due Dates'!$M:$M,"&lt;="&amp;V_Detailed_Report!O$4)</f>
        <v>0</v>
      </c>
      <c r="P41" s="157">
        <f>SUMIFS('PQ-Due Dates'!$L:$L,'PQ-Due Dates'!$A:$A,V_Detailed_Report!$C41,'PQ-Due Dates'!$M:$M,"&gt;="&amp;V_Detailed_Report!P$3,'PQ-Due Dates'!$M:$M,"&lt;="&amp;V_Detailed_Report!P$4)</f>
        <v>0</v>
      </c>
      <c r="Q41" s="157">
        <f>SUMIFS('PQ-Due Dates'!$L:$L,'PQ-Due Dates'!$A:$A,V_Detailed_Report!$C41,'PQ-Due Dates'!$M:$M,"&gt;="&amp;V_Detailed_Report!Q$3,'PQ-Due Dates'!$M:$M,"&lt;="&amp;V_Detailed_Report!Q$4)</f>
        <v>0</v>
      </c>
      <c r="R41" s="157">
        <f>SUMIFS('PQ-Due Dates'!$L:$L,'PQ-Due Dates'!$A:$A,V_Detailed_Report!$C41,'PQ-Due Dates'!$M:$M,"&gt;="&amp;V_Detailed_Report!R$3,'PQ-Due Dates'!$M:$M,"&lt;="&amp;V_Detailed_Report!R$4)</f>
        <v>0</v>
      </c>
      <c r="S41" s="157">
        <f>SUMIFS('PQ-Due Dates'!$L:$L,'PQ-Due Dates'!$A:$A,V_Detailed_Report!$C41,'PQ-Due Dates'!$M:$M,"&gt;="&amp;V_Detailed_Report!S$3,'PQ-Due Dates'!$M:$M,"&lt;="&amp;V_Detailed_Report!S$4)</f>
        <v>0</v>
      </c>
      <c r="T41" s="157">
        <f>SUMIFS('PQ-Due Dates'!$L:$L,'PQ-Due Dates'!$A:$A,V_Detailed_Report!$C41,'PQ-Due Dates'!$M:$M,"&gt;="&amp;V_Detailed_Report!T$3,'PQ-Due Dates'!$M:$M,"&lt;="&amp;V_Detailed_Report!T$4)</f>
        <v>0</v>
      </c>
      <c r="U41" s="157">
        <f t="shared" si="1"/>
        <v>0</v>
      </c>
      <c r="V41" s="157">
        <f t="shared" si="2"/>
        <v>6000000</v>
      </c>
      <c r="W41" s="157">
        <f t="shared" si="3"/>
        <v>6000000</v>
      </c>
    </row>
    <row r="42" spans="1:23" x14ac:dyDescent="0.25">
      <c r="A42" s="162" t="s">
        <v>151</v>
      </c>
      <c r="B42" s="162" t="s">
        <v>19</v>
      </c>
      <c r="C42" s="162" t="s">
        <v>467</v>
      </c>
      <c r="D42" s="162" t="str">
        <f>VLOOKUP(C42,'M_LC Summary'!A:F,6,0)</f>
        <v>SNB</v>
      </c>
      <c r="E42" s="162" t="str">
        <f>VLOOKUP(C42,'M_LC Summary'!A:C,3,0)</f>
        <v>Manar Alomran Company For Trading And Industrial Ltd</v>
      </c>
      <c r="F42" s="157">
        <f>VLOOKUP(C42,'M_LC Summary'!A:K,11,0)</f>
        <v>2896770</v>
      </c>
      <c r="G42" s="157">
        <f>VLOOKUP(C42,'M_LC Summary'!A:L,12,0)</f>
        <v>0</v>
      </c>
      <c r="H42" s="157">
        <f t="shared" si="0"/>
        <v>2896770</v>
      </c>
      <c r="I42" s="157">
        <f>SUMIFS('PQ-Due Dates'!$L:$L,'PQ-Due Dates'!$A:$A,V_Detailed_Report!$C42,'PQ-Due Dates'!$M:$M,"&gt;="&amp;V_Detailed_Report!I$3,'PQ-Due Dates'!$M:$M,"&lt;="&amp;V_Detailed_Report!I$4)</f>
        <v>0</v>
      </c>
      <c r="J42" s="157">
        <f>SUMIFS('PQ-Due Dates'!$L:$L,'PQ-Due Dates'!$A:$A,V_Detailed_Report!$C42,'PQ-Due Dates'!$M:$M,"&gt;="&amp;V_Detailed_Report!J$3,'PQ-Due Dates'!$M:$M,"&lt;="&amp;V_Detailed_Report!J$4)</f>
        <v>0</v>
      </c>
      <c r="K42" s="157">
        <f>SUMIFS('PQ-Due Dates'!$L:$L,'PQ-Due Dates'!$A:$A,V_Detailed_Report!$C42,'PQ-Due Dates'!$M:$M,"&gt;="&amp;V_Detailed_Report!K$3,'PQ-Due Dates'!$M:$M,"&lt;="&amp;V_Detailed_Report!K$4)</f>
        <v>0</v>
      </c>
      <c r="L42" s="157">
        <f>SUMIFS('PQ-Due Dates'!$L:$L,'PQ-Due Dates'!$A:$A,V_Detailed_Report!$C42,'PQ-Due Dates'!$M:$M,"&gt;="&amp;V_Detailed_Report!L$3,'PQ-Due Dates'!$M:$M,"&lt;="&amp;V_Detailed_Report!L$4)</f>
        <v>0</v>
      </c>
      <c r="M42" s="157">
        <f>SUMIFS('PQ-Due Dates'!$L:$L,'PQ-Due Dates'!$A:$A,V_Detailed_Report!$C42,'PQ-Due Dates'!$M:$M,"&gt;="&amp;V_Detailed_Report!M$3,'PQ-Due Dates'!$M:$M,"&lt;="&amp;V_Detailed_Report!M$4)</f>
        <v>0</v>
      </c>
      <c r="N42" s="157">
        <f>SUMIFS('PQ-Due Dates'!$L:$L,'PQ-Due Dates'!$A:$A,V_Detailed_Report!$C42,'PQ-Due Dates'!$M:$M,"&gt;="&amp;V_Detailed_Report!N$3,'PQ-Due Dates'!$M:$M,"&lt;="&amp;V_Detailed_Report!N$4)</f>
        <v>0</v>
      </c>
      <c r="O42" s="157">
        <f>SUMIFS('PQ-Due Dates'!$L:$L,'PQ-Due Dates'!$A:$A,V_Detailed_Report!$C42,'PQ-Due Dates'!$M:$M,"&gt;="&amp;V_Detailed_Report!O$3,'PQ-Due Dates'!$M:$M,"&lt;="&amp;V_Detailed_Report!O$4)</f>
        <v>0</v>
      </c>
      <c r="P42" s="157">
        <f>SUMIFS('PQ-Due Dates'!$L:$L,'PQ-Due Dates'!$A:$A,V_Detailed_Report!$C42,'PQ-Due Dates'!$M:$M,"&gt;="&amp;V_Detailed_Report!P$3,'PQ-Due Dates'!$M:$M,"&lt;="&amp;V_Detailed_Report!P$4)</f>
        <v>0</v>
      </c>
      <c r="Q42" s="157">
        <f>SUMIFS('PQ-Due Dates'!$L:$L,'PQ-Due Dates'!$A:$A,V_Detailed_Report!$C42,'PQ-Due Dates'!$M:$M,"&gt;="&amp;V_Detailed_Report!Q$3,'PQ-Due Dates'!$M:$M,"&lt;="&amp;V_Detailed_Report!Q$4)</f>
        <v>386858.95</v>
      </c>
      <c r="R42" s="157">
        <f>SUMIFS('PQ-Due Dates'!$L:$L,'PQ-Due Dates'!$A:$A,V_Detailed_Report!$C42,'PQ-Due Dates'!$M:$M,"&gt;="&amp;V_Detailed_Report!R$3,'PQ-Due Dates'!$M:$M,"&lt;="&amp;V_Detailed_Report!R$4)</f>
        <v>0</v>
      </c>
      <c r="S42" s="157">
        <f>SUMIFS('PQ-Due Dates'!$L:$L,'PQ-Due Dates'!$A:$A,V_Detailed_Report!$C42,'PQ-Due Dates'!$M:$M,"&gt;="&amp;V_Detailed_Report!S$3,'PQ-Due Dates'!$M:$M,"&lt;="&amp;V_Detailed_Report!S$4)</f>
        <v>0</v>
      </c>
      <c r="T42" s="157">
        <f>SUMIFS('PQ-Due Dates'!$L:$L,'PQ-Due Dates'!$A:$A,V_Detailed_Report!$C42,'PQ-Due Dates'!$M:$M,"&gt;="&amp;V_Detailed_Report!T$3,'PQ-Due Dates'!$M:$M,"&lt;="&amp;V_Detailed_Report!T$4)</f>
        <v>0</v>
      </c>
      <c r="U42" s="157">
        <f t="shared" si="1"/>
        <v>386858.95</v>
      </c>
      <c r="V42" s="157">
        <f t="shared" si="2"/>
        <v>2509911.0499999998</v>
      </c>
      <c r="W42" s="157">
        <f t="shared" si="3"/>
        <v>2896770</v>
      </c>
    </row>
    <row r="43" spans="1:23" x14ac:dyDescent="0.25">
      <c r="A43" s="162" t="s">
        <v>151</v>
      </c>
      <c r="B43" s="162" t="s">
        <v>19</v>
      </c>
      <c r="C43" s="162" t="s">
        <v>531</v>
      </c>
      <c r="D43" s="162" t="str">
        <f>VLOOKUP(C43,'M_LC Summary'!A:F,6,0)</f>
        <v>SNB</v>
      </c>
      <c r="E43" s="162" t="str">
        <f>VLOOKUP(C43,'M_LC Summary'!A:C,3,0)</f>
        <v>Saudi Pro-Kitchen</v>
      </c>
      <c r="F43" s="157">
        <f>VLOOKUP(C43,'M_LC Summary'!A:K,11,0)</f>
        <v>700000</v>
      </c>
      <c r="G43" s="157">
        <f>VLOOKUP(C43,'M_LC Summary'!A:L,12,0)</f>
        <v>0</v>
      </c>
      <c r="H43" s="157">
        <f t="shared" si="0"/>
        <v>700000</v>
      </c>
      <c r="I43" s="157">
        <f>SUMIFS('PQ-Due Dates'!$L:$L,'PQ-Due Dates'!$A:$A,V_Detailed_Report!$C43,'PQ-Due Dates'!$M:$M,"&gt;="&amp;V_Detailed_Report!I$3,'PQ-Due Dates'!$M:$M,"&lt;="&amp;V_Detailed_Report!I$4)</f>
        <v>0</v>
      </c>
      <c r="J43" s="157">
        <f>SUMIFS('PQ-Due Dates'!$L:$L,'PQ-Due Dates'!$A:$A,V_Detailed_Report!$C43,'PQ-Due Dates'!$M:$M,"&gt;="&amp;V_Detailed_Report!J$3,'PQ-Due Dates'!$M:$M,"&lt;="&amp;V_Detailed_Report!J$4)</f>
        <v>0</v>
      </c>
      <c r="K43" s="157">
        <f>SUMIFS('PQ-Due Dates'!$L:$L,'PQ-Due Dates'!$A:$A,V_Detailed_Report!$C43,'PQ-Due Dates'!$M:$M,"&gt;="&amp;V_Detailed_Report!K$3,'PQ-Due Dates'!$M:$M,"&lt;="&amp;V_Detailed_Report!K$4)</f>
        <v>0</v>
      </c>
      <c r="L43" s="157">
        <f>SUMIFS('PQ-Due Dates'!$L:$L,'PQ-Due Dates'!$A:$A,V_Detailed_Report!$C43,'PQ-Due Dates'!$M:$M,"&gt;="&amp;V_Detailed_Report!L$3,'PQ-Due Dates'!$M:$M,"&lt;="&amp;V_Detailed_Report!L$4)</f>
        <v>0</v>
      </c>
      <c r="M43" s="157">
        <f>SUMIFS('PQ-Due Dates'!$L:$L,'PQ-Due Dates'!$A:$A,V_Detailed_Report!$C43,'PQ-Due Dates'!$M:$M,"&gt;="&amp;V_Detailed_Report!M$3,'PQ-Due Dates'!$M:$M,"&lt;="&amp;V_Detailed_Report!M$4)</f>
        <v>0</v>
      </c>
      <c r="N43" s="157">
        <f>SUMIFS('PQ-Due Dates'!$L:$L,'PQ-Due Dates'!$A:$A,V_Detailed_Report!$C43,'PQ-Due Dates'!$M:$M,"&gt;="&amp;V_Detailed_Report!N$3,'PQ-Due Dates'!$M:$M,"&lt;="&amp;V_Detailed_Report!N$4)</f>
        <v>0</v>
      </c>
      <c r="O43" s="157">
        <f>SUMIFS('PQ-Due Dates'!$L:$L,'PQ-Due Dates'!$A:$A,V_Detailed_Report!$C43,'PQ-Due Dates'!$M:$M,"&gt;="&amp;V_Detailed_Report!O$3,'PQ-Due Dates'!$M:$M,"&lt;="&amp;V_Detailed_Report!O$4)</f>
        <v>0</v>
      </c>
      <c r="P43" s="157">
        <f>SUMIFS('PQ-Due Dates'!$L:$L,'PQ-Due Dates'!$A:$A,V_Detailed_Report!$C43,'PQ-Due Dates'!$M:$M,"&gt;="&amp;V_Detailed_Report!P$3,'PQ-Due Dates'!$M:$M,"&lt;="&amp;V_Detailed_Report!P$4)</f>
        <v>0</v>
      </c>
      <c r="Q43" s="157">
        <f>SUMIFS('PQ-Due Dates'!$L:$L,'PQ-Due Dates'!$A:$A,V_Detailed_Report!$C43,'PQ-Due Dates'!$M:$M,"&gt;="&amp;V_Detailed_Report!Q$3,'PQ-Due Dates'!$M:$M,"&lt;="&amp;V_Detailed_Report!Q$4)</f>
        <v>0</v>
      </c>
      <c r="R43" s="157">
        <f>SUMIFS('PQ-Due Dates'!$L:$L,'PQ-Due Dates'!$A:$A,V_Detailed_Report!$C43,'PQ-Due Dates'!$M:$M,"&gt;="&amp;V_Detailed_Report!R$3,'PQ-Due Dates'!$M:$M,"&lt;="&amp;V_Detailed_Report!R$4)</f>
        <v>0</v>
      </c>
      <c r="S43" s="157">
        <f>SUMIFS('PQ-Due Dates'!$L:$L,'PQ-Due Dates'!$A:$A,V_Detailed_Report!$C43,'PQ-Due Dates'!$M:$M,"&gt;="&amp;V_Detailed_Report!S$3,'PQ-Due Dates'!$M:$M,"&lt;="&amp;V_Detailed_Report!S$4)</f>
        <v>0</v>
      </c>
      <c r="T43" s="157">
        <f>SUMIFS('PQ-Due Dates'!$L:$L,'PQ-Due Dates'!$A:$A,V_Detailed_Report!$C43,'PQ-Due Dates'!$M:$M,"&gt;="&amp;V_Detailed_Report!T$3,'PQ-Due Dates'!$M:$M,"&lt;="&amp;V_Detailed_Report!T$4)</f>
        <v>0</v>
      </c>
      <c r="U43" s="157">
        <f t="shared" si="1"/>
        <v>0</v>
      </c>
      <c r="V43" s="157">
        <f t="shared" si="2"/>
        <v>700000</v>
      </c>
      <c r="W43" s="157">
        <f t="shared" si="3"/>
        <v>700000</v>
      </c>
    </row>
    <row r="44" spans="1:23" x14ac:dyDescent="0.25">
      <c r="A44" s="162" t="s">
        <v>151</v>
      </c>
      <c r="B44" s="162" t="s">
        <v>19</v>
      </c>
      <c r="C44" s="162" t="s">
        <v>539</v>
      </c>
      <c r="D44" s="162" t="str">
        <f>VLOOKUP(C44,'M_LC Summary'!A:F,6,0)</f>
        <v>SNB</v>
      </c>
      <c r="E44" s="162" t="str">
        <f>VLOOKUP(C44,'M_LC Summary'!A:C,3,0)</f>
        <v>Martin Professional Information Technology Company</v>
      </c>
      <c r="F44" s="157">
        <f>VLOOKUP(C44,'M_LC Summary'!A:K,11,0)</f>
        <v>5000000</v>
      </c>
      <c r="G44" s="157">
        <f>VLOOKUP(C44,'M_LC Summary'!A:L,12,0)</f>
        <v>0</v>
      </c>
      <c r="H44" s="157">
        <f t="shared" ref="H44:H83" si="4">F44-G44</f>
        <v>5000000</v>
      </c>
      <c r="I44" s="157">
        <f>SUMIFS('PQ-Due Dates'!$L:$L,'PQ-Due Dates'!$A:$A,V_Detailed_Report!$C44,'PQ-Due Dates'!$M:$M,"&gt;="&amp;V_Detailed_Report!I$3,'PQ-Due Dates'!$M:$M,"&lt;="&amp;V_Detailed_Report!I$4)</f>
        <v>0</v>
      </c>
      <c r="J44" s="157">
        <f>SUMIFS('PQ-Due Dates'!$L:$L,'PQ-Due Dates'!$A:$A,V_Detailed_Report!$C44,'PQ-Due Dates'!$M:$M,"&gt;="&amp;V_Detailed_Report!J$3,'PQ-Due Dates'!$M:$M,"&lt;="&amp;V_Detailed_Report!J$4)</f>
        <v>0</v>
      </c>
      <c r="K44" s="157">
        <f>SUMIFS('PQ-Due Dates'!$L:$L,'PQ-Due Dates'!$A:$A,V_Detailed_Report!$C44,'PQ-Due Dates'!$M:$M,"&gt;="&amp;V_Detailed_Report!K$3,'PQ-Due Dates'!$M:$M,"&lt;="&amp;V_Detailed_Report!K$4)</f>
        <v>0</v>
      </c>
      <c r="L44" s="157">
        <f>SUMIFS('PQ-Due Dates'!$L:$L,'PQ-Due Dates'!$A:$A,V_Detailed_Report!$C44,'PQ-Due Dates'!$M:$M,"&gt;="&amp;V_Detailed_Report!L$3,'PQ-Due Dates'!$M:$M,"&lt;="&amp;V_Detailed_Report!L$4)</f>
        <v>0</v>
      </c>
      <c r="M44" s="157">
        <f>SUMIFS('PQ-Due Dates'!$L:$L,'PQ-Due Dates'!$A:$A,V_Detailed_Report!$C44,'PQ-Due Dates'!$M:$M,"&gt;="&amp;V_Detailed_Report!M$3,'PQ-Due Dates'!$M:$M,"&lt;="&amp;V_Detailed_Report!M$4)</f>
        <v>0</v>
      </c>
      <c r="N44" s="157">
        <f>SUMIFS('PQ-Due Dates'!$L:$L,'PQ-Due Dates'!$A:$A,V_Detailed_Report!$C44,'PQ-Due Dates'!$M:$M,"&gt;="&amp;V_Detailed_Report!N$3,'PQ-Due Dates'!$M:$M,"&lt;="&amp;V_Detailed_Report!N$4)</f>
        <v>0</v>
      </c>
      <c r="O44" s="157">
        <f>SUMIFS('PQ-Due Dates'!$L:$L,'PQ-Due Dates'!$A:$A,V_Detailed_Report!$C44,'PQ-Due Dates'!$M:$M,"&gt;="&amp;V_Detailed_Report!O$3,'PQ-Due Dates'!$M:$M,"&lt;="&amp;V_Detailed_Report!O$4)</f>
        <v>0</v>
      </c>
      <c r="P44" s="157">
        <f>SUMIFS('PQ-Due Dates'!$L:$L,'PQ-Due Dates'!$A:$A,V_Detailed_Report!$C44,'PQ-Due Dates'!$M:$M,"&gt;="&amp;V_Detailed_Report!P$3,'PQ-Due Dates'!$M:$M,"&lt;="&amp;V_Detailed_Report!P$4)</f>
        <v>0</v>
      </c>
      <c r="Q44" s="157">
        <f>SUMIFS('PQ-Due Dates'!$L:$L,'PQ-Due Dates'!$A:$A,V_Detailed_Report!$C44,'PQ-Due Dates'!$M:$M,"&gt;="&amp;V_Detailed_Report!Q$3,'PQ-Due Dates'!$M:$M,"&lt;="&amp;V_Detailed_Report!Q$4)</f>
        <v>0</v>
      </c>
      <c r="R44" s="157">
        <f>SUMIFS('PQ-Due Dates'!$L:$L,'PQ-Due Dates'!$A:$A,V_Detailed_Report!$C44,'PQ-Due Dates'!$M:$M,"&gt;="&amp;V_Detailed_Report!R$3,'PQ-Due Dates'!$M:$M,"&lt;="&amp;V_Detailed_Report!R$4)</f>
        <v>0</v>
      </c>
      <c r="S44" s="157">
        <f>SUMIFS('PQ-Due Dates'!$L:$L,'PQ-Due Dates'!$A:$A,V_Detailed_Report!$C44,'PQ-Due Dates'!$M:$M,"&gt;="&amp;V_Detailed_Report!S$3,'PQ-Due Dates'!$M:$M,"&lt;="&amp;V_Detailed_Report!S$4)</f>
        <v>0</v>
      </c>
      <c r="T44" s="157">
        <f>SUMIFS('PQ-Due Dates'!$L:$L,'PQ-Due Dates'!$A:$A,V_Detailed_Report!$C44,'PQ-Due Dates'!$M:$M,"&gt;="&amp;V_Detailed_Report!T$3,'PQ-Due Dates'!$M:$M,"&lt;="&amp;V_Detailed_Report!T$4)</f>
        <v>0</v>
      </c>
      <c r="U44" s="157">
        <f t="shared" ref="U44:U83" si="5">SUM(I44:T44)</f>
        <v>0</v>
      </c>
      <c r="V44" s="157">
        <f t="shared" ref="V44:V83" si="6">H44-U44</f>
        <v>5000000</v>
      </c>
      <c r="W44" s="157">
        <f t="shared" ref="W44:W83" si="7">U44+V44</f>
        <v>5000000</v>
      </c>
    </row>
    <row r="45" spans="1:23" x14ac:dyDescent="0.25">
      <c r="A45" s="162" t="s">
        <v>151</v>
      </c>
      <c r="B45" s="162" t="s">
        <v>19</v>
      </c>
      <c r="C45" s="162" t="s">
        <v>543</v>
      </c>
      <c r="D45" s="162" t="str">
        <f>VLOOKUP(C45,'M_LC Summary'!A:F,6,0)</f>
        <v>SNB</v>
      </c>
      <c r="E45" s="162" t="str">
        <f>VLOOKUP(C45,'M_LC Summary'!A:C,3,0)</f>
        <v>APLUS TRADE MIKE</v>
      </c>
      <c r="F45" s="157">
        <f>VLOOKUP(C45,'M_LC Summary'!A:K,11,0)</f>
        <v>26518417.458099999</v>
      </c>
      <c r="G45" s="157">
        <f>VLOOKUP(C45,'M_LC Summary'!A:L,12,0)</f>
        <v>0</v>
      </c>
      <c r="H45" s="157">
        <f t="shared" si="4"/>
        <v>26518417.458099999</v>
      </c>
      <c r="I45" s="157">
        <f>SUMIFS('PQ-Due Dates'!$L:$L,'PQ-Due Dates'!$A:$A,V_Detailed_Report!$C45,'PQ-Due Dates'!$M:$M,"&gt;="&amp;V_Detailed_Report!I$3,'PQ-Due Dates'!$M:$M,"&lt;="&amp;V_Detailed_Report!I$4)</f>
        <v>0</v>
      </c>
      <c r="J45" s="157">
        <f>SUMIFS('PQ-Due Dates'!$L:$L,'PQ-Due Dates'!$A:$A,V_Detailed_Report!$C45,'PQ-Due Dates'!$M:$M,"&gt;="&amp;V_Detailed_Report!J$3,'PQ-Due Dates'!$M:$M,"&lt;="&amp;V_Detailed_Report!J$4)</f>
        <v>0</v>
      </c>
      <c r="K45" s="157">
        <f>SUMIFS('PQ-Due Dates'!$L:$L,'PQ-Due Dates'!$A:$A,V_Detailed_Report!$C45,'PQ-Due Dates'!$M:$M,"&gt;="&amp;V_Detailed_Report!K$3,'PQ-Due Dates'!$M:$M,"&lt;="&amp;V_Detailed_Report!K$4)</f>
        <v>0</v>
      </c>
      <c r="L45" s="157">
        <f>SUMIFS('PQ-Due Dates'!$L:$L,'PQ-Due Dates'!$A:$A,V_Detailed_Report!$C45,'PQ-Due Dates'!$M:$M,"&gt;="&amp;V_Detailed_Report!L$3,'PQ-Due Dates'!$M:$M,"&lt;="&amp;V_Detailed_Report!L$4)</f>
        <v>0</v>
      </c>
      <c r="M45" s="157">
        <f>SUMIFS('PQ-Due Dates'!$L:$L,'PQ-Due Dates'!$A:$A,V_Detailed_Report!$C45,'PQ-Due Dates'!$M:$M,"&gt;="&amp;V_Detailed_Report!M$3,'PQ-Due Dates'!$M:$M,"&lt;="&amp;V_Detailed_Report!M$4)</f>
        <v>0</v>
      </c>
      <c r="N45" s="157">
        <f>SUMIFS('PQ-Due Dates'!$L:$L,'PQ-Due Dates'!$A:$A,V_Detailed_Report!$C45,'PQ-Due Dates'!$M:$M,"&gt;="&amp;V_Detailed_Report!N$3,'PQ-Due Dates'!$M:$M,"&lt;="&amp;V_Detailed_Report!N$4)</f>
        <v>0</v>
      </c>
      <c r="O45" s="157">
        <f>SUMIFS('PQ-Due Dates'!$L:$L,'PQ-Due Dates'!$A:$A,V_Detailed_Report!$C45,'PQ-Due Dates'!$M:$M,"&gt;="&amp;V_Detailed_Report!O$3,'PQ-Due Dates'!$M:$M,"&lt;="&amp;V_Detailed_Report!O$4)</f>
        <v>0</v>
      </c>
      <c r="P45" s="157">
        <f>SUMIFS('PQ-Due Dates'!$L:$L,'PQ-Due Dates'!$A:$A,V_Detailed_Report!$C45,'PQ-Due Dates'!$M:$M,"&gt;="&amp;V_Detailed_Report!P$3,'PQ-Due Dates'!$M:$M,"&lt;="&amp;V_Detailed_Report!P$4)</f>
        <v>0</v>
      </c>
      <c r="Q45" s="157">
        <f>SUMIFS('PQ-Due Dates'!$L:$L,'PQ-Due Dates'!$A:$A,V_Detailed_Report!$C45,'PQ-Due Dates'!$M:$M,"&gt;="&amp;V_Detailed_Report!Q$3,'PQ-Due Dates'!$M:$M,"&lt;="&amp;V_Detailed_Report!Q$4)</f>
        <v>0</v>
      </c>
      <c r="R45" s="157">
        <f>SUMIFS('PQ-Due Dates'!$L:$L,'PQ-Due Dates'!$A:$A,V_Detailed_Report!$C45,'PQ-Due Dates'!$M:$M,"&gt;="&amp;V_Detailed_Report!R$3,'PQ-Due Dates'!$M:$M,"&lt;="&amp;V_Detailed_Report!R$4)</f>
        <v>0</v>
      </c>
      <c r="S45" s="157">
        <f>SUMIFS('PQ-Due Dates'!$L:$L,'PQ-Due Dates'!$A:$A,V_Detailed_Report!$C45,'PQ-Due Dates'!$M:$M,"&gt;="&amp;V_Detailed_Report!S$3,'PQ-Due Dates'!$M:$M,"&lt;="&amp;V_Detailed_Report!S$4)</f>
        <v>0</v>
      </c>
      <c r="T45" s="157">
        <f>SUMIFS('PQ-Due Dates'!$L:$L,'PQ-Due Dates'!$A:$A,V_Detailed_Report!$C45,'PQ-Due Dates'!$M:$M,"&gt;="&amp;V_Detailed_Report!T$3,'PQ-Due Dates'!$M:$M,"&lt;="&amp;V_Detailed_Report!T$4)</f>
        <v>0</v>
      </c>
      <c r="U45" s="157">
        <f t="shared" si="5"/>
        <v>0</v>
      </c>
      <c r="V45" s="157">
        <f t="shared" si="6"/>
        <v>26518417.458099999</v>
      </c>
      <c r="W45" s="157">
        <f t="shared" si="7"/>
        <v>26518417.458099999</v>
      </c>
    </row>
    <row r="46" spans="1:23" ht="15.75" thickBot="1" x14ac:dyDescent="0.3">
      <c r="A46" s="171" t="s">
        <v>151</v>
      </c>
      <c r="B46" s="171" t="s">
        <v>19</v>
      </c>
      <c r="C46" s="171" t="s">
        <v>564</v>
      </c>
      <c r="D46" s="171" t="str">
        <f>VLOOKUP(C46,'M_LC Summary'!A:F,6,0)</f>
        <v>SNB</v>
      </c>
      <c r="E46" s="171" t="str">
        <f>VLOOKUP(C46,'M_LC Summary'!A:C,3,0)</f>
        <v>Gulf Applications - GAPP</v>
      </c>
      <c r="F46" s="158">
        <f>VLOOKUP(C46,'M_LC Summary'!A:K,11,0)</f>
        <v>11188186.699999999</v>
      </c>
      <c r="G46" s="158">
        <f>VLOOKUP(C46,'M_LC Summary'!A:L,12,0)</f>
        <v>0</v>
      </c>
      <c r="H46" s="158">
        <f t="shared" si="4"/>
        <v>11188186.699999999</v>
      </c>
      <c r="I46" s="158">
        <f>SUMIFS('PQ-Due Dates'!$L:$L,'PQ-Due Dates'!$A:$A,V_Detailed_Report!$C46,'PQ-Due Dates'!$M:$M,"&gt;="&amp;V_Detailed_Report!I$3,'PQ-Due Dates'!$M:$M,"&lt;="&amp;V_Detailed_Report!I$4)</f>
        <v>0</v>
      </c>
      <c r="J46" s="158">
        <f>SUMIFS('PQ-Due Dates'!$L:$L,'PQ-Due Dates'!$A:$A,V_Detailed_Report!$C46,'PQ-Due Dates'!$M:$M,"&gt;="&amp;V_Detailed_Report!J$3,'PQ-Due Dates'!$M:$M,"&lt;="&amp;V_Detailed_Report!J$4)</f>
        <v>0</v>
      </c>
      <c r="K46" s="158">
        <f>SUMIFS('PQ-Due Dates'!$L:$L,'PQ-Due Dates'!$A:$A,V_Detailed_Report!$C46,'PQ-Due Dates'!$M:$M,"&gt;="&amp;V_Detailed_Report!K$3,'PQ-Due Dates'!$M:$M,"&lt;="&amp;V_Detailed_Report!K$4)</f>
        <v>0</v>
      </c>
      <c r="L46" s="158">
        <f>SUMIFS('PQ-Due Dates'!$L:$L,'PQ-Due Dates'!$A:$A,V_Detailed_Report!$C46,'PQ-Due Dates'!$M:$M,"&gt;="&amp;V_Detailed_Report!L$3,'PQ-Due Dates'!$M:$M,"&lt;="&amp;V_Detailed_Report!L$4)</f>
        <v>0</v>
      </c>
      <c r="M46" s="158">
        <f>SUMIFS('PQ-Due Dates'!$L:$L,'PQ-Due Dates'!$A:$A,V_Detailed_Report!$C46,'PQ-Due Dates'!$M:$M,"&gt;="&amp;V_Detailed_Report!M$3,'PQ-Due Dates'!$M:$M,"&lt;="&amp;V_Detailed_Report!M$4)</f>
        <v>0</v>
      </c>
      <c r="N46" s="158">
        <f>SUMIFS('PQ-Due Dates'!$L:$L,'PQ-Due Dates'!$A:$A,V_Detailed_Report!$C46,'PQ-Due Dates'!$M:$M,"&gt;="&amp;V_Detailed_Report!N$3,'PQ-Due Dates'!$M:$M,"&lt;="&amp;V_Detailed_Report!N$4)</f>
        <v>0</v>
      </c>
      <c r="O46" s="158">
        <f>SUMIFS('PQ-Due Dates'!$L:$L,'PQ-Due Dates'!$A:$A,V_Detailed_Report!$C46,'PQ-Due Dates'!$M:$M,"&gt;="&amp;V_Detailed_Report!O$3,'PQ-Due Dates'!$M:$M,"&lt;="&amp;V_Detailed_Report!O$4)</f>
        <v>0</v>
      </c>
      <c r="P46" s="158">
        <f>SUMIFS('PQ-Due Dates'!$L:$L,'PQ-Due Dates'!$A:$A,V_Detailed_Report!$C46,'PQ-Due Dates'!$M:$M,"&gt;="&amp;V_Detailed_Report!P$3,'PQ-Due Dates'!$M:$M,"&lt;="&amp;V_Detailed_Report!P$4)</f>
        <v>0</v>
      </c>
      <c r="Q46" s="158">
        <f>SUMIFS('PQ-Due Dates'!$L:$L,'PQ-Due Dates'!$A:$A,V_Detailed_Report!$C46,'PQ-Due Dates'!$M:$M,"&gt;="&amp;V_Detailed_Report!Q$3,'PQ-Due Dates'!$M:$M,"&lt;="&amp;V_Detailed_Report!Q$4)</f>
        <v>0</v>
      </c>
      <c r="R46" s="158">
        <f>SUMIFS('PQ-Due Dates'!$L:$L,'PQ-Due Dates'!$A:$A,V_Detailed_Report!$C46,'PQ-Due Dates'!$M:$M,"&gt;="&amp;V_Detailed_Report!R$3,'PQ-Due Dates'!$M:$M,"&lt;="&amp;V_Detailed_Report!R$4)</f>
        <v>0</v>
      </c>
      <c r="S46" s="158">
        <f>SUMIFS('PQ-Due Dates'!$L:$L,'PQ-Due Dates'!$A:$A,V_Detailed_Report!$C46,'PQ-Due Dates'!$M:$M,"&gt;="&amp;V_Detailed_Report!S$3,'PQ-Due Dates'!$M:$M,"&lt;="&amp;V_Detailed_Report!S$4)</f>
        <v>0</v>
      </c>
      <c r="T46" s="158">
        <f>SUMIFS('PQ-Due Dates'!$L:$L,'PQ-Due Dates'!$A:$A,V_Detailed_Report!$C46,'PQ-Due Dates'!$M:$M,"&gt;="&amp;V_Detailed_Report!T$3,'PQ-Due Dates'!$M:$M,"&lt;="&amp;V_Detailed_Report!T$4)</f>
        <v>0</v>
      </c>
      <c r="U46" s="158">
        <f t="shared" si="5"/>
        <v>0</v>
      </c>
      <c r="V46" s="158">
        <f t="shared" si="6"/>
        <v>11188186.699999999</v>
      </c>
      <c r="W46" s="158">
        <f t="shared" si="7"/>
        <v>11188186.699999999</v>
      </c>
    </row>
    <row r="47" spans="1:23" ht="15.75" thickBot="1" x14ac:dyDescent="0.3">
      <c r="A47" s="61"/>
      <c r="B47" s="60"/>
      <c r="C47" s="68" t="s">
        <v>151</v>
      </c>
      <c r="D47" s="68" t="s">
        <v>19</v>
      </c>
      <c r="E47" s="60" t="s">
        <v>93</v>
      </c>
      <c r="F47" s="64">
        <f>SUMIFS(F:F,$A:$A,$C$47,$B:$B,$47:$47 $D:$D)</f>
        <v>127530391.95810001</v>
      </c>
      <c r="G47" s="64">
        <f>SUMIFS(G:G,$A:$A,$C$47,$B:$B,$47:$47 $D:$D)</f>
        <v>33087309.242010001</v>
      </c>
      <c r="H47" s="64">
        <f>SUMIFS(H:H,$A:$A,$C$47,$B:$B,$47:$47 $D:$D)</f>
        <v>94443082.716090009</v>
      </c>
      <c r="I47" s="64">
        <f>SUMIFS(I:I,$A:$A,$C$47,$B:$B,$47:$47 $D:$D)</f>
        <v>4960446.9619200006</v>
      </c>
      <c r="J47" s="64">
        <f>SUMIFS(J:J,$A:$A,$C$47,$B:$B,$47:$47 $D:$D)</f>
        <v>5219395.7481600009</v>
      </c>
      <c r="K47" s="64">
        <f>SUMIFS(K:K,$A:$A,$C$47,$B:$B,$47:$47 $D:$D)</f>
        <v>0</v>
      </c>
      <c r="L47" s="64">
        <f>SUMIFS(L:L,$A:$A,$C$47,$B:$B,$47:$47 $D:$D)</f>
        <v>500000</v>
      </c>
      <c r="M47" s="64">
        <f>SUMIFS(M:M,$A:$A,$C$47,$B:$B,$47:$47 $D:$D)</f>
        <v>2193076</v>
      </c>
      <c r="N47" s="64">
        <f>SUMIFS(N:N,$A:$A,$C$47,$B:$B,$47:$47 $D:$D)</f>
        <v>0</v>
      </c>
      <c r="O47" s="64">
        <f>SUMIFS(O:O,$A:$A,$C$47,$B:$B,$47:$47 $D:$D)</f>
        <v>0</v>
      </c>
      <c r="P47" s="64">
        <f>SUMIFS(P:P,$A:$A,$C$47,$B:$B,$47:$47 $D:$D)</f>
        <v>0</v>
      </c>
      <c r="Q47" s="64">
        <f>SUMIFS(Q:Q,$A:$A,$C$47,$B:$B,$47:$47 $D:$D)</f>
        <v>386858.95</v>
      </c>
      <c r="R47" s="64">
        <f>SUMIFS(R:R,$A:$A,$C$47,$B:$B,$47:$47 $D:$D)</f>
        <v>0</v>
      </c>
      <c r="S47" s="64">
        <f>SUMIFS(S:S,$A:$A,$C$47,$B:$B,$47:$47 $D:$D)</f>
        <v>0</v>
      </c>
      <c r="T47" s="64">
        <f>SUMIFS(T:T,$A:$A,$C$47,$B:$B,$47:$47 $D:$D)</f>
        <v>0</v>
      </c>
      <c r="U47" s="64">
        <f>SUMIFS(U:U,$A:$A,$C$47,$B:$B,$47:$47 $D:$D)</f>
        <v>13259777.660080001</v>
      </c>
      <c r="V47" s="64">
        <f>SUMIFS(V:V,$A:$A,$C$47,$B:$B,$47:$47 $D:$D)</f>
        <v>81183305.056009993</v>
      </c>
      <c r="W47" s="65">
        <f>SUMIFS(W:W,$A:$A,$C$47,$B:$B,$47:$47 $D:$D)</f>
        <v>94443082.716090009</v>
      </c>
    </row>
    <row r="48" spans="1:23" x14ac:dyDescent="0.25">
      <c r="A48" s="173"/>
      <c r="B48" s="173"/>
      <c r="C48" s="173"/>
      <c r="D48" s="173"/>
      <c r="E48" s="173"/>
      <c r="F48" s="159"/>
      <c r="G48" s="159"/>
      <c r="H48" s="159"/>
      <c r="I48" s="159"/>
      <c r="J48" s="159"/>
      <c r="K48" s="159"/>
      <c r="L48" s="159"/>
      <c r="M48" s="159"/>
      <c r="N48" s="159"/>
      <c r="O48" s="159"/>
      <c r="P48" s="159"/>
      <c r="Q48" s="159"/>
      <c r="R48" s="159"/>
      <c r="S48" s="159"/>
      <c r="T48" s="159"/>
      <c r="U48" s="159"/>
      <c r="V48" s="159"/>
      <c r="W48" s="159"/>
    </row>
    <row r="49" spans="1:23" x14ac:dyDescent="0.25">
      <c r="A49" s="162" t="s">
        <v>103</v>
      </c>
      <c r="B49" s="162" t="s">
        <v>19</v>
      </c>
      <c r="C49" s="162" t="s">
        <v>145</v>
      </c>
      <c r="D49" s="162" t="str">
        <f>VLOOKUP(C49,'M_LC Summary'!A:F,6,0)</f>
        <v>SNB</v>
      </c>
      <c r="E49" s="162" t="str">
        <f>VLOOKUP(C49,'M_LC Summary'!A:C,3,0)</f>
        <v>Banan Thiba Trading Est (BTT)</v>
      </c>
      <c r="F49" s="157">
        <f>VLOOKUP(C49,'M_LC Summary'!A:K,11,0)</f>
        <v>900000</v>
      </c>
      <c r="G49" s="157">
        <f>VLOOKUP(C49,'M_LC Summary'!A:L,12,0)</f>
        <v>781791.28</v>
      </c>
      <c r="H49" s="157">
        <f t="shared" si="4"/>
        <v>118208.71999999997</v>
      </c>
      <c r="I49" s="157">
        <f>SUMIFS('PQ-Due Dates'!$L:$L,'PQ-Due Dates'!$A:$A,V_Detailed_Report!$C49,'PQ-Due Dates'!$M:$M,"&gt;="&amp;V_Detailed_Report!I$3,'PQ-Due Dates'!$M:$M,"&lt;="&amp;V_Detailed_Report!I$4)</f>
        <v>0</v>
      </c>
      <c r="J49" s="157">
        <f>SUMIFS('PQ-Due Dates'!$L:$L,'PQ-Due Dates'!$A:$A,V_Detailed_Report!$C49,'PQ-Due Dates'!$M:$M,"&gt;="&amp;V_Detailed_Report!J$3,'PQ-Due Dates'!$M:$M,"&lt;="&amp;V_Detailed_Report!J$4)</f>
        <v>0</v>
      </c>
      <c r="K49" s="157">
        <f>SUMIFS('PQ-Due Dates'!$L:$L,'PQ-Due Dates'!$A:$A,V_Detailed_Report!$C49,'PQ-Due Dates'!$M:$M,"&gt;="&amp;V_Detailed_Report!K$3,'PQ-Due Dates'!$M:$M,"&lt;="&amp;V_Detailed_Report!K$4)</f>
        <v>0</v>
      </c>
      <c r="L49" s="157">
        <f>SUMIFS('PQ-Due Dates'!$L:$L,'PQ-Due Dates'!$A:$A,V_Detailed_Report!$C49,'PQ-Due Dates'!$M:$M,"&gt;="&amp;V_Detailed_Report!L$3,'PQ-Due Dates'!$M:$M,"&lt;="&amp;V_Detailed_Report!L$4)</f>
        <v>0</v>
      </c>
      <c r="M49" s="157">
        <f>SUMIFS('PQ-Due Dates'!$L:$L,'PQ-Due Dates'!$A:$A,V_Detailed_Report!$C49,'PQ-Due Dates'!$M:$M,"&gt;="&amp;V_Detailed_Report!M$3,'PQ-Due Dates'!$M:$M,"&lt;="&amp;V_Detailed_Report!M$4)</f>
        <v>0</v>
      </c>
      <c r="N49" s="157">
        <f>SUMIFS('PQ-Due Dates'!$L:$L,'PQ-Due Dates'!$A:$A,V_Detailed_Report!$C49,'PQ-Due Dates'!$M:$M,"&gt;="&amp;V_Detailed_Report!N$3,'PQ-Due Dates'!$M:$M,"&lt;="&amp;V_Detailed_Report!N$4)</f>
        <v>0</v>
      </c>
      <c r="O49" s="157">
        <f>SUMIFS('PQ-Due Dates'!$L:$L,'PQ-Due Dates'!$A:$A,V_Detailed_Report!$C49,'PQ-Due Dates'!$M:$M,"&gt;="&amp;V_Detailed_Report!O$3,'PQ-Due Dates'!$M:$M,"&lt;="&amp;V_Detailed_Report!O$4)</f>
        <v>0</v>
      </c>
      <c r="P49" s="157">
        <f>SUMIFS('PQ-Due Dates'!$L:$L,'PQ-Due Dates'!$A:$A,V_Detailed_Report!$C49,'PQ-Due Dates'!$M:$M,"&gt;="&amp;V_Detailed_Report!P$3,'PQ-Due Dates'!$M:$M,"&lt;="&amp;V_Detailed_Report!P$4)</f>
        <v>0</v>
      </c>
      <c r="Q49" s="157">
        <f>SUMIFS('PQ-Due Dates'!$L:$L,'PQ-Due Dates'!$A:$A,V_Detailed_Report!$C49,'PQ-Due Dates'!$M:$M,"&gt;="&amp;V_Detailed_Report!Q$3,'PQ-Due Dates'!$M:$M,"&lt;="&amp;V_Detailed_Report!Q$4)</f>
        <v>0</v>
      </c>
      <c r="R49" s="157">
        <f>SUMIFS('PQ-Due Dates'!$L:$L,'PQ-Due Dates'!$A:$A,V_Detailed_Report!$C49,'PQ-Due Dates'!$M:$M,"&gt;="&amp;V_Detailed_Report!R$3,'PQ-Due Dates'!$M:$M,"&lt;="&amp;V_Detailed_Report!R$4)</f>
        <v>0</v>
      </c>
      <c r="S49" s="157">
        <f>SUMIFS('PQ-Due Dates'!$L:$L,'PQ-Due Dates'!$A:$A,V_Detailed_Report!$C49,'PQ-Due Dates'!$M:$M,"&gt;="&amp;V_Detailed_Report!S$3,'PQ-Due Dates'!$M:$M,"&lt;="&amp;V_Detailed_Report!S$4)</f>
        <v>0</v>
      </c>
      <c r="T49" s="157">
        <f>SUMIFS('PQ-Due Dates'!$L:$L,'PQ-Due Dates'!$A:$A,V_Detailed_Report!$C49,'PQ-Due Dates'!$M:$M,"&gt;="&amp;V_Detailed_Report!T$3,'PQ-Due Dates'!$M:$M,"&lt;="&amp;V_Detailed_Report!T$4)</f>
        <v>0</v>
      </c>
      <c r="U49" s="157">
        <f t="shared" si="5"/>
        <v>0</v>
      </c>
      <c r="V49" s="157">
        <f t="shared" si="6"/>
        <v>118208.71999999997</v>
      </c>
      <c r="W49" s="157">
        <f t="shared" si="7"/>
        <v>118208.71999999997</v>
      </c>
    </row>
    <row r="50" spans="1:23" x14ac:dyDescent="0.25">
      <c r="A50" s="162" t="s">
        <v>103</v>
      </c>
      <c r="B50" s="162" t="s">
        <v>19</v>
      </c>
      <c r="C50" s="162" t="s">
        <v>185</v>
      </c>
      <c r="D50" s="162" t="str">
        <f>VLOOKUP(C50,'M_LC Summary'!A:F,6,0)</f>
        <v>Alinma</v>
      </c>
      <c r="E50" s="162" t="str">
        <f>VLOOKUP(C50,'M_LC Summary'!A:C,3,0)</f>
        <v>SKM AIR CONDITIONING CO</v>
      </c>
      <c r="F50" s="157">
        <f>VLOOKUP(C50,'M_LC Summary'!A:K,11,0)</f>
        <v>922106.57</v>
      </c>
      <c r="G50" s="157">
        <f>VLOOKUP(C50,'M_LC Summary'!A:L,12,0)</f>
        <v>207691.38</v>
      </c>
      <c r="H50" s="157">
        <f t="shared" si="4"/>
        <v>714415.19</v>
      </c>
      <c r="I50" s="157">
        <f>SUMIFS('PQ-Due Dates'!$L:$L,'PQ-Due Dates'!$A:$A,V_Detailed_Report!$C50,'PQ-Due Dates'!$M:$M,"&gt;="&amp;V_Detailed_Report!I$3,'PQ-Due Dates'!$M:$M,"&lt;="&amp;V_Detailed_Report!I$4)</f>
        <v>0</v>
      </c>
      <c r="J50" s="157">
        <f>SUMIFS('PQ-Due Dates'!$L:$L,'PQ-Due Dates'!$A:$A,V_Detailed_Report!$C50,'PQ-Due Dates'!$M:$M,"&gt;="&amp;V_Detailed_Report!J$3,'PQ-Due Dates'!$M:$M,"&lt;="&amp;V_Detailed_Report!J$4)</f>
        <v>0</v>
      </c>
      <c r="K50" s="157">
        <f>SUMIFS('PQ-Due Dates'!$L:$L,'PQ-Due Dates'!$A:$A,V_Detailed_Report!$C50,'PQ-Due Dates'!$M:$M,"&gt;="&amp;V_Detailed_Report!K$3,'PQ-Due Dates'!$M:$M,"&lt;="&amp;V_Detailed_Report!K$4)</f>
        <v>0</v>
      </c>
      <c r="L50" s="157">
        <f>SUMIFS('PQ-Due Dates'!$L:$L,'PQ-Due Dates'!$A:$A,V_Detailed_Report!$C50,'PQ-Due Dates'!$M:$M,"&gt;="&amp;V_Detailed_Report!L$3,'PQ-Due Dates'!$M:$M,"&lt;="&amp;V_Detailed_Report!L$4)</f>
        <v>0</v>
      </c>
      <c r="M50" s="157">
        <f>SUMIFS('PQ-Due Dates'!$L:$L,'PQ-Due Dates'!$A:$A,V_Detailed_Report!$C50,'PQ-Due Dates'!$M:$M,"&gt;="&amp;V_Detailed_Report!M$3,'PQ-Due Dates'!$M:$M,"&lt;="&amp;V_Detailed_Report!M$4)</f>
        <v>0</v>
      </c>
      <c r="N50" s="157">
        <f>SUMIFS('PQ-Due Dates'!$L:$L,'PQ-Due Dates'!$A:$A,V_Detailed_Report!$C50,'PQ-Due Dates'!$M:$M,"&gt;="&amp;V_Detailed_Report!N$3,'PQ-Due Dates'!$M:$M,"&lt;="&amp;V_Detailed_Report!N$4)</f>
        <v>702587.67</v>
      </c>
      <c r="O50" s="157">
        <f>SUMIFS('PQ-Due Dates'!$L:$L,'PQ-Due Dates'!$A:$A,V_Detailed_Report!$C50,'PQ-Due Dates'!$M:$M,"&gt;="&amp;V_Detailed_Report!O$3,'PQ-Due Dates'!$M:$M,"&lt;="&amp;V_Detailed_Report!O$4)</f>
        <v>0</v>
      </c>
      <c r="P50" s="157">
        <f>SUMIFS('PQ-Due Dates'!$L:$L,'PQ-Due Dates'!$A:$A,V_Detailed_Report!$C50,'PQ-Due Dates'!$M:$M,"&gt;="&amp;V_Detailed_Report!P$3,'PQ-Due Dates'!$M:$M,"&lt;="&amp;V_Detailed_Report!P$4)</f>
        <v>0</v>
      </c>
      <c r="Q50" s="157">
        <f>SUMIFS('PQ-Due Dates'!$L:$L,'PQ-Due Dates'!$A:$A,V_Detailed_Report!$C50,'PQ-Due Dates'!$M:$M,"&gt;="&amp;V_Detailed_Report!Q$3,'PQ-Due Dates'!$M:$M,"&lt;="&amp;V_Detailed_Report!Q$4)</f>
        <v>0</v>
      </c>
      <c r="R50" s="157">
        <f>SUMIFS('PQ-Due Dates'!$L:$L,'PQ-Due Dates'!$A:$A,V_Detailed_Report!$C50,'PQ-Due Dates'!$M:$M,"&gt;="&amp;V_Detailed_Report!R$3,'PQ-Due Dates'!$M:$M,"&lt;="&amp;V_Detailed_Report!R$4)</f>
        <v>0</v>
      </c>
      <c r="S50" s="157">
        <f>SUMIFS('PQ-Due Dates'!$L:$L,'PQ-Due Dates'!$A:$A,V_Detailed_Report!$C50,'PQ-Due Dates'!$M:$M,"&gt;="&amp;V_Detailed_Report!S$3,'PQ-Due Dates'!$M:$M,"&lt;="&amp;V_Detailed_Report!S$4)</f>
        <v>0</v>
      </c>
      <c r="T50" s="157">
        <f>SUMIFS('PQ-Due Dates'!$L:$L,'PQ-Due Dates'!$A:$A,V_Detailed_Report!$C50,'PQ-Due Dates'!$M:$M,"&gt;="&amp;V_Detailed_Report!T$3,'PQ-Due Dates'!$M:$M,"&lt;="&amp;V_Detailed_Report!T$4)</f>
        <v>0</v>
      </c>
      <c r="U50" s="157">
        <f t="shared" si="5"/>
        <v>702587.67</v>
      </c>
      <c r="V50" s="157">
        <f t="shared" si="6"/>
        <v>11827.519999999902</v>
      </c>
      <c r="W50" s="157">
        <f t="shared" si="7"/>
        <v>714415.19</v>
      </c>
    </row>
    <row r="51" spans="1:23" ht="15.75" thickBot="1" x14ac:dyDescent="0.3">
      <c r="A51" s="171" t="s">
        <v>103</v>
      </c>
      <c r="B51" s="171" t="s">
        <v>19</v>
      </c>
      <c r="C51" s="171" t="s">
        <v>186</v>
      </c>
      <c r="D51" s="171" t="str">
        <f>VLOOKUP(C51,'M_LC Summary'!A:F,6,0)</f>
        <v>Alinma</v>
      </c>
      <c r="E51" s="171" t="str">
        <f>VLOOKUP(C51,'M_LC Summary'!A:C,3,0)</f>
        <v>STAR SQUARES CO LTD</v>
      </c>
      <c r="F51" s="158">
        <f>VLOOKUP(C51,'M_LC Summary'!A:K,11,0)</f>
        <v>250000</v>
      </c>
      <c r="G51" s="158">
        <f>VLOOKUP(C51,'M_LC Summary'!A:L,12,0)</f>
        <v>0</v>
      </c>
      <c r="H51" s="158">
        <f t="shared" si="4"/>
        <v>250000</v>
      </c>
      <c r="I51" s="158">
        <f>SUMIFS('PQ-Due Dates'!$L:$L,'PQ-Due Dates'!$A:$A,V_Detailed_Report!$C51,'PQ-Due Dates'!$M:$M,"&gt;="&amp;V_Detailed_Report!I$3,'PQ-Due Dates'!$M:$M,"&lt;="&amp;V_Detailed_Report!I$4)</f>
        <v>0</v>
      </c>
      <c r="J51" s="158">
        <f>SUMIFS('PQ-Due Dates'!$L:$L,'PQ-Due Dates'!$A:$A,V_Detailed_Report!$C51,'PQ-Due Dates'!$M:$M,"&gt;="&amp;V_Detailed_Report!J$3,'PQ-Due Dates'!$M:$M,"&lt;="&amp;V_Detailed_Report!J$4)</f>
        <v>0</v>
      </c>
      <c r="K51" s="158">
        <f>SUMIFS('PQ-Due Dates'!$L:$L,'PQ-Due Dates'!$A:$A,V_Detailed_Report!$C51,'PQ-Due Dates'!$M:$M,"&gt;="&amp;V_Detailed_Report!K$3,'PQ-Due Dates'!$M:$M,"&lt;="&amp;V_Detailed_Report!K$4)</f>
        <v>0</v>
      </c>
      <c r="L51" s="158">
        <f>SUMIFS('PQ-Due Dates'!$L:$L,'PQ-Due Dates'!$A:$A,V_Detailed_Report!$C51,'PQ-Due Dates'!$M:$M,"&gt;="&amp;V_Detailed_Report!L$3,'PQ-Due Dates'!$M:$M,"&lt;="&amp;V_Detailed_Report!L$4)</f>
        <v>0</v>
      </c>
      <c r="M51" s="158">
        <f>SUMIFS('PQ-Due Dates'!$L:$L,'PQ-Due Dates'!$A:$A,V_Detailed_Report!$C51,'PQ-Due Dates'!$M:$M,"&gt;="&amp;V_Detailed_Report!M$3,'PQ-Due Dates'!$M:$M,"&lt;="&amp;V_Detailed_Report!M$4)</f>
        <v>0</v>
      </c>
      <c r="N51" s="158">
        <f>SUMIFS('PQ-Due Dates'!$L:$L,'PQ-Due Dates'!$A:$A,V_Detailed_Report!$C51,'PQ-Due Dates'!$M:$M,"&gt;="&amp;V_Detailed_Report!N$3,'PQ-Due Dates'!$M:$M,"&lt;="&amp;V_Detailed_Report!N$4)</f>
        <v>0</v>
      </c>
      <c r="O51" s="158">
        <f>SUMIFS('PQ-Due Dates'!$L:$L,'PQ-Due Dates'!$A:$A,V_Detailed_Report!$C51,'PQ-Due Dates'!$M:$M,"&gt;="&amp;V_Detailed_Report!O$3,'PQ-Due Dates'!$M:$M,"&lt;="&amp;V_Detailed_Report!O$4)</f>
        <v>0</v>
      </c>
      <c r="P51" s="158">
        <f>SUMIFS('PQ-Due Dates'!$L:$L,'PQ-Due Dates'!$A:$A,V_Detailed_Report!$C51,'PQ-Due Dates'!$M:$M,"&gt;="&amp;V_Detailed_Report!P$3,'PQ-Due Dates'!$M:$M,"&lt;="&amp;V_Detailed_Report!P$4)</f>
        <v>0</v>
      </c>
      <c r="Q51" s="158">
        <f>SUMIFS('PQ-Due Dates'!$L:$L,'PQ-Due Dates'!$A:$A,V_Detailed_Report!$C51,'PQ-Due Dates'!$M:$M,"&gt;="&amp;V_Detailed_Report!Q$3,'PQ-Due Dates'!$M:$M,"&lt;="&amp;V_Detailed_Report!Q$4)</f>
        <v>0</v>
      </c>
      <c r="R51" s="158">
        <f>SUMIFS('PQ-Due Dates'!$L:$L,'PQ-Due Dates'!$A:$A,V_Detailed_Report!$C51,'PQ-Due Dates'!$M:$M,"&gt;="&amp;V_Detailed_Report!R$3,'PQ-Due Dates'!$M:$M,"&lt;="&amp;V_Detailed_Report!R$4)</f>
        <v>0</v>
      </c>
      <c r="S51" s="158">
        <f>SUMIFS('PQ-Due Dates'!$L:$L,'PQ-Due Dates'!$A:$A,V_Detailed_Report!$C51,'PQ-Due Dates'!$M:$M,"&gt;="&amp;V_Detailed_Report!S$3,'PQ-Due Dates'!$M:$M,"&lt;="&amp;V_Detailed_Report!S$4)</f>
        <v>0</v>
      </c>
      <c r="T51" s="158">
        <f>SUMIFS('PQ-Due Dates'!$L:$L,'PQ-Due Dates'!$A:$A,V_Detailed_Report!$C51,'PQ-Due Dates'!$M:$M,"&gt;="&amp;V_Detailed_Report!T$3,'PQ-Due Dates'!$M:$M,"&lt;="&amp;V_Detailed_Report!T$4)</f>
        <v>0</v>
      </c>
      <c r="U51" s="158">
        <f t="shared" si="5"/>
        <v>0</v>
      </c>
      <c r="V51" s="158">
        <f t="shared" si="6"/>
        <v>250000</v>
      </c>
      <c r="W51" s="158">
        <f t="shared" si="7"/>
        <v>250000</v>
      </c>
    </row>
    <row r="52" spans="1:23" ht="15.75" thickBot="1" x14ac:dyDescent="0.3">
      <c r="A52" s="61"/>
      <c r="B52" s="60"/>
      <c r="C52" s="68" t="s">
        <v>103</v>
      </c>
      <c r="D52" s="68" t="s">
        <v>19</v>
      </c>
      <c r="E52" s="60" t="s">
        <v>93</v>
      </c>
      <c r="F52" s="64">
        <f>SUMIFS(F:F,$A:$A,$C$52,$B:$B,$52:$52 $D:$D)</f>
        <v>2072106.5699999998</v>
      </c>
      <c r="G52" s="64">
        <f>SUMIFS(G:G,$A:$A,$C$52,$B:$B,$52:$52 $D:$D)</f>
        <v>989482.66</v>
      </c>
      <c r="H52" s="64">
        <f>SUMIFS(H:H,$A:$A,$C$52,$B:$B,$52:$52 $D:$D)</f>
        <v>1082623.9099999999</v>
      </c>
      <c r="I52" s="64">
        <f>SUMIFS(I:I,$A:$A,$C$52,$B:$B,$52:$52 $D:$D)</f>
        <v>0</v>
      </c>
      <c r="J52" s="64">
        <f>SUMIFS(J:J,$A:$A,$C$52,$B:$B,$52:$52 $D:$D)</f>
        <v>0</v>
      </c>
      <c r="K52" s="64">
        <f>SUMIFS(K:K,$A:$A,$C$52,$B:$B,$52:$52 $D:$D)</f>
        <v>0</v>
      </c>
      <c r="L52" s="64">
        <f>SUMIFS(L:L,$A:$A,$C$52,$B:$B,$52:$52 $D:$D)</f>
        <v>0</v>
      </c>
      <c r="M52" s="64">
        <f>SUMIFS(M:M,$A:$A,$C$52,$B:$B,$52:$52 $D:$D)</f>
        <v>0</v>
      </c>
      <c r="N52" s="64">
        <f>SUMIFS(N:N,$A:$A,$C$52,$B:$B,$52:$52 $D:$D)</f>
        <v>702587.67</v>
      </c>
      <c r="O52" s="64">
        <f>SUMIFS(O:O,$A:$A,$C$52,$B:$B,$52:$52 $D:$D)</f>
        <v>0</v>
      </c>
      <c r="P52" s="64">
        <f>SUMIFS(P:P,$A:$A,$C$52,$B:$B,$52:$52 $D:$D)</f>
        <v>0</v>
      </c>
      <c r="Q52" s="64">
        <f>SUMIFS(Q:Q,$A:$A,$C$52,$B:$B,$52:$52 $D:$D)</f>
        <v>0</v>
      </c>
      <c r="R52" s="64">
        <f>SUMIFS(R:R,$A:$A,$C$52,$B:$B,$52:$52 $D:$D)</f>
        <v>0</v>
      </c>
      <c r="S52" s="64">
        <f>SUMIFS(S:S,$A:$A,$C$52,$B:$B,$52:$52 $D:$D)</f>
        <v>0</v>
      </c>
      <c r="T52" s="64">
        <f>SUMIFS(T:T,$A:$A,$C$52,$B:$B,$52:$52 $D:$D)</f>
        <v>0</v>
      </c>
      <c r="U52" s="64">
        <f>SUMIFS(U:U,$A:$A,$C$52,$B:$B,$52:$52 $D:$D)</f>
        <v>702587.67</v>
      </c>
      <c r="V52" s="64">
        <f>SUMIFS(V:V,$A:$A,$C$52,$B:$B,$52:$52 $D:$D)</f>
        <v>380036.23999999987</v>
      </c>
      <c r="W52" s="65">
        <f>SUMIFS(W:W,$A:$A,$C$52,$B:$B,$52:$52 $D:$D)</f>
        <v>1082623.9099999999</v>
      </c>
    </row>
    <row r="53" spans="1:23" x14ac:dyDescent="0.25">
      <c r="A53" s="173"/>
      <c r="B53" s="173"/>
      <c r="C53" s="173"/>
      <c r="D53" s="173"/>
      <c r="E53" s="173"/>
      <c r="F53" s="159"/>
      <c r="G53" s="159"/>
      <c r="H53" s="159"/>
      <c r="I53" s="159"/>
      <c r="J53" s="159"/>
      <c r="K53" s="159"/>
      <c r="L53" s="159"/>
      <c r="M53" s="159"/>
      <c r="N53" s="159"/>
      <c r="O53" s="159"/>
      <c r="P53" s="159"/>
      <c r="Q53" s="159"/>
      <c r="R53" s="159"/>
      <c r="S53" s="159"/>
      <c r="T53" s="159"/>
      <c r="U53" s="159"/>
      <c r="V53" s="159"/>
      <c r="W53" s="159"/>
    </row>
    <row r="54" spans="1:23" x14ac:dyDescent="0.25">
      <c r="A54" s="162" t="s">
        <v>105</v>
      </c>
      <c r="B54" s="162" t="s">
        <v>19</v>
      </c>
      <c r="C54" s="162" t="s">
        <v>274</v>
      </c>
      <c r="D54" s="162" t="str">
        <f>VLOOKUP(C54,'M_LC Summary'!A:F,6,0)</f>
        <v>Alinma</v>
      </c>
      <c r="E54" s="162" t="str">
        <f>VLOOKUP(C54,'M_LC Summary'!A:C,3,0)</f>
        <v>Osalas GMBH</v>
      </c>
      <c r="F54" s="157">
        <f>VLOOKUP(C54,'M_LC Summary'!A:K,11,0)</f>
        <v>22200000.000000004</v>
      </c>
      <c r="G54" s="157">
        <f>VLOOKUP(C54,'M_LC Summary'!A:L,12,0)</f>
        <v>20908277</v>
      </c>
      <c r="H54" s="157">
        <f t="shared" si="4"/>
        <v>1291723.0000000037</v>
      </c>
      <c r="I54" s="157">
        <f>SUMIFS('PQ-Due Dates'!$L:$L,'PQ-Due Dates'!$A:$A,V_Detailed_Report!$C54,'PQ-Due Dates'!$M:$M,"&gt;="&amp;V_Detailed_Report!I$3,'PQ-Due Dates'!$M:$M,"&lt;="&amp;V_Detailed_Report!I$4)</f>
        <v>1198665</v>
      </c>
      <c r="J54" s="157">
        <f>SUMIFS('PQ-Due Dates'!$L:$L,'PQ-Due Dates'!$A:$A,V_Detailed_Report!$C54,'PQ-Due Dates'!$M:$M,"&gt;="&amp;V_Detailed_Report!J$3,'PQ-Due Dates'!$M:$M,"&lt;="&amp;V_Detailed_Report!J$4)</f>
        <v>0</v>
      </c>
      <c r="K54" s="157">
        <f>SUMIFS('PQ-Due Dates'!$L:$L,'PQ-Due Dates'!$A:$A,V_Detailed_Report!$C54,'PQ-Due Dates'!$M:$M,"&gt;="&amp;V_Detailed_Report!K$3,'PQ-Due Dates'!$M:$M,"&lt;="&amp;V_Detailed_Report!K$4)</f>
        <v>0</v>
      </c>
      <c r="L54" s="157">
        <f>SUMIFS('PQ-Due Dates'!$L:$L,'PQ-Due Dates'!$A:$A,V_Detailed_Report!$C54,'PQ-Due Dates'!$M:$M,"&gt;="&amp;V_Detailed_Report!L$3,'PQ-Due Dates'!$M:$M,"&lt;="&amp;V_Detailed_Report!L$4)</f>
        <v>0</v>
      </c>
      <c r="M54" s="157">
        <f>SUMIFS('PQ-Due Dates'!$L:$L,'PQ-Due Dates'!$A:$A,V_Detailed_Report!$C54,'PQ-Due Dates'!$M:$M,"&gt;="&amp;V_Detailed_Report!M$3,'PQ-Due Dates'!$M:$M,"&lt;="&amp;V_Detailed_Report!M$4)</f>
        <v>0</v>
      </c>
      <c r="N54" s="157">
        <f>SUMIFS('PQ-Due Dates'!$L:$L,'PQ-Due Dates'!$A:$A,V_Detailed_Report!$C54,'PQ-Due Dates'!$M:$M,"&gt;="&amp;V_Detailed_Report!N$3,'PQ-Due Dates'!$M:$M,"&lt;="&amp;V_Detailed_Report!N$4)</f>
        <v>0</v>
      </c>
      <c r="O54" s="157">
        <f>SUMIFS('PQ-Due Dates'!$L:$L,'PQ-Due Dates'!$A:$A,V_Detailed_Report!$C54,'PQ-Due Dates'!$M:$M,"&gt;="&amp;V_Detailed_Report!O$3,'PQ-Due Dates'!$M:$M,"&lt;="&amp;V_Detailed_Report!O$4)</f>
        <v>0</v>
      </c>
      <c r="P54" s="157">
        <f>SUMIFS('PQ-Due Dates'!$L:$L,'PQ-Due Dates'!$A:$A,V_Detailed_Report!$C54,'PQ-Due Dates'!$M:$M,"&gt;="&amp;V_Detailed_Report!P$3,'PQ-Due Dates'!$M:$M,"&lt;="&amp;V_Detailed_Report!P$4)</f>
        <v>0</v>
      </c>
      <c r="Q54" s="157">
        <f>SUMIFS('PQ-Due Dates'!$L:$L,'PQ-Due Dates'!$A:$A,V_Detailed_Report!$C54,'PQ-Due Dates'!$M:$M,"&gt;="&amp;V_Detailed_Report!Q$3,'PQ-Due Dates'!$M:$M,"&lt;="&amp;V_Detailed_Report!Q$4)</f>
        <v>0</v>
      </c>
      <c r="R54" s="157">
        <f>SUMIFS('PQ-Due Dates'!$L:$L,'PQ-Due Dates'!$A:$A,V_Detailed_Report!$C54,'PQ-Due Dates'!$M:$M,"&gt;="&amp;V_Detailed_Report!R$3,'PQ-Due Dates'!$M:$M,"&lt;="&amp;V_Detailed_Report!R$4)</f>
        <v>0</v>
      </c>
      <c r="S54" s="157">
        <f>SUMIFS('PQ-Due Dates'!$L:$L,'PQ-Due Dates'!$A:$A,V_Detailed_Report!$C54,'PQ-Due Dates'!$M:$M,"&gt;="&amp;V_Detailed_Report!S$3,'PQ-Due Dates'!$M:$M,"&lt;="&amp;V_Detailed_Report!S$4)</f>
        <v>0</v>
      </c>
      <c r="T54" s="157">
        <f>SUMIFS('PQ-Due Dates'!$L:$L,'PQ-Due Dates'!$A:$A,V_Detailed_Report!$C54,'PQ-Due Dates'!$M:$M,"&gt;="&amp;V_Detailed_Report!T$3,'PQ-Due Dates'!$M:$M,"&lt;="&amp;V_Detailed_Report!T$4)</f>
        <v>0</v>
      </c>
      <c r="U54" s="157">
        <f t="shared" si="5"/>
        <v>1198665</v>
      </c>
      <c r="V54" s="157">
        <f t="shared" si="6"/>
        <v>93058.000000003725</v>
      </c>
      <c r="W54" s="157">
        <f t="shared" si="7"/>
        <v>1291723.0000000037</v>
      </c>
    </row>
    <row r="55" spans="1:23" x14ac:dyDescent="0.25">
      <c r="A55" s="162" t="s">
        <v>105</v>
      </c>
      <c r="B55" s="162" t="s">
        <v>19</v>
      </c>
      <c r="C55" s="162" t="s">
        <v>347</v>
      </c>
      <c r="D55" s="162" t="str">
        <f>VLOOKUP(C55,'M_LC Summary'!A:F,6,0)</f>
        <v>Alinma</v>
      </c>
      <c r="E55" s="162" t="str">
        <f>VLOOKUP(C55,'M_LC Summary'!A:C,3,0)</f>
        <v>The Fundamental Installation For Electric Work Co</v>
      </c>
      <c r="F55" s="157">
        <f>VLOOKUP(C55,'M_LC Summary'!A:K,11,0)</f>
        <v>19000000</v>
      </c>
      <c r="G55" s="157">
        <f>VLOOKUP(C55,'M_LC Summary'!A:L,12,0)</f>
        <v>13000000</v>
      </c>
      <c r="H55" s="157">
        <f t="shared" si="4"/>
        <v>6000000</v>
      </c>
      <c r="I55" s="157">
        <f>SUMIFS('PQ-Due Dates'!$L:$L,'PQ-Due Dates'!$A:$A,V_Detailed_Report!$C55,'PQ-Due Dates'!$M:$M,"&gt;="&amp;V_Detailed_Report!I$3,'PQ-Due Dates'!$M:$M,"&lt;="&amp;V_Detailed_Report!I$4)</f>
        <v>0</v>
      </c>
      <c r="J55" s="157">
        <f>SUMIFS('PQ-Due Dates'!$L:$L,'PQ-Due Dates'!$A:$A,V_Detailed_Report!$C55,'PQ-Due Dates'!$M:$M,"&gt;="&amp;V_Detailed_Report!J$3,'PQ-Due Dates'!$M:$M,"&lt;="&amp;V_Detailed_Report!J$4)</f>
        <v>6000000</v>
      </c>
      <c r="K55" s="157">
        <f>SUMIFS('PQ-Due Dates'!$L:$L,'PQ-Due Dates'!$A:$A,V_Detailed_Report!$C55,'PQ-Due Dates'!$M:$M,"&gt;="&amp;V_Detailed_Report!K$3,'PQ-Due Dates'!$M:$M,"&lt;="&amp;V_Detailed_Report!K$4)</f>
        <v>0</v>
      </c>
      <c r="L55" s="157">
        <f>SUMIFS('PQ-Due Dates'!$L:$L,'PQ-Due Dates'!$A:$A,V_Detailed_Report!$C55,'PQ-Due Dates'!$M:$M,"&gt;="&amp;V_Detailed_Report!L$3,'PQ-Due Dates'!$M:$M,"&lt;="&amp;V_Detailed_Report!L$4)</f>
        <v>0</v>
      </c>
      <c r="M55" s="157">
        <f>SUMIFS('PQ-Due Dates'!$L:$L,'PQ-Due Dates'!$A:$A,V_Detailed_Report!$C55,'PQ-Due Dates'!$M:$M,"&gt;="&amp;V_Detailed_Report!M$3,'PQ-Due Dates'!$M:$M,"&lt;="&amp;V_Detailed_Report!M$4)</f>
        <v>0</v>
      </c>
      <c r="N55" s="157">
        <f>SUMIFS('PQ-Due Dates'!$L:$L,'PQ-Due Dates'!$A:$A,V_Detailed_Report!$C55,'PQ-Due Dates'!$M:$M,"&gt;="&amp;V_Detailed_Report!N$3,'PQ-Due Dates'!$M:$M,"&lt;="&amp;V_Detailed_Report!N$4)</f>
        <v>0</v>
      </c>
      <c r="O55" s="157">
        <f>SUMIFS('PQ-Due Dates'!$L:$L,'PQ-Due Dates'!$A:$A,V_Detailed_Report!$C55,'PQ-Due Dates'!$M:$M,"&gt;="&amp;V_Detailed_Report!O$3,'PQ-Due Dates'!$M:$M,"&lt;="&amp;V_Detailed_Report!O$4)</f>
        <v>0</v>
      </c>
      <c r="P55" s="157">
        <f>SUMIFS('PQ-Due Dates'!$L:$L,'PQ-Due Dates'!$A:$A,V_Detailed_Report!$C55,'PQ-Due Dates'!$M:$M,"&gt;="&amp;V_Detailed_Report!P$3,'PQ-Due Dates'!$M:$M,"&lt;="&amp;V_Detailed_Report!P$4)</f>
        <v>0</v>
      </c>
      <c r="Q55" s="157">
        <f>SUMIFS('PQ-Due Dates'!$L:$L,'PQ-Due Dates'!$A:$A,V_Detailed_Report!$C55,'PQ-Due Dates'!$M:$M,"&gt;="&amp;V_Detailed_Report!Q$3,'PQ-Due Dates'!$M:$M,"&lt;="&amp;V_Detailed_Report!Q$4)</f>
        <v>0</v>
      </c>
      <c r="R55" s="157">
        <f>SUMIFS('PQ-Due Dates'!$L:$L,'PQ-Due Dates'!$A:$A,V_Detailed_Report!$C55,'PQ-Due Dates'!$M:$M,"&gt;="&amp;V_Detailed_Report!R$3,'PQ-Due Dates'!$M:$M,"&lt;="&amp;V_Detailed_Report!R$4)</f>
        <v>0</v>
      </c>
      <c r="S55" s="157">
        <f>SUMIFS('PQ-Due Dates'!$L:$L,'PQ-Due Dates'!$A:$A,V_Detailed_Report!$C55,'PQ-Due Dates'!$M:$M,"&gt;="&amp;V_Detailed_Report!S$3,'PQ-Due Dates'!$M:$M,"&lt;="&amp;V_Detailed_Report!S$4)</f>
        <v>0</v>
      </c>
      <c r="T55" s="157">
        <f>SUMIFS('PQ-Due Dates'!$L:$L,'PQ-Due Dates'!$A:$A,V_Detailed_Report!$C55,'PQ-Due Dates'!$M:$M,"&gt;="&amp;V_Detailed_Report!T$3,'PQ-Due Dates'!$M:$M,"&lt;="&amp;V_Detailed_Report!T$4)</f>
        <v>0</v>
      </c>
      <c r="U55" s="157">
        <f t="shared" si="5"/>
        <v>6000000</v>
      </c>
      <c r="V55" s="157">
        <f t="shared" si="6"/>
        <v>0</v>
      </c>
      <c r="W55" s="157">
        <f t="shared" si="7"/>
        <v>6000000</v>
      </c>
    </row>
    <row r="56" spans="1:23" x14ac:dyDescent="0.25">
      <c r="A56" s="162" t="s">
        <v>105</v>
      </c>
      <c r="B56" s="162" t="s">
        <v>19</v>
      </c>
      <c r="C56" s="162" t="s">
        <v>432</v>
      </c>
      <c r="D56" s="162" t="str">
        <f>VLOOKUP(C56,'M_LC Summary'!A:F,6,0)</f>
        <v>Alinma</v>
      </c>
      <c r="E56" s="162" t="str">
        <f>VLOOKUP(C56,'M_LC Summary'!A:C,3,0)</f>
        <v>Anixter Saudi Arabia Ltd</v>
      </c>
      <c r="F56" s="157">
        <f>VLOOKUP(C56,'M_LC Summary'!A:K,11,0)</f>
        <v>5693645.4199999999</v>
      </c>
      <c r="G56" s="157">
        <f>VLOOKUP(C56,'M_LC Summary'!A:L,12,0)</f>
        <v>0</v>
      </c>
      <c r="H56" s="157">
        <f t="shared" si="4"/>
        <v>5693645.4199999999</v>
      </c>
      <c r="I56" s="157">
        <f>SUMIFS('PQ-Due Dates'!$L:$L,'PQ-Due Dates'!$A:$A,V_Detailed_Report!$C56,'PQ-Due Dates'!$M:$M,"&gt;="&amp;V_Detailed_Report!I$3,'PQ-Due Dates'!$M:$M,"&lt;="&amp;V_Detailed_Report!I$4)</f>
        <v>0</v>
      </c>
      <c r="J56" s="157">
        <f>SUMIFS('PQ-Due Dates'!$L:$L,'PQ-Due Dates'!$A:$A,V_Detailed_Report!$C56,'PQ-Due Dates'!$M:$M,"&gt;="&amp;V_Detailed_Report!J$3,'PQ-Due Dates'!$M:$M,"&lt;="&amp;V_Detailed_Report!J$4)</f>
        <v>0</v>
      </c>
      <c r="K56" s="157">
        <f>SUMIFS('PQ-Due Dates'!$L:$L,'PQ-Due Dates'!$A:$A,V_Detailed_Report!$C56,'PQ-Due Dates'!$M:$M,"&gt;="&amp;V_Detailed_Report!K$3,'PQ-Due Dates'!$M:$M,"&lt;="&amp;V_Detailed_Report!K$4)</f>
        <v>0</v>
      </c>
      <c r="L56" s="157">
        <f>SUMIFS('PQ-Due Dates'!$L:$L,'PQ-Due Dates'!$A:$A,V_Detailed_Report!$C56,'PQ-Due Dates'!$M:$M,"&gt;="&amp;V_Detailed_Report!L$3,'PQ-Due Dates'!$M:$M,"&lt;="&amp;V_Detailed_Report!L$4)</f>
        <v>0</v>
      </c>
      <c r="M56" s="157">
        <f>SUMIFS('PQ-Due Dates'!$L:$L,'PQ-Due Dates'!$A:$A,V_Detailed_Report!$C56,'PQ-Due Dates'!$M:$M,"&gt;="&amp;V_Detailed_Report!M$3,'PQ-Due Dates'!$M:$M,"&lt;="&amp;V_Detailed_Report!M$4)</f>
        <v>0</v>
      </c>
      <c r="N56" s="157">
        <f>SUMIFS('PQ-Due Dates'!$L:$L,'PQ-Due Dates'!$A:$A,V_Detailed_Report!$C56,'PQ-Due Dates'!$M:$M,"&gt;="&amp;V_Detailed_Report!N$3,'PQ-Due Dates'!$M:$M,"&lt;="&amp;V_Detailed_Report!N$4)</f>
        <v>0</v>
      </c>
      <c r="O56" s="157">
        <f>SUMIFS('PQ-Due Dates'!$L:$L,'PQ-Due Dates'!$A:$A,V_Detailed_Report!$C56,'PQ-Due Dates'!$M:$M,"&gt;="&amp;V_Detailed_Report!O$3,'PQ-Due Dates'!$M:$M,"&lt;="&amp;V_Detailed_Report!O$4)</f>
        <v>0</v>
      </c>
      <c r="P56" s="157">
        <f>SUMIFS('PQ-Due Dates'!$L:$L,'PQ-Due Dates'!$A:$A,V_Detailed_Report!$C56,'PQ-Due Dates'!$M:$M,"&gt;="&amp;V_Detailed_Report!P$3,'PQ-Due Dates'!$M:$M,"&lt;="&amp;V_Detailed_Report!P$4)</f>
        <v>0</v>
      </c>
      <c r="Q56" s="157">
        <f>SUMIFS('PQ-Due Dates'!$L:$L,'PQ-Due Dates'!$A:$A,V_Detailed_Report!$C56,'PQ-Due Dates'!$M:$M,"&gt;="&amp;V_Detailed_Report!Q$3,'PQ-Due Dates'!$M:$M,"&lt;="&amp;V_Detailed_Report!Q$4)</f>
        <v>0</v>
      </c>
      <c r="R56" s="157">
        <f>SUMIFS('PQ-Due Dates'!$L:$L,'PQ-Due Dates'!$A:$A,V_Detailed_Report!$C56,'PQ-Due Dates'!$M:$M,"&gt;="&amp;V_Detailed_Report!R$3,'PQ-Due Dates'!$M:$M,"&lt;="&amp;V_Detailed_Report!R$4)</f>
        <v>0</v>
      </c>
      <c r="S56" s="157">
        <f>SUMIFS('PQ-Due Dates'!$L:$L,'PQ-Due Dates'!$A:$A,V_Detailed_Report!$C56,'PQ-Due Dates'!$M:$M,"&gt;="&amp;V_Detailed_Report!S$3,'PQ-Due Dates'!$M:$M,"&lt;="&amp;V_Detailed_Report!S$4)</f>
        <v>0</v>
      </c>
      <c r="T56" s="157">
        <f>SUMIFS('PQ-Due Dates'!$L:$L,'PQ-Due Dates'!$A:$A,V_Detailed_Report!$C56,'PQ-Due Dates'!$M:$M,"&gt;="&amp;V_Detailed_Report!T$3,'PQ-Due Dates'!$M:$M,"&lt;="&amp;V_Detailed_Report!T$4)</f>
        <v>0</v>
      </c>
      <c r="U56" s="157">
        <f t="shared" si="5"/>
        <v>0</v>
      </c>
      <c r="V56" s="157">
        <f t="shared" si="6"/>
        <v>5693645.4199999999</v>
      </c>
      <c r="W56" s="157">
        <f t="shared" si="7"/>
        <v>5693645.4199999999</v>
      </c>
    </row>
    <row r="57" spans="1:23" x14ac:dyDescent="0.25">
      <c r="A57" s="162" t="s">
        <v>105</v>
      </c>
      <c r="B57" s="162" t="s">
        <v>19</v>
      </c>
      <c r="C57" s="162" t="s">
        <v>433</v>
      </c>
      <c r="D57" s="162" t="str">
        <f>VLOOKUP(C57,'M_LC Summary'!A:F,6,0)</f>
        <v>Alinma</v>
      </c>
      <c r="E57" s="162" t="str">
        <f>VLOOKUP(C57,'M_LC Summary'!A:C,3,0)</f>
        <v>APTEC SAUDI ARABIA</v>
      </c>
      <c r="F57" s="157">
        <f>VLOOKUP(C57,'M_LC Summary'!A:K,11,0)</f>
        <v>5120131</v>
      </c>
      <c r="G57" s="157">
        <f>VLOOKUP(C57,'M_LC Summary'!A:L,12,0)</f>
        <v>0</v>
      </c>
      <c r="H57" s="157">
        <f t="shared" si="4"/>
        <v>5120131</v>
      </c>
      <c r="I57" s="157">
        <f>SUMIFS('PQ-Due Dates'!$L:$L,'PQ-Due Dates'!$A:$A,V_Detailed_Report!$C57,'PQ-Due Dates'!$M:$M,"&gt;="&amp;V_Detailed_Report!I$3,'PQ-Due Dates'!$M:$M,"&lt;="&amp;V_Detailed_Report!I$4)</f>
        <v>0</v>
      </c>
      <c r="J57" s="157">
        <f>SUMIFS('PQ-Due Dates'!$L:$L,'PQ-Due Dates'!$A:$A,V_Detailed_Report!$C57,'PQ-Due Dates'!$M:$M,"&gt;="&amp;V_Detailed_Report!J$3,'PQ-Due Dates'!$M:$M,"&lt;="&amp;V_Detailed_Report!J$4)</f>
        <v>0</v>
      </c>
      <c r="K57" s="157">
        <f>SUMIFS('PQ-Due Dates'!$L:$L,'PQ-Due Dates'!$A:$A,V_Detailed_Report!$C57,'PQ-Due Dates'!$M:$M,"&gt;="&amp;V_Detailed_Report!K$3,'PQ-Due Dates'!$M:$M,"&lt;="&amp;V_Detailed_Report!K$4)</f>
        <v>0</v>
      </c>
      <c r="L57" s="157">
        <f>SUMIFS('PQ-Due Dates'!$L:$L,'PQ-Due Dates'!$A:$A,V_Detailed_Report!$C57,'PQ-Due Dates'!$M:$M,"&gt;="&amp;V_Detailed_Report!L$3,'PQ-Due Dates'!$M:$M,"&lt;="&amp;V_Detailed_Report!L$4)</f>
        <v>0</v>
      </c>
      <c r="M57" s="157">
        <f>SUMIFS('PQ-Due Dates'!$L:$L,'PQ-Due Dates'!$A:$A,V_Detailed_Report!$C57,'PQ-Due Dates'!$M:$M,"&gt;="&amp;V_Detailed_Report!M$3,'PQ-Due Dates'!$M:$M,"&lt;="&amp;V_Detailed_Report!M$4)</f>
        <v>0</v>
      </c>
      <c r="N57" s="157">
        <f>SUMIFS('PQ-Due Dates'!$L:$L,'PQ-Due Dates'!$A:$A,V_Detailed_Report!$C57,'PQ-Due Dates'!$M:$M,"&gt;="&amp;V_Detailed_Report!N$3,'PQ-Due Dates'!$M:$M,"&lt;="&amp;V_Detailed_Report!N$4)</f>
        <v>0</v>
      </c>
      <c r="O57" s="157">
        <f>SUMIFS('PQ-Due Dates'!$L:$L,'PQ-Due Dates'!$A:$A,V_Detailed_Report!$C57,'PQ-Due Dates'!$M:$M,"&gt;="&amp;V_Detailed_Report!O$3,'PQ-Due Dates'!$M:$M,"&lt;="&amp;V_Detailed_Report!O$4)</f>
        <v>0</v>
      </c>
      <c r="P57" s="157">
        <f>SUMIFS('PQ-Due Dates'!$L:$L,'PQ-Due Dates'!$A:$A,V_Detailed_Report!$C57,'PQ-Due Dates'!$M:$M,"&gt;="&amp;V_Detailed_Report!P$3,'PQ-Due Dates'!$M:$M,"&lt;="&amp;V_Detailed_Report!P$4)</f>
        <v>0</v>
      </c>
      <c r="Q57" s="157">
        <f>SUMIFS('PQ-Due Dates'!$L:$L,'PQ-Due Dates'!$A:$A,V_Detailed_Report!$C57,'PQ-Due Dates'!$M:$M,"&gt;="&amp;V_Detailed_Report!Q$3,'PQ-Due Dates'!$M:$M,"&lt;="&amp;V_Detailed_Report!Q$4)</f>
        <v>0</v>
      </c>
      <c r="R57" s="157">
        <f>SUMIFS('PQ-Due Dates'!$L:$L,'PQ-Due Dates'!$A:$A,V_Detailed_Report!$C57,'PQ-Due Dates'!$M:$M,"&gt;="&amp;V_Detailed_Report!R$3,'PQ-Due Dates'!$M:$M,"&lt;="&amp;V_Detailed_Report!R$4)</f>
        <v>0</v>
      </c>
      <c r="S57" s="157">
        <f>SUMIFS('PQ-Due Dates'!$L:$L,'PQ-Due Dates'!$A:$A,V_Detailed_Report!$C57,'PQ-Due Dates'!$M:$M,"&gt;="&amp;V_Detailed_Report!S$3,'PQ-Due Dates'!$M:$M,"&lt;="&amp;V_Detailed_Report!S$4)</f>
        <v>0</v>
      </c>
      <c r="T57" s="157">
        <f>SUMIFS('PQ-Due Dates'!$L:$L,'PQ-Due Dates'!$A:$A,V_Detailed_Report!$C57,'PQ-Due Dates'!$M:$M,"&gt;="&amp;V_Detailed_Report!T$3,'PQ-Due Dates'!$M:$M,"&lt;="&amp;V_Detailed_Report!T$4)</f>
        <v>0</v>
      </c>
      <c r="U57" s="157">
        <f t="shared" si="5"/>
        <v>0</v>
      </c>
      <c r="V57" s="157">
        <f t="shared" si="6"/>
        <v>5120131</v>
      </c>
      <c r="W57" s="157">
        <f t="shared" si="7"/>
        <v>5120131</v>
      </c>
    </row>
    <row r="58" spans="1:23" x14ac:dyDescent="0.25">
      <c r="A58" s="162" t="s">
        <v>105</v>
      </c>
      <c r="B58" s="162" t="s">
        <v>19</v>
      </c>
      <c r="C58" s="162" t="s">
        <v>434</v>
      </c>
      <c r="D58" s="162" t="str">
        <f>VLOOKUP(C58,'M_LC Summary'!A:F,6,0)</f>
        <v>Alinma</v>
      </c>
      <c r="E58" s="162" t="str">
        <f>VLOOKUP(C58,'M_LC Summary'!A:C,3,0)</f>
        <v>Innovative Specialized Security Solution</v>
      </c>
      <c r="F58" s="157">
        <f>VLOOKUP(C58,'M_LC Summary'!A:K,11,0)</f>
        <v>15724333.939999999</v>
      </c>
      <c r="G58" s="157">
        <f>VLOOKUP(C58,'M_LC Summary'!A:L,12,0)</f>
        <v>0</v>
      </c>
      <c r="H58" s="157">
        <f t="shared" si="4"/>
        <v>15724333.939999999</v>
      </c>
      <c r="I58" s="157">
        <f>SUMIFS('PQ-Due Dates'!$L:$L,'PQ-Due Dates'!$A:$A,V_Detailed_Report!$C58,'PQ-Due Dates'!$M:$M,"&gt;="&amp;V_Detailed_Report!I$3,'PQ-Due Dates'!$M:$M,"&lt;="&amp;V_Detailed_Report!I$4)</f>
        <v>0</v>
      </c>
      <c r="J58" s="157">
        <f>SUMIFS('PQ-Due Dates'!$L:$L,'PQ-Due Dates'!$A:$A,V_Detailed_Report!$C58,'PQ-Due Dates'!$M:$M,"&gt;="&amp;V_Detailed_Report!J$3,'PQ-Due Dates'!$M:$M,"&lt;="&amp;V_Detailed_Report!J$4)</f>
        <v>0</v>
      </c>
      <c r="K58" s="157">
        <f>SUMIFS('PQ-Due Dates'!$L:$L,'PQ-Due Dates'!$A:$A,V_Detailed_Report!$C58,'PQ-Due Dates'!$M:$M,"&gt;="&amp;V_Detailed_Report!K$3,'PQ-Due Dates'!$M:$M,"&lt;="&amp;V_Detailed_Report!K$4)</f>
        <v>0</v>
      </c>
      <c r="L58" s="157">
        <f>SUMIFS('PQ-Due Dates'!$L:$L,'PQ-Due Dates'!$A:$A,V_Detailed_Report!$C58,'PQ-Due Dates'!$M:$M,"&gt;="&amp;V_Detailed_Report!L$3,'PQ-Due Dates'!$M:$M,"&lt;="&amp;V_Detailed_Report!L$4)</f>
        <v>11724333.940000001</v>
      </c>
      <c r="M58" s="157">
        <f>SUMIFS('PQ-Due Dates'!$L:$L,'PQ-Due Dates'!$A:$A,V_Detailed_Report!$C58,'PQ-Due Dates'!$M:$M,"&gt;="&amp;V_Detailed_Report!M$3,'PQ-Due Dates'!$M:$M,"&lt;="&amp;V_Detailed_Report!M$4)</f>
        <v>4000000</v>
      </c>
      <c r="N58" s="157">
        <f>SUMIFS('PQ-Due Dates'!$L:$L,'PQ-Due Dates'!$A:$A,V_Detailed_Report!$C58,'PQ-Due Dates'!$M:$M,"&gt;="&amp;V_Detailed_Report!N$3,'PQ-Due Dates'!$M:$M,"&lt;="&amp;V_Detailed_Report!N$4)</f>
        <v>0</v>
      </c>
      <c r="O58" s="157">
        <f>SUMIFS('PQ-Due Dates'!$L:$L,'PQ-Due Dates'!$A:$A,V_Detailed_Report!$C58,'PQ-Due Dates'!$M:$M,"&gt;="&amp;V_Detailed_Report!O$3,'PQ-Due Dates'!$M:$M,"&lt;="&amp;V_Detailed_Report!O$4)</f>
        <v>0</v>
      </c>
      <c r="P58" s="157">
        <f>SUMIFS('PQ-Due Dates'!$L:$L,'PQ-Due Dates'!$A:$A,V_Detailed_Report!$C58,'PQ-Due Dates'!$M:$M,"&gt;="&amp;V_Detailed_Report!P$3,'PQ-Due Dates'!$M:$M,"&lt;="&amp;V_Detailed_Report!P$4)</f>
        <v>0</v>
      </c>
      <c r="Q58" s="157">
        <f>SUMIFS('PQ-Due Dates'!$L:$L,'PQ-Due Dates'!$A:$A,V_Detailed_Report!$C58,'PQ-Due Dates'!$M:$M,"&gt;="&amp;V_Detailed_Report!Q$3,'PQ-Due Dates'!$M:$M,"&lt;="&amp;V_Detailed_Report!Q$4)</f>
        <v>0</v>
      </c>
      <c r="R58" s="157">
        <f>SUMIFS('PQ-Due Dates'!$L:$L,'PQ-Due Dates'!$A:$A,V_Detailed_Report!$C58,'PQ-Due Dates'!$M:$M,"&gt;="&amp;V_Detailed_Report!R$3,'PQ-Due Dates'!$M:$M,"&lt;="&amp;V_Detailed_Report!R$4)</f>
        <v>0</v>
      </c>
      <c r="S58" s="157">
        <f>SUMIFS('PQ-Due Dates'!$L:$L,'PQ-Due Dates'!$A:$A,V_Detailed_Report!$C58,'PQ-Due Dates'!$M:$M,"&gt;="&amp;V_Detailed_Report!S$3,'PQ-Due Dates'!$M:$M,"&lt;="&amp;V_Detailed_Report!S$4)</f>
        <v>0</v>
      </c>
      <c r="T58" s="157">
        <f>SUMIFS('PQ-Due Dates'!$L:$L,'PQ-Due Dates'!$A:$A,V_Detailed_Report!$C58,'PQ-Due Dates'!$M:$M,"&gt;="&amp;V_Detailed_Report!T$3,'PQ-Due Dates'!$M:$M,"&lt;="&amp;V_Detailed_Report!T$4)</f>
        <v>0</v>
      </c>
      <c r="U58" s="157">
        <f t="shared" si="5"/>
        <v>15724333.940000001</v>
      </c>
      <c r="V58" s="157">
        <f t="shared" si="6"/>
        <v>0</v>
      </c>
      <c r="W58" s="157">
        <f t="shared" si="7"/>
        <v>15724333.940000001</v>
      </c>
    </row>
    <row r="59" spans="1:23" ht="15.75" thickBot="1" x14ac:dyDescent="0.3">
      <c r="A59" s="171" t="s">
        <v>105</v>
      </c>
      <c r="B59" s="171" t="s">
        <v>19</v>
      </c>
      <c r="C59" s="171" t="s">
        <v>480</v>
      </c>
      <c r="D59" s="171" t="str">
        <f>VLOOKUP(C59,'M_LC Summary'!A:F,6,0)</f>
        <v>Alinma</v>
      </c>
      <c r="E59" s="171" t="str">
        <f>VLOOKUP(C59,'M_LC Summary'!A:C,3,0)</f>
        <v>Green Concrete CJSC</v>
      </c>
      <c r="F59" s="158">
        <f>VLOOKUP(C59,'M_LC Summary'!A:K,11,0)</f>
        <v>2000000</v>
      </c>
      <c r="G59" s="158">
        <f>VLOOKUP(C59,'M_LC Summary'!A:L,12,0)</f>
        <v>0</v>
      </c>
      <c r="H59" s="158">
        <f t="shared" si="4"/>
        <v>2000000</v>
      </c>
      <c r="I59" s="158">
        <f>SUMIFS('PQ-Due Dates'!$L:$L,'PQ-Due Dates'!$A:$A,V_Detailed_Report!$C59,'PQ-Due Dates'!$M:$M,"&gt;="&amp;V_Detailed_Report!I$3,'PQ-Due Dates'!$M:$M,"&lt;="&amp;V_Detailed_Report!I$4)</f>
        <v>0</v>
      </c>
      <c r="J59" s="158">
        <f>SUMIFS('PQ-Due Dates'!$L:$L,'PQ-Due Dates'!$A:$A,V_Detailed_Report!$C59,'PQ-Due Dates'!$M:$M,"&gt;="&amp;V_Detailed_Report!J$3,'PQ-Due Dates'!$M:$M,"&lt;="&amp;V_Detailed_Report!J$4)</f>
        <v>0</v>
      </c>
      <c r="K59" s="158">
        <f>SUMIFS('PQ-Due Dates'!$L:$L,'PQ-Due Dates'!$A:$A,V_Detailed_Report!$C59,'PQ-Due Dates'!$M:$M,"&gt;="&amp;V_Detailed_Report!K$3,'PQ-Due Dates'!$M:$M,"&lt;="&amp;V_Detailed_Report!K$4)</f>
        <v>0</v>
      </c>
      <c r="L59" s="158">
        <f>SUMIFS('PQ-Due Dates'!$L:$L,'PQ-Due Dates'!$A:$A,V_Detailed_Report!$C59,'PQ-Due Dates'!$M:$M,"&gt;="&amp;V_Detailed_Report!L$3,'PQ-Due Dates'!$M:$M,"&lt;="&amp;V_Detailed_Report!L$4)</f>
        <v>0</v>
      </c>
      <c r="M59" s="158">
        <f>SUMIFS('PQ-Due Dates'!$L:$L,'PQ-Due Dates'!$A:$A,V_Detailed_Report!$C59,'PQ-Due Dates'!$M:$M,"&gt;="&amp;V_Detailed_Report!M$3,'PQ-Due Dates'!$M:$M,"&lt;="&amp;V_Detailed_Report!M$4)</f>
        <v>0</v>
      </c>
      <c r="N59" s="158">
        <f>SUMIFS('PQ-Due Dates'!$L:$L,'PQ-Due Dates'!$A:$A,V_Detailed_Report!$C59,'PQ-Due Dates'!$M:$M,"&gt;="&amp;V_Detailed_Report!N$3,'PQ-Due Dates'!$M:$M,"&lt;="&amp;V_Detailed_Report!N$4)</f>
        <v>0</v>
      </c>
      <c r="O59" s="158">
        <f>SUMIFS('PQ-Due Dates'!$L:$L,'PQ-Due Dates'!$A:$A,V_Detailed_Report!$C59,'PQ-Due Dates'!$M:$M,"&gt;="&amp;V_Detailed_Report!O$3,'PQ-Due Dates'!$M:$M,"&lt;="&amp;V_Detailed_Report!O$4)</f>
        <v>0</v>
      </c>
      <c r="P59" s="158">
        <f>SUMIFS('PQ-Due Dates'!$L:$L,'PQ-Due Dates'!$A:$A,V_Detailed_Report!$C59,'PQ-Due Dates'!$M:$M,"&gt;="&amp;V_Detailed_Report!P$3,'PQ-Due Dates'!$M:$M,"&lt;="&amp;V_Detailed_Report!P$4)</f>
        <v>0</v>
      </c>
      <c r="Q59" s="158">
        <f>SUMIFS('PQ-Due Dates'!$L:$L,'PQ-Due Dates'!$A:$A,V_Detailed_Report!$C59,'PQ-Due Dates'!$M:$M,"&gt;="&amp;V_Detailed_Report!Q$3,'PQ-Due Dates'!$M:$M,"&lt;="&amp;V_Detailed_Report!Q$4)</f>
        <v>0</v>
      </c>
      <c r="R59" s="158">
        <f>SUMIFS('PQ-Due Dates'!$L:$L,'PQ-Due Dates'!$A:$A,V_Detailed_Report!$C59,'PQ-Due Dates'!$M:$M,"&gt;="&amp;V_Detailed_Report!R$3,'PQ-Due Dates'!$M:$M,"&lt;="&amp;V_Detailed_Report!R$4)</f>
        <v>0</v>
      </c>
      <c r="S59" s="158">
        <f>SUMIFS('PQ-Due Dates'!$L:$L,'PQ-Due Dates'!$A:$A,V_Detailed_Report!$C59,'PQ-Due Dates'!$M:$M,"&gt;="&amp;V_Detailed_Report!S$3,'PQ-Due Dates'!$M:$M,"&lt;="&amp;V_Detailed_Report!S$4)</f>
        <v>0</v>
      </c>
      <c r="T59" s="158">
        <f>SUMIFS('PQ-Due Dates'!$L:$L,'PQ-Due Dates'!$A:$A,V_Detailed_Report!$C59,'PQ-Due Dates'!$M:$M,"&gt;="&amp;V_Detailed_Report!T$3,'PQ-Due Dates'!$M:$M,"&lt;="&amp;V_Detailed_Report!T$4)</f>
        <v>0</v>
      </c>
      <c r="U59" s="158">
        <f t="shared" si="5"/>
        <v>0</v>
      </c>
      <c r="V59" s="158">
        <f t="shared" si="6"/>
        <v>2000000</v>
      </c>
      <c r="W59" s="158">
        <f t="shared" si="7"/>
        <v>2000000</v>
      </c>
    </row>
    <row r="60" spans="1:23" ht="15.75" thickBot="1" x14ac:dyDescent="0.3">
      <c r="A60" s="61"/>
      <c r="B60" s="60"/>
      <c r="C60" s="68" t="s">
        <v>105</v>
      </c>
      <c r="D60" s="68" t="s">
        <v>19</v>
      </c>
      <c r="E60" s="60" t="s">
        <v>93</v>
      </c>
      <c r="F60" s="64">
        <f>SUMIFS(F:F,$A:$A,$C$60,$B:$B,$60:$60 $D:$D)</f>
        <v>69738110.359999999</v>
      </c>
      <c r="G60" s="64">
        <f>SUMIFS(G:G,$A:$A,$C$60,$B:$B,$60:$60 $D:$D)</f>
        <v>33908277</v>
      </c>
      <c r="H60" s="64">
        <f>SUMIFS(H:H,$A:$A,$C$60,$B:$B,$60:$60 $D:$D)</f>
        <v>35829833.359999999</v>
      </c>
      <c r="I60" s="64">
        <f>SUMIFS(I:I,$A:$A,$C$60,$B:$B,$60:$60 $D:$D)</f>
        <v>1198665</v>
      </c>
      <c r="J60" s="64">
        <f>SUMIFS(J:J,$A:$A,$C$60,$B:$B,$60:$60 $D:$D)</f>
        <v>6000000</v>
      </c>
      <c r="K60" s="64">
        <f>SUMIFS(K:K,$A:$A,$C$60,$B:$B,$60:$60 $D:$D)</f>
        <v>0</v>
      </c>
      <c r="L60" s="64">
        <f>SUMIFS(L:L,$A:$A,$C$60,$B:$B,$60:$60 $D:$D)</f>
        <v>11724333.940000001</v>
      </c>
      <c r="M60" s="64">
        <f>SUMIFS(M:M,$A:$A,$C$60,$B:$B,$60:$60 $D:$D)</f>
        <v>4000000</v>
      </c>
      <c r="N60" s="64">
        <f>SUMIFS(N:N,$A:$A,$C$60,$B:$B,$60:$60 $D:$D)</f>
        <v>0</v>
      </c>
      <c r="O60" s="64">
        <f>SUMIFS(O:O,$A:$A,$C$60,$B:$B,$60:$60 $D:$D)</f>
        <v>0</v>
      </c>
      <c r="P60" s="64">
        <f>SUMIFS(P:P,$A:$A,$C$60,$B:$B,$60:$60 $D:$D)</f>
        <v>0</v>
      </c>
      <c r="Q60" s="64">
        <f>SUMIFS(Q:Q,$A:$A,$C$60,$B:$B,$60:$60 $D:$D)</f>
        <v>0</v>
      </c>
      <c r="R60" s="64">
        <f>SUMIFS(R:R,$A:$A,$C$60,$B:$B,$60:$60 $D:$D)</f>
        <v>0</v>
      </c>
      <c r="S60" s="64">
        <f>SUMIFS(S:S,$A:$A,$C$60,$B:$B,$60:$60 $D:$D)</f>
        <v>0</v>
      </c>
      <c r="T60" s="64">
        <f>SUMIFS(T:T,$A:$A,$C$60,$B:$B,$60:$60 $D:$D)</f>
        <v>0</v>
      </c>
      <c r="U60" s="64">
        <f>SUMIFS(U:U,$A:$A,$C$60,$B:$B,$60:$60 $D:$D)</f>
        <v>22922998.940000001</v>
      </c>
      <c r="V60" s="64">
        <f>SUMIFS(V:V,$A:$A,$C$60,$B:$B,$60:$60 $D:$D)</f>
        <v>12906834.420000004</v>
      </c>
      <c r="W60" s="65">
        <f>SUMIFS(W:W,$A:$A,$C$60,$B:$B,$60:$60 $D:$D)</f>
        <v>35829833.359999999</v>
      </c>
    </row>
    <row r="61" spans="1:23" x14ac:dyDescent="0.25">
      <c r="A61" s="173"/>
      <c r="B61" s="173"/>
      <c r="C61" s="173"/>
      <c r="D61" s="173"/>
      <c r="E61" s="173"/>
      <c r="F61" s="159"/>
      <c r="G61" s="159"/>
      <c r="H61" s="159"/>
      <c r="I61" s="159"/>
      <c r="J61" s="159"/>
      <c r="K61" s="159"/>
      <c r="L61" s="159"/>
      <c r="M61" s="159"/>
      <c r="N61" s="159"/>
      <c r="O61" s="159"/>
      <c r="P61" s="159"/>
      <c r="Q61" s="159"/>
      <c r="R61" s="159"/>
      <c r="S61" s="159"/>
      <c r="T61" s="159"/>
      <c r="U61" s="159"/>
      <c r="V61" s="159"/>
      <c r="W61" s="159"/>
    </row>
    <row r="62" spans="1:23" x14ac:dyDescent="0.25">
      <c r="A62" s="162" t="s">
        <v>106</v>
      </c>
      <c r="B62" s="162" t="s">
        <v>19</v>
      </c>
      <c r="C62" s="162" t="s">
        <v>196</v>
      </c>
      <c r="D62" s="162" t="str">
        <f>VLOOKUP(C62,'M_LC Summary'!A:F,6,0)</f>
        <v>SNB</v>
      </c>
      <c r="E62" s="162" t="str">
        <f>VLOOKUP(C62,'M_LC Summary'!A:C,3,0)</f>
        <v>Mohammed A. Al-Awani Trading</v>
      </c>
      <c r="F62" s="157">
        <f>VLOOKUP(C62,'M_LC Summary'!A:K,11,0)</f>
        <v>2826301.05</v>
      </c>
      <c r="G62" s="157">
        <f>VLOOKUP(C62,'M_LC Summary'!A:L,12,0)</f>
        <v>1261168.18</v>
      </c>
      <c r="H62" s="157">
        <f t="shared" si="4"/>
        <v>1565132.8699999999</v>
      </c>
      <c r="I62" s="157">
        <f>SUMIFS('PQ-Due Dates'!$L:$L,'PQ-Due Dates'!$A:$A,V_Detailed_Report!$C62,'PQ-Due Dates'!$M:$M,"&gt;="&amp;V_Detailed_Report!I$3,'PQ-Due Dates'!$M:$M,"&lt;="&amp;V_Detailed_Report!I$4)</f>
        <v>0</v>
      </c>
      <c r="J62" s="157">
        <f>SUMIFS('PQ-Due Dates'!$L:$L,'PQ-Due Dates'!$A:$A,V_Detailed_Report!$C62,'PQ-Due Dates'!$M:$M,"&gt;="&amp;V_Detailed_Report!J$3,'PQ-Due Dates'!$M:$M,"&lt;="&amp;V_Detailed_Report!J$4)</f>
        <v>0</v>
      </c>
      <c r="K62" s="157">
        <f>SUMIFS('PQ-Due Dates'!$L:$L,'PQ-Due Dates'!$A:$A,V_Detailed_Report!$C62,'PQ-Due Dates'!$M:$M,"&gt;="&amp;V_Detailed_Report!K$3,'PQ-Due Dates'!$M:$M,"&lt;="&amp;V_Detailed_Report!K$4)</f>
        <v>0</v>
      </c>
      <c r="L62" s="157">
        <f>SUMIFS('PQ-Due Dates'!$L:$L,'PQ-Due Dates'!$A:$A,V_Detailed_Report!$C62,'PQ-Due Dates'!$M:$M,"&gt;="&amp;V_Detailed_Report!L$3,'PQ-Due Dates'!$M:$M,"&lt;="&amp;V_Detailed_Report!L$4)</f>
        <v>0</v>
      </c>
      <c r="M62" s="157">
        <f>SUMIFS('PQ-Due Dates'!$L:$L,'PQ-Due Dates'!$A:$A,V_Detailed_Report!$C62,'PQ-Due Dates'!$M:$M,"&gt;="&amp;V_Detailed_Report!M$3,'PQ-Due Dates'!$M:$M,"&lt;="&amp;V_Detailed_Report!M$4)</f>
        <v>0</v>
      </c>
      <c r="N62" s="157">
        <f>SUMIFS('PQ-Due Dates'!$L:$L,'PQ-Due Dates'!$A:$A,V_Detailed_Report!$C62,'PQ-Due Dates'!$M:$M,"&gt;="&amp;V_Detailed_Report!N$3,'PQ-Due Dates'!$M:$M,"&lt;="&amp;V_Detailed_Report!N$4)</f>
        <v>0</v>
      </c>
      <c r="O62" s="157">
        <f>SUMIFS('PQ-Due Dates'!$L:$L,'PQ-Due Dates'!$A:$A,V_Detailed_Report!$C62,'PQ-Due Dates'!$M:$M,"&gt;="&amp;V_Detailed_Report!O$3,'PQ-Due Dates'!$M:$M,"&lt;="&amp;V_Detailed_Report!O$4)</f>
        <v>0</v>
      </c>
      <c r="P62" s="157">
        <f>SUMIFS('PQ-Due Dates'!$L:$L,'PQ-Due Dates'!$A:$A,V_Detailed_Report!$C62,'PQ-Due Dates'!$M:$M,"&gt;="&amp;V_Detailed_Report!P$3,'PQ-Due Dates'!$M:$M,"&lt;="&amp;V_Detailed_Report!P$4)</f>
        <v>0</v>
      </c>
      <c r="Q62" s="157">
        <f>SUMIFS('PQ-Due Dates'!$L:$L,'PQ-Due Dates'!$A:$A,V_Detailed_Report!$C62,'PQ-Due Dates'!$M:$M,"&gt;="&amp;V_Detailed_Report!Q$3,'PQ-Due Dates'!$M:$M,"&lt;="&amp;V_Detailed_Report!Q$4)</f>
        <v>0</v>
      </c>
      <c r="R62" s="157">
        <f>SUMIFS('PQ-Due Dates'!$L:$L,'PQ-Due Dates'!$A:$A,V_Detailed_Report!$C62,'PQ-Due Dates'!$M:$M,"&gt;="&amp;V_Detailed_Report!R$3,'PQ-Due Dates'!$M:$M,"&lt;="&amp;V_Detailed_Report!R$4)</f>
        <v>0</v>
      </c>
      <c r="S62" s="157">
        <f>SUMIFS('PQ-Due Dates'!$L:$L,'PQ-Due Dates'!$A:$A,V_Detailed_Report!$C62,'PQ-Due Dates'!$M:$M,"&gt;="&amp;V_Detailed_Report!S$3,'PQ-Due Dates'!$M:$M,"&lt;="&amp;V_Detailed_Report!S$4)</f>
        <v>0</v>
      </c>
      <c r="T62" s="157">
        <f>SUMIFS('PQ-Due Dates'!$L:$L,'PQ-Due Dates'!$A:$A,V_Detailed_Report!$C62,'PQ-Due Dates'!$M:$M,"&gt;="&amp;V_Detailed_Report!T$3,'PQ-Due Dates'!$M:$M,"&lt;="&amp;V_Detailed_Report!T$4)</f>
        <v>0</v>
      </c>
      <c r="U62" s="157">
        <f t="shared" si="5"/>
        <v>0</v>
      </c>
      <c r="V62" s="157">
        <f t="shared" si="6"/>
        <v>1565132.8699999999</v>
      </c>
      <c r="W62" s="157">
        <f t="shared" si="7"/>
        <v>1565132.8699999999</v>
      </c>
    </row>
    <row r="63" spans="1:23" x14ac:dyDescent="0.25">
      <c r="A63" s="162" t="s">
        <v>106</v>
      </c>
      <c r="B63" s="162" t="s">
        <v>19</v>
      </c>
      <c r="C63" s="162" t="s">
        <v>216</v>
      </c>
      <c r="D63" s="162" t="str">
        <f>VLOOKUP(C63,'M_LC Summary'!A:F,6,0)</f>
        <v>Alinma</v>
      </c>
      <c r="E63" s="162" t="str">
        <f>VLOOKUP(C63,'M_LC Summary'!A:C,3,0)</f>
        <v>Al Arabia Construction &amp; Building Co.</v>
      </c>
      <c r="F63" s="157">
        <f>VLOOKUP(C63,'M_LC Summary'!A:K,11,0)</f>
        <v>3009600</v>
      </c>
      <c r="G63" s="157">
        <f>VLOOKUP(C63,'M_LC Summary'!A:L,12,0)</f>
        <v>1850554.97</v>
      </c>
      <c r="H63" s="157">
        <f t="shared" si="4"/>
        <v>1159045.03</v>
      </c>
      <c r="I63" s="157">
        <f>SUMIFS('PQ-Due Dates'!$L:$L,'PQ-Due Dates'!$A:$A,V_Detailed_Report!$C63,'PQ-Due Dates'!$M:$M,"&gt;="&amp;V_Detailed_Report!I$3,'PQ-Due Dates'!$M:$M,"&lt;="&amp;V_Detailed_Report!I$4)</f>
        <v>0</v>
      </c>
      <c r="J63" s="157">
        <f>SUMIFS('PQ-Due Dates'!$L:$L,'PQ-Due Dates'!$A:$A,V_Detailed_Report!$C63,'PQ-Due Dates'!$M:$M,"&gt;="&amp;V_Detailed_Report!J$3,'PQ-Due Dates'!$M:$M,"&lt;="&amp;V_Detailed_Report!J$4)</f>
        <v>0</v>
      </c>
      <c r="K63" s="157">
        <f>SUMIFS('PQ-Due Dates'!$L:$L,'PQ-Due Dates'!$A:$A,V_Detailed_Report!$C63,'PQ-Due Dates'!$M:$M,"&gt;="&amp;V_Detailed_Report!K$3,'PQ-Due Dates'!$M:$M,"&lt;="&amp;V_Detailed_Report!K$4)</f>
        <v>0</v>
      </c>
      <c r="L63" s="157">
        <f>SUMIFS('PQ-Due Dates'!$L:$L,'PQ-Due Dates'!$A:$A,V_Detailed_Report!$C63,'PQ-Due Dates'!$M:$M,"&gt;="&amp;V_Detailed_Report!L$3,'PQ-Due Dates'!$M:$M,"&lt;="&amp;V_Detailed_Report!L$4)</f>
        <v>0</v>
      </c>
      <c r="M63" s="157">
        <f>SUMIFS('PQ-Due Dates'!$L:$L,'PQ-Due Dates'!$A:$A,V_Detailed_Report!$C63,'PQ-Due Dates'!$M:$M,"&gt;="&amp;V_Detailed_Report!M$3,'PQ-Due Dates'!$M:$M,"&lt;="&amp;V_Detailed_Report!M$4)</f>
        <v>0</v>
      </c>
      <c r="N63" s="157">
        <f>SUMIFS('PQ-Due Dates'!$L:$L,'PQ-Due Dates'!$A:$A,V_Detailed_Report!$C63,'PQ-Due Dates'!$M:$M,"&gt;="&amp;V_Detailed_Report!N$3,'PQ-Due Dates'!$M:$M,"&lt;="&amp;V_Detailed_Report!N$4)</f>
        <v>0</v>
      </c>
      <c r="O63" s="157">
        <f>SUMIFS('PQ-Due Dates'!$L:$L,'PQ-Due Dates'!$A:$A,V_Detailed_Report!$C63,'PQ-Due Dates'!$M:$M,"&gt;="&amp;V_Detailed_Report!O$3,'PQ-Due Dates'!$M:$M,"&lt;="&amp;V_Detailed_Report!O$4)</f>
        <v>0</v>
      </c>
      <c r="P63" s="157">
        <f>SUMIFS('PQ-Due Dates'!$L:$L,'PQ-Due Dates'!$A:$A,V_Detailed_Report!$C63,'PQ-Due Dates'!$M:$M,"&gt;="&amp;V_Detailed_Report!P$3,'PQ-Due Dates'!$M:$M,"&lt;="&amp;V_Detailed_Report!P$4)</f>
        <v>0</v>
      </c>
      <c r="Q63" s="157">
        <f>SUMIFS('PQ-Due Dates'!$L:$L,'PQ-Due Dates'!$A:$A,V_Detailed_Report!$C63,'PQ-Due Dates'!$M:$M,"&gt;="&amp;V_Detailed_Report!Q$3,'PQ-Due Dates'!$M:$M,"&lt;="&amp;V_Detailed_Report!Q$4)</f>
        <v>0</v>
      </c>
      <c r="R63" s="157">
        <f>SUMIFS('PQ-Due Dates'!$L:$L,'PQ-Due Dates'!$A:$A,V_Detailed_Report!$C63,'PQ-Due Dates'!$M:$M,"&gt;="&amp;V_Detailed_Report!R$3,'PQ-Due Dates'!$M:$M,"&lt;="&amp;V_Detailed_Report!R$4)</f>
        <v>0</v>
      </c>
      <c r="S63" s="157">
        <f>SUMIFS('PQ-Due Dates'!$L:$L,'PQ-Due Dates'!$A:$A,V_Detailed_Report!$C63,'PQ-Due Dates'!$M:$M,"&gt;="&amp;V_Detailed_Report!S$3,'PQ-Due Dates'!$M:$M,"&lt;="&amp;V_Detailed_Report!S$4)</f>
        <v>0</v>
      </c>
      <c r="T63" s="157">
        <f>SUMIFS('PQ-Due Dates'!$L:$L,'PQ-Due Dates'!$A:$A,V_Detailed_Report!$C63,'PQ-Due Dates'!$M:$M,"&gt;="&amp;V_Detailed_Report!T$3,'PQ-Due Dates'!$M:$M,"&lt;="&amp;V_Detailed_Report!T$4)</f>
        <v>0</v>
      </c>
      <c r="U63" s="157">
        <f t="shared" si="5"/>
        <v>0</v>
      </c>
      <c r="V63" s="157">
        <f t="shared" si="6"/>
        <v>1159045.03</v>
      </c>
      <c r="W63" s="157">
        <f t="shared" si="7"/>
        <v>1159045.03</v>
      </c>
    </row>
    <row r="64" spans="1:23" x14ac:dyDescent="0.25">
      <c r="A64" s="162" t="s">
        <v>106</v>
      </c>
      <c r="B64" s="162" t="s">
        <v>19</v>
      </c>
      <c r="C64" s="162" t="s">
        <v>237</v>
      </c>
      <c r="D64" s="162" t="str">
        <f>VLOOKUP(C64,'M_LC Summary'!A:F,6,0)</f>
        <v>Alinma</v>
      </c>
      <c r="E64" s="162" t="str">
        <f>VLOOKUP(C64,'M_LC Summary'!A:C,3,0)</f>
        <v>Future Pipe Industries LLC</v>
      </c>
      <c r="F64" s="157">
        <f>VLOOKUP(C64,'M_LC Summary'!A:K,11,0)</f>
        <v>5308039.3600000003</v>
      </c>
      <c r="G64" s="157">
        <f>VLOOKUP(C64,'M_LC Summary'!A:L,12,0)</f>
        <v>5072714.3</v>
      </c>
      <c r="H64" s="157">
        <f t="shared" si="4"/>
        <v>235325.06000000052</v>
      </c>
      <c r="I64" s="157">
        <f>SUMIFS('PQ-Due Dates'!$L:$L,'PQ-Due Dates'!$A:$A,V_Detailed_Report!$C64,'PQ-Due Dates'!$M:$M,"&gt;="&amp;V_Detailed_Report!I$3,'PQ-Due Dates'!$M:$M,"&lt;="&amp;V_Detailed_Report!I$4)</f>
        <v>0</v>
      </c>
      <c r="J64" s="157">
        <f>SUMIFS('PQ-Due Dates'!$L:$L,'PQ-Due Dates'!$A:$A,V_Detailed_Report!$C64,'PQ-Due Dates'!$M:$M,"&gt;="&amp;V_Detailed_Report!J$3,'PQ-Due Dates'!$M:$M,"&lt;="&amp;V_Detailed_Report!J$4)</f>
        <v>0</v>
      </c>
      <c r="K64" s="157">
        <f>SUMIFS('PQ-Due Dates'!$L:$L,'PQ-Due Dates'!$A:$A,V_Detailed_Report!$C64,'PQ-Due Dates'!$M:$M,"&gt;="&amp;V_Detailed_Report!K$3,'PQ-Due Dates'!$M:$M,"&lt;="&amp;V_Detailed_Report!K$4)</f>
        <v>0</v>
      </c>
      <c r="L64" s="157">
        <f>SUMIFS('PQ-Due Dates'!$L:$L,'PQ-Due Dates'!$A:$A,V_Detailed_Report!$C64,'PQ-Due Dates'!$M:$M,"&gt;="&amp;V_Detailed_Report!L$3,'PQ-Due Dates'!$M:$M,"&lt;="&amp;V_Detailed_Report!L$4)</f>
        <v>0</v>
      </c>
      <c r="M64" s="157">
        <f>SUMIFS('PQ-Due Dates'!$L:$L,'PQ-Due Dates'!$A:$A,V_Detailed_Report!$C64,'PQ-Due Dates'!$M:$M,"&gt;="&amp;V_Detailed_Report!M$3,'PQ-Due Dates'!$M:$M,"&lt;="&amp;V_Detailed_Report!M$4)</f>
        <v>0</v>
      </c>
      <c r="N64" s="157">
        <f>SUMIFS('PQ-Due Dates'!$L:$L,'PQ-Due Dates'!$A:$A,V_Detailed_Report!$C64,'PQ-Due Dates'!$M:$M,"&gt;="&amp;V_Detailed_Report!N$3,'PQ-Due Dates'!$M:$M,"&lt;="&amp;V_Detailed_Report!N$4)</f>
        <v>0</v>
      </c>
      <c r="O64" s="157">
        <f>SUMIFS('PQ-Due Dates'!$L:$L,'PQ-Due Dates'!$A:$A,V_Detailed_Report!$C64,'PQ-Due Dates'!$M:$M,"&gt;="&amp;V_Detailed_Report!O$3,'PQ-Due Dates'!$M:$M,"&lt;="&amp;V_Detailed_Report!O$4)</f>
        <v>0</v>
      </c>
      <c r="P64" s="157">
        <f>SUMIFS('PQ-Due Dates'!$L:$L,'PQ-Due Dates'!$A:$A,V_Detailed_Report!$C64,'PQ-Due Dates'!$M:$M,"&gt;="&amp;V_Detailed_Report!P$3,'PQ-Due Dates'!$M:$M,"&lt;="&amp;V_Detailed_Report!P$4)</f>
        <v>0</v>
      </c>
      <c r="Q64" s="157">
        <f>SUMIFS('PQ-Due Dates'!$L:$L,'PQ-Due Dates'!$A:$A,V_Detailed_Report!$C64,'PQ-Due Dates'!$M:$M,"&gt;="&amp;V_Detailed_Report!Q$3,'PQ-Due Dates'!$M:$M,"&lt;="&amp;V_Detailed_Report!Q$4)</f>
        <v>0</v>
      </c>
      <c r="R64" s="157">
        <f>SUMIFS('PQ-Due Dates'!$L:$L,'PQ-Due Dates'!$A:$A,V_Detailed_Report!$C64,'PQ-Due Dates'!$M:$M,"&gt;="&amp;V_Detailed_Report!R$3,'PQ-Due Dates'!$M:$M,"&lt;="&amp;V_Detailed_Report!R$4)</f>
        <v>0</v>
      </c>
      <c r="S64" s="157">
        <f>SUMIFS('PQ-Due Dates'!$L:$L,'PQ-Due Dates'!$A:$A,V_Detailed_Report!$C64,'PQ-Due Dates'!$M:$M,"&gt;="&amp;V_Detailed_Report!S$3,'PQ-Due Dates'!$M:$M,"&lt;="&amp;V_Detailed_Report!S$4)</f>
        <v>0</v>
      </c>
      <c r="T64" s="157">
        <f>SUMIFS('PQ-Due Dates'!$L:$L,'PQ-Due Dates'!$A:$A,V_Detailed_Report!$C64,'PQ-Due Dates'!$M:$M,"&gt;="&amp;V_Detailed_Report!T$3,'PQ-Due Dates'!$M:$M,"&lt;="&amp;V_Detailed_Report!T$4)</f>
        <v>0</v>
      </c>
      <c r="U64" s="157">
        <f t="shared" si="5"/>
        <v>0</v>
      </c>
      <c r="V64" s="157">
        <f t="shared" si="6"/>
        <v>235325.06000000052</v>
      </c>
      <c r="W64" s="157">
        <f t="shared" si="7"/>
        <v>235325.06000000052</v>
      </c>
    </row>
    <row r="65" spans="1:23" x14ac:dyDescent="0.25">
      <c r="A65" s="162" t="s">
        <v>106</v>
      </c>
      <c r="B65" s="162" t="s">
        <v>19</v>
      </c>
      <c r="C65" s="162" t="s">
        <v>239</v>
      </c>
      <c r="D65" s="162" t="str">
        <f>VLOOKUP(C65,'M_LC Summary'!A:F,6,0)</f>
        <v>Alinma</v>
      </c>
      <c r="E65" s="162" t="str">
        <f>VLOOKUP(C65,'M_LC Summary'!A:C,3,0)</f>
        <v>BRC Industrial (Saudia) Company</v>
      </c>
      <c r="F65" s="157">
        <f>VLOOKUP(C65,'M_LC Summary'!A:K,11,0)</f>
        <v>2074312.5</v>
      </c>
      <c r="G65" s="157">
        <f>VLOOKUP(C65,'M_LC Summary'!A:L,12,0)</f>
        <v>1365320.5099999998</v>
      </c>
      <c r="H65" s="157">
        <f t="shared" si="4"/>
        <v>708991.99000000022</v>
      </c>
      <c r="I65" s="157">
        <f>SUMIFS('PQ-Due Dates'!$L:$L,'PQ-Due Dates'!$A:$A,V_Detailed_Report!$C65,'PQ-Due Dates'!$M:$M,"&gt;="&amp;V_Detailed_Report!I$3,'PQ-Due Dates'!$M:$M,"&lt;="&amp;V_Detailed_Report!I$4)</f>
        <v>0</v>
      </c>
      <c r="J65" s="157">
        <f>SUMIFS('PQ-Due Dates'!$L:$L,'PQ-Due Dates'!$A:$A,V_Detailed_Report!$C65,'PQ-Due Dates'!$M:$M,"&gt;="&amp;V_Detailed_Report!J$3,'PQ-Due Dates'!$M:$M,"&lt;="&amp;V_Detailed_Report!J$4)</f>
        <v>0</v>
      </c>
      <c r="K65" s="157">
        <f>SUMIFS('PQ-Due Dates'!$L:$L,'PQ-Due Dates'!$A:$A,V_Detailed_Report!$C65,'PQ-Due Dates'!$M:$M,"&gt;="&amp;V_Detailed_Report!K$3,'PQ-Due Dates'!$M:$M,"&lt;="&amp;V_Detailed_Report!K$4)</f>
        <v>0</v>
      </c>
      <c r="L65" s="157">
        <f>SUMIFS('PQ-Due Dates'!$L:$L,'PQ-Due Dates'!$A:$A,V_Detailed_Report!$C65,'PQ-Due Dates'!$M:$M,"&gt;="&amp;V_Detailed_Report!L$3,'PQ-Due Dates'!$M:$M,"&lt;="&amp;V_Detailed_Report!L$4)</f>
        <v>0</v>
      </c>
      <c r="M65" s="157">
        <f>SUMIFS('PQ-Due Dates'!$L:$L,'PQ-Due Dates'!$A:$A,V_Detailed_Report!$C65,'PQ-Due Dates'!$M:$M,"&gt;="&amp;V_Detailed_Report!M$3,'PQ-Due Dates'!$M:$M,"&lt;="&amp;V_Detailed_Report!M$4)</f>
        <v>0</v>
      </c>
      <c r="N65" s="157">
        <f>SUMIFS('PQ-Due Dates'!$L:$L,'PQ-Due Dates'!$A:$A,V_Detailed_Report!$C65,'PQ-Due Dates'!$M:$M,"&gt;="&amp;V_Detailed_Report!N$3,'PQ-Due Dates'!$M:$M,"&lt;="&amp;V_Detailed_Report!N$4)</f>
        <v>0</v>
      </c>
      <c r="O65" s="157">
        <f>SUMIFS('PQ-Due Dates'!$L:$L,'PQ-Due Dates'!$A:$A,V_Detailed_Report!$C65,'PQ-Due Dates'!$M:$M,"&gt;="&amp;V_Detailed_Report!O$3,'PQ-Due Dates'!$M:$M,"&lt;="&amp;V_Detailed_Report!O$4)</f>
        <v>0</v>
      </c>
      <c r="P65" s="157">
        <f>SUMIFS('PQ-Due Dates'!$L:$L,'PQ-Due Dates'!$A:$A,V_Detailed_Report!$C65,'PQ-Due Dates'!$M:$M,"&gt;="&amp;V_Detailed_Report!P$3,'PQ-Due Dates'!$M:$M,"&lt;="&amp;V_Detailed_Report!P$4)</f>
        <v>0</v>
      </c>
      <c r="Q65" s="157">
        <f>SUMIFS('PQ-Due Dates'!$L:$L,'PQ-Due Dates'!$A:$A,V_Detailed_Report!$C65,'PQ-Due Dates'!$M:$M,"&gt;="&amp;V_Detailed_Report!Q$3,'PQ-Due Dates'!$M:$M,"&lt;="&amp;V_Detailed_Report!Q$4)</f>
        <v>0</v>
      </c>
      <c r="R65" s="157">
        <f>SUMIFS('PQ-Due Dates'!$L:$L,'PQ-Due Dates'!$A:$A,V_Detailed_Report!$C65,'PQ-Due Dates'!$M:$M,"&gt;="&amp;V_Detailed_Report!R$3,'PQ-Due Dates'!$M:$M,"&lt;="&amp;V_Detailed_Report!R$4)</f>
        <v>0</v>
      </c>
      <c r="S65" s="157">
        <f>SUMIFS('PQ-Due Dates'!$L:$L,'PQ-Due Dates'!$A:$A,V_Detailed_Report!$C65,'PQ-Due Dates'!$M:$M,"&gt;="&amp;V_Detailed_Report!S$3,'PQ-Due Dates'!$M:$M,"&lt;="&amp;V_Detailed_Report!S$4)</f>
        <v>0</v>
      </c>
      <c r="T65" s="157">
        <f>SUMIFS('PQ-Due Dates'!$L:$L,'PQ-Due Dates'!$A:$A,V_Detailed_Report!$C65,'PQ-Due Dates'!$M:$M,"&gt;="&amp;V_Detailed_Report!T$3,'PQ-Due Dates'!$M:$M,"&lt;="&amp;V_Detailed_Report!T$4)</f>
        <v>0</v>
      </c>
      <c r="U65" s="157">
        <f t="shared" si="5"/>
        <v>0</v>
      </c>
      <c r="V65" s="157">
        <f t="shared" si="6"/>
        <v>708991.99000000022</v>
      </c>
      <c r="W65" s="157">
        <f t="shared" si="7"/>
        <v>708991.99000000022</v>
      </c>
    </row>
    <row r="66" spans="1:23" x14ac:dyDescent="0.25">
      <c r="A66" s="162" t="s">
        <v>106</v>
      </c>
      <c r="B66" s="162" t="s">
        <v>19</v>
      </c>
      <c r="C66" s="162" t="s">
        <v>240</v>
      </c>
      <c r="D66" s="162" t="str">
        <f>VLOOKUP(C66,'M_LC Summary'!A:F,6,0)</f>
        <v>Alinma</v>
      </c>
      <c r="E66" s="162" t="str">
        <f>VLOOKUP(C66,'M_LC Summary'!A:C,3,0)</f>
        <v>Saudi Perfect Pumps Trading &amp; Manufacturing Company</v>
      </c>
      <c r="F66" s="157">
        <f>VLOOKUP(C66,'M_LC Summary'!A:K,11,0)</f>
        <v>7670500</v>
      </c>
      <c r="G66" s="157">
        <f>VLOOKUP(C66,'M_LC Summary'!A:L,12,0)</f>
        <v>4347795.32</v>
      </c>
      <c r="H66" s="157">
        <f t="shared" si="4"/>
        <v>3322704.6799999997</v>
      </c>
      <c r="I66" s="157">
        <f>SUMIFS('PQ-Due Dates'!$L:$L,'PQ-Due Dates'!$A:$A,V_Detailed_Report!$C66,'PQ-Due Dates'!$M:$M,"&gt;="&amp;V_Detailed_Report!I$3,'PQ-Due Dates'!$M:$M,"&lt;="&amp;V_Detailed_Report!I$4)</f>
        <v>0</v>
      </c>
      <c r="J66" s="157">
        <f>SUMIFS('PQ-Due Dates'!$L:$L,'PQ-Due Dates'!$A:$A,V_Detailed_Report!$C66,'PQ-Due Dates'!$M:$M,"&gt;="&amp;V_Detailed_Report!J$3,'PQ-Due Dates'!$M:$M,"&lt;="&amp;V_Detailed_Report!J$4)</f>
        <v>412500</v>
      </c>
      <c r="K66" s="157">
        <f>SUMIFS('PQ-Due Dates'!$L:$L,'PQ-Due Dates'!$A:$A,V_Detailed_Report!$C66,'PQ-Due Dates'!$M:$M,"&gt;="&amp;V_Detailed_Report!K$3,'PQ-Due Dates'!$M:$M,"&lt;="&amp;V_Detailed_Report!K$4)</f>
        <v>0</v>
      </c>
      <c r="L66" s="157">
        <f>SUMIFS('PQ-Due Dates'!$L:$L,'PQ-Due Dates'!$A:$A,V_Detailed_Report!$C66,'PQ-Due Dates'!$M:$M,"&gt;="&amp;V_Detailed_Report!L$3,'PQ-Due Dates'!$M:$M,"&lt;="&amp;V_Detailed_Report!L$4)</f>
        <v>0</v>
      </c>
      <c r="M66" s="157">
        <f>SUMIFS('PQ-Due Dates'!$L:$L,'PQ-Due Dates'!$A:$A,V_Detailed_Report!$C66,'PQ-Due Dates'!$M:$M,"&gt;="&amp;V_Detailed_Report!M$3,'PQ-Due Dates'!$M:$M,"&lt;="&amp;V_Detailed_Report!M$4)</f>
        <v>0</v>
      </c>
      <c r="N66" s="157">
        <f>SUMIFS('PQ-Due Dates'!$L:$L,'PQ-Due Dates'!$A:$A,V_Detailed_Report!$C66,'PQ-Due Dates'!$M:$M,"&gt;="&amp;V_Detailed_Report!N$3,'PQ-Due Dates'!$M:$M,"&lt;="&amp;V_Detailed_Report!N$4)</f>
        <v>0</v>
      </c>
      <c r="O66" s="157">
        <f>SUMIFS('PQ-Due Dates'!$L:$L,'PQ-Due Dates'!$A:$A,V_Detailed_Report!$C66,'PQ-Due Dates'!$M:$M,"&gt;="&amp;V_Detailed_Report!O$3,'PQ-Due Dates'!$M:$M,"&lt;="&amp;V_Detailed_Report!O$4)</f>
        <v>0</v>
      </c>
      <c r="P66" s="157">
        <f>SUMIFS('PQ-Due Dates'!$L:$L,'PQ-Due Dates'!$A:$A,V_Detailed_Report!$C66,'PQ-Due Dates'!$M:$M,"&gt;="&amp;V_Detailed_Report!P$3,'PQ-Due Dates'!$M:$M,"&lt;="&amp;V_Detailed_Report!P$4)</f>
        <v>0</v>
      </c>
      <c r="Q66" s="157">
        <f>SUMIFS('PQ-Due Dates'!$L:$L,'PQ-Due Dates'!$A:$A,V_Detailed_Report!$C66,'PQ-Due Dates'!$M:$M,"&gt;="&amp;V_Detailed_Report!Q$3,'PQ-Due Dates'!$M:$M,"&lt;="&amp;V_Detailed_Report!Q$4)</f>
        <v>0</v>
      </c>
      <c r="R66" s="157">
        <f>SUMIFS('PQ-Due Dates'!$L:$L,'PQ-Due Dates'!$A:$A,V_Detailed_Report!$C66,'PQ-Due Dates'!$M:$M,"&gt;="&amp;V_Detailed_Report!R$3,'PQ-Due Dates'!$M:$M,"&lt;="&amp;V_Detailed_Report!R$4)</f>
        <v>0</v>
      </c>
      <c r="S66" s="157">
        <f>SUMIFS('PQ-Due Dates'!$L:$L,'PQ-Due Dates'!$A:$A,V_Detailed_Report!$C66,'PQ-Due Dates'!$M:$M,"&gt;="&amp;V_Detailed_Report!S$3,'PQ-Due Dates'!$M:$M,"&lt;="&amp;V_Detailed_Report!S$4)</f>
        <v>0</v>
      </c>
      <c r="T66" s="157">
        <f>SUMIFS('PQ-Due Dates'!$L:$L,'PQ-Due Dates'!$A:$A,V_Detailed_Report!$C66,'PQ-Due Dates'!$M:$M,"&gt;="&amp;V_Detailed_Report!T$3,'PQ-Due Dates'!$M:$M,"&lt;="&amp;V_Detailed_Report!T$4)</f>
        <v>0</v>
      </c>
      <c r="U66" s="157">
        <f t="shared" si="5"/>
        <v>412500</v>
      </c>
      <c r="V66" s="157">
        <f t="shared" si="6"/>
        <v>2910204.6799999997</v>
      </c>
      <c r="W66" s="157">
        <f t="shared" si="7"/>
        <v>3322704.6799999997</v>
      </c>
    </row>
    <row r="67" spans="1:23" x14ac:dyDescent="0.25">
      <c r="A67" s="162" t="s">
        <v>106</v>
      </c>
      <c r="B67" s="162" t="s">
        <v>19</v>
      </c>
      <c r="C67" s="162" t="s">
        <v>353</v>
      </c>
      <c r="D67" s="162" t="str">
        <f>VLOOKUP(C67,'M_LC Summary'!A:F,6,0)</f>
        <v>SNB</v>
      </c>
      <c r="E67" s="162" t="str">
        <f>VLOOKUP(C67,'M_LC Summary'!A:C,3,0)</f>
        <v>High Al Shuhra Contracting Company</v>
      </c>
      <c r="F67" s="157">
        <f>VLOOKUP(C67,'M_LC Summary'!A:K,11,0)</f>
        <v>2140124.1600000001</v>
      </c>
      <c r="G67" s="157">
        <f>VLOOKUP(C67,'M_LC Summary'!A:L,12,0)</f>
        <v>1696396.49</v>
      </c>
      <c r="H67" s="157">
        <f t="shared" si="4"/>
        <v>443727.67000000016</v>
      </c>
      <c r="I67" s="157">
        <f>SUMIFS('PQ-Due Dates'!$L:$L,'PQ-Due Dates'!$A:$A,V_Detailed_Report!$C67,'PQ-Due Dates'!$M:$M,"&gt;="&amp;V_Detailed_Report!I$3,'PQ-Due Dates'!$M:$M,"&lt;="&amp;V_Detailed_Report!I$4)</f>
        <v>0</v>
      </c>
      <c r="J67" s="157">
        <f>SUMIFS('PQ-Due Dates'!$L:$L,'PQ-Due Dates'!$A:$A,V_Detailed_Report!$C67,'PQ-Due Dates'!$M:$M,"&gt;="&amp;V_Detailed_Report!J$3,'PQ-Due Dates'!$M:$M,"&lt;="&amp;V_Detailed_Report!J$4)</f>
        <v>0</v>
      </c>
      <c r="K67" s="157">
        <f>SUMIFS('PQ-Due Dates'!$L:$L,'PQ-Due Dates'!$A:$A,V_Detailed_Report!$C67,'PQ-Due Dates'!$M:$M,"&gt;="&amp;V_Detailed_Report!K$3,'PQ-Due Dates'!$M:$M,"&lt;="&amp;V_Detailed_Report!K$4)</f>
        <v>0</v>
      </c>
      <c r="L67" s="157">
        <f>SUMIFS('PQ-Due Dates'!$L:$L,'PQ-Due Dates'!$A:$A,V_Detailed_Report!$C67,'PQ-Due Dates'!$M:$M,"&gt;="&amp;V_Detailed_Report!L$3,'PQ-Due Dates'!$M:$M,"&lt;="&amp;V_Detailed_Report!L$4)</f>
        <v>0</v>
      </c>
      <c r="M67" s="157">
        <f>SUMIFS('PQ-Due Dates'!$L:$L,'PQ-Due Dates'!$A:$A,V_Detailed_Report!$C67,'PQ-Due Dates'!$M:$M,"&gt;="&amp;V_Detailed_Report!M$3,'PQ-Due Dates'!$M:$M,"&lt;="&amp;V_Detailed_Report!M$4)</f>
        <v>0</v>
      </c>
      <c r="N67" s="157">
        <f>SUMIFS('PQ-Due Dates'!$L:$L,'PQ-Due Dates'!$A:$A,V_Detailed_Report!$C67,'PQ-Due Dates'!$M:$M,"&gt;="&amp;V_Detailed_Report!N$3,'PQ-Due Dates'!$M:$M,"&lt;="&amp;V_Detailed_Report!N$4)</f>
        <v>0</v>
      </c>
      <c r="O67" s="157">
        <f>SUMIFS('PQ-Due Dates'!$L:$L,'PQ-Due Dates'!$A:$A,V_Detailed_Report!$C67,'PQ-Due Dates'!$M:$M,"&gt;="&amp;V_Detailed_Report!O$3,'PQ-Due Dates'!$M:$M,"&lt;="&amp;V_Detailed_Report!O$4)</f>
        <v>0</v>
      </c>
      <c r="P67" s="157">
        <f>SUMIFS('PQ-Due Dates'!$L:$L,'PQ-Due Dates'!$A:$A,V_Detailed_Report!$C67,'PQ-Due Dates'!$M:$M,"&gt;="&amp;V_Detailed_Report!P$3,'PQ-Due Dates'!$M:$M,"&lt;="&amp;V_Detailed_Report!P$4)</f>
        <v>0</v>
      </c>
      <c r="Q67" s="157">
        <f>SUMIFS('PQ-Due Dates'!$L:$L,'PQ-Due Dates'!$A:$A,V_Detailed_Report!$C67,'PQ-Due Dates'!$M:$M,"&gt;="&amp;V_Detailed_Report!Q$3,'PQ-Due Dates'!$M:$M,"&lt;="&amp;V_Detailed_Report!Q$4)</f>
        <v>0</v>
      </c>
      <c r="R67" s="157">
        <f>SUMIFS('PQ-Due Dates'!$L:$L,'PQ-Due Dates'!$A:$A,V_Detailed_Report!$C67,'PQ-Due Dates'!$M:$M,"&gt;="&amp;V_Detailed_Report!R$3,'PQ-Due Dates'!$M:$M,"&lt;="&amp;V_Detailed_Report!R$4)</f>
        <v>0</v>
      </c>
      <c r="S67" s="157">
        <f>SUMIFS('PQ-Due Dates'!$L:$L,'PQ-Due Dates'!$A:$A,V_Detailed_Report!$C67,'PQ-Due Dates'!$M:$M,"&gt;="&amp;V_Detailed_Report!S$3,'PQ-Due Dates'!$M:$M,"&lt;="&amp;V_Detailed_Report!S$4)</f>
        <v>0</v>
      </c>
      <c r="T67" s="157">
        <f>SUMIFS('PQ-Due Dates'!$L:$L,'PQ-Due Dates'!$A:$A,V_Detailed_Report!$C67,'PQ-Due Dates'!$M:$M,"&gt;="&amp;V_Detailed_Report!T$3,'PQ-Due Dates'!$M:$M,"&lt;="&amp;V_Detailed_Report!T$4)</f>
        <v>0</v>
      </c>
      <c r="U67" s="157">
        <f t="shared" si="5"/>
        <v>0</v>
      </c>
      <c r="V67" s="157">
        <f t="shared" si="6"/>
        <v>443727.67000000016</v>
      </c>
      <c r="W67" s="157">
        <f t="shared" si="7"/>
        <v>443727.67000000016</v>
      </c>
    </row>
    <row r="68" spans="1:23" ht="15.75" thickBot="1" x14ac:dyDescent="0.3">
      <c r="A68" s="171" t="s">
        <v>106</v>
      </c>
      <c r="B68" s="171" t="s">
        <v>19</v>
      </c>
      <c r="C68" s="171" t="s">
        <v>360</v>
      </c>
      <c r="D68" s="171" t="str">
        <f>VLOOKUP(C68,'M_LC Summary'!A:F,6,0)</f>
        <v>Alinma</v>
      </c>
      <c r="E68" s="171" t="str">
        <f>VLOOKUP(C68,'M_LC Summary'!A:C,3,0)</f>
        <v>Awtad Jeddah for General Contracting Company</v>
      </c>
      <c r="F68" s="158">
        <f>VLOOKUP(C68,'M_LC Summary'!A:K,11,0)</f>
        <v>2495972.17</v>
      </c>
      <c r="G68" s="158">
        <f>VLOOKUP(C68,'M_LC Summary'!A:L,12,0)</f>
        <v>1548792.03</v>
      </c>
      <c r="H68" s="158">
        <f t="shared" si="4"/>
        <v>947180.1399999999</v>
      </c>
      <c r="I68" s="158">
        <f>SUMIFS('PQ-Due Dates'!$L:$L,'PQ-Due Dates'!$A:$A,V_Detailed_Report!$C68,'PQ-Due Dates'!$M:$M,"&gt;="&amp;V_Detailed_Report!I$3,'PQ-Due Dates'!$M:$M,"&lt;="&amp;V_Detailed_Report!I$4)</f>
        <v>0</v>
      </c>
      <c r="J68" s="158">
        <f>SUMIFS('PQ-Due Dates'!$L:$L,'PQ-Due Dates'!$A:$A,V_Detailed_Report!$C68,'PQ-Due Dates'!$M:$M,"&gt;="&amp;V_Detailed_Report!J$3,'PQ-Due Dates'!$M:$M,"&lt;="&amp;V_Detailed_Report!J$4)</f>
        <v>0</v>
      </c>
      <c r="K68" s="158">
        <f>SUMIFS('PQ-Due Dates'!$L:$L,'PQ-Due Dates'!$A:$A,V_Detailed_Report!$C68,'PQ-Due Dates'!$M:$M,"&gt;="&amp;V_Detailed_Report!K$3,'PQ-Due Dates'!$M:$M,"&lt;="&amp;V_Detailed_Report!K$4)</f>
        <v>0</v>
      </c>
      <c r="L68" s="158">
        <f>SUMIFS('PQ-Due Dates'!$L:$L,'PQ-Due Dates'!$A:$A,V_Detailed_Report!$C68,'PQ-Due Dates'!$M:$M,"&gt;="&amp;V_Detailed_Report!L$3,'PQ-Due Dates'!$M:$M,"&lt;="&amp;V_Detailed_Report!L$4)</f>
        <v>0</v>
      </c>
      <c r="M68" s="158">
        <f>SUMIFS('PQ-Due Dates'!$L:$L,'PQ-Due Dates'!$A:$A,V_Detailed_Report!$C68,'PQ-Due Dates'!$M:$M,"&gt;="&amp;V_Detailed_Report!M$3,'PQ-Due Dates'!$M:$M,"&lt;="&amp;V_Detailed_Report!M$4)</f>
        <v>0</v>
      </c>
      <c r="N68" s="158">
        <f>SUMIFS('PQ-Due Dates'!$L:$L,'PQ-Due Dates'!$A:$A,V_Detailed_Report!$C68,'PQ-Due Dates'!$M:$M,"&gt;="&amp;V_Detailed_Report!N$3,'PQ-Due Dates'!$M:$M,"&lt;="&amp;V_Detailed_Report!N$4)</f>
        <v>0</v>
      </c>
      <c r="O68" s="158">
        <f>SUMIFS('PQ-Due Dates'!$L:$L,'PQ-Due Dates'!$A:$A,V_Detailed_Report!$C68,'PQ-Due Dates'!$M:$M,"&gt;="&amp;V_Detailed_Report!O$3,'PQ-Due Dates'!$M:$M,"&lt;="&amp;V_Detailed_Report!O$4)</f>
        <v>0</v>
      </c>
      <c r="P68" s="158">
        <f>SUMIFS('PQ-Due Dates'!$L:$L,'PQ-Due Dates'!$A:$A,V_Detailed_Report!$C68,'PQ-Due Dates'!$M:$M,"&gt;="&amp;V_Detailed_Report!P$3,'PQ-Due Dates'!$M:$M,"&lt;="&amp;V_Detailed_Report!P$4)</f>
        <v>0</v>
      </c>
      <c r="Q68" s="158">
        <f>SUMIFS('PQ-Due Dates'!$L:$L,'PQ-Due Dates'!$A:$A,V_Detailed_Report!$C68,'PQ-Due Dates'!$M:$M,"&gt;="&amp;V_Detailed_Report!Q$3,'PQ-Due Dates'!$M:$M,"&lt;="&amp;V_Detailed_Report!Q$4)</f>
        <v>0</v>
      </c>
      <c r="R68" s="158">
        <f>SUMIFS('PQ-Due Dates'!$L:$L,'PQ-Due Dates'!$A:$A,V_Detailed_Report!$C68,'PQ-Due Dates'!$M:$M,"&gt;="&amp;V_Detailed_Report!R$3,'PQ-Due Dates'!$M:$M,"&lt;="&amp;V_Detailed_Report!R$4)</f>
        <v>0</v>
      </c>
      <c r="S68" s="158">
        <f>SUMIFS('PQ-Due Dates'!$L:$L,'PQ-Due Dates'!$A:$A,V_Detailed_Report!$C68,'PQ-Due Dates'!$M:$M,"&gt;="&amp;V_Detailed_Report!S$3,'PQ-Due Dates'!$M:$M,"&lt;="&amp;V_Detailed_Report!S$4)</f>
        <v>0</v>
      </c>
      <c r="T68" s="158">
        <f>SUMIFS('PQ-Due Dates'!$L:$L,'PQ-Due Dates'!$A:$A,V_Detailed_Report!$C68,'PQ-Due Dates'!$M:$M,"&gt;="&amp;V_Detailed_Report!T$3,'PQ-Due Dates'!$M:$M,"&lt;="&amp;V_Detailed_Report!T$4)</f>
        <v>0</v>
      </c>
      <c r="U68" s="158">
        <f t="shared" si="5"/>
        <v>0</v>
      </c>
      <c r="V68" s="158">
        <f t="shared" si="6"/>
        <v>947180.1399999999</v>
      </c>
      <c r="W68" s="158">
        <f t="shared" si="7"/>
        <v>947180.1399999999</v>
      </c>
    </row>
    <row r="69" spans="1:23" ht="15.75" thickBot="1" x14ac:dyDescent="0.3">
      <c r="A69" s="61"/>
      <c r="B69" s="60"/>
      <c r="C69" s="68" t="s">
        <v>106</v>
      </c>
      <c r="D69" s="68" t="s">
        <v>19</v>
      </c>
      <c r="E69" s="60" t="s">
        <v>93</v>
      </c>
      <c r="F69" s="64">
        <f>SUMIFS(F:F,$A:$A,$C$69,$B:$B,$69:$69 $D:$D)</f>
        <v>25524849.240000002</v>
      </c>
      <c r="G69" s="64">
        <f>SUMIFS(G:G,$A:$A,$C$69,$B:$B,$69:$69 $D:$D)</f>
        <v>17142741.800000001</v>
      </c>
      <c r="H69" s="64">
        <f>SUMIFS(H:H,$A:$A,$C$69,$B:$B,$69:$69 $D:$D)</f>
        <v>8382107.4400000004</v>
      </c>
      <c r="I69" s="64">
        <f>SUMIFS(I:I,$A:$A,$C$69,$B:$B,$69:$69 $D:$D)</f>
        <v>0</v>
      </c>
      <c r="J69" s="64">
        <f>SUMIFS(J:J,$A:$A,$C$69,$B:$B,$69:$69 $D:$D)</f>
        <v>412500</v>
      </c>
      <c r="K69" s="64">
        <f>SUMIFS(K:K,$A:$A,$C$69,$B:$B,$69:$69 $D:$D)</f>
        <v>0</v>
      </c>
      <c r="L69" s="64">
        <f>SUMIFS(L:L,$A:$A,$C$69,$B:$B,$69:$69 $D:$D)</f>
        <v>0</v>
      </c>
      <c r="M69" s="64">
        <f>SUMIFS(M:M,$A:$A,$C$69,$B:$B,$69:$69 $D:$D)</f>
        <v>0</v>
      </c>
      <c r="N69" s="64">
        <f>SUMIFS(N:N,$A:$A,$C$69,$B:$B,$69:$69 $D:$D)</f>
        <v>0</v>
      </c>
      <c r="O69" s="64">
        <f>SUMIFS(O:O,$A:$A,$C$69,$B:$B,$69:$69 $D:$D)</f>
        <v>0</v>
      </c>
      <c r="P69" s="64">
        <f>SUMIFS(P:P,$A:$A,$C$69,$B:$B,$69:$69 $D:$D)</f>
        <v>0</v>
      </c>
      <c r="Q69" s="64">
        <f>SUMIFS(Q:Q,$A:$A,$C$69,$B:$B,$69:$69 $D:$D)</f>
        <v>0</v>
      </c>
      <c r="R69" s="64">
        <f>SUMIFS(R:R,$A:$A,$C$69,$B:$B,$69:$69 $D:$D)</f>
        <v>0</v>
      </c>
      <c r="S69" s="64">
        <f>SUMIFS(S:S,$A:$A,$C$69,$B:$B,$69:$69 $D:$D)</f>
        <v>0</v>
      </c>
      <c r="T69" s="64">
        <f>SUMIFS(T:T,$A:$A,$C$69,$B:$B,$69:$69 $D:$D)</f>
        <v>0</v>
      </c>
      <c r="U69" s="64">
        <f>SUMIFS(U:U,$A:$A,$C$69,$B:$B,$69:$69 $D:$D)</f>
        <v>412500</v>
      </c>
      <c r="V69" s="64">
        <f>SUMIFS(V:V,$A:$A,$C$69,$B:$B,$69:$69 $D:$D)</f>
        <v>7969607.4400000004</v>
      </c>
      <c r="W69" s="65">
        <f>SUMIFS(W:W,$A:$A,$C$69,$B:$B,$69:$69 $D:$D)</f>
        <v>8382107.4400000004</v>
      </c>
    </row>
    <row r="70" spans="1:23" x14ac:dyDescent="0.25">
      <c r="A70" s="173"/>
      <c r="B70" s="173"/>
      <c r="C70" s="173"/>
      <c r="D70" s="173"/>
      <c r="E70" s="173"/>
      <c r="F70" s="159"/>
      <c r="G70" s="159"/>
      <c r="H70" s="159"/>
      <c r="I70" s="159"/>
      <c r="J70" s="159"/>
      <c r="K70" s="159"/>
      <c r="L70" s="159"/>
      <c r="M70" s="159"/>
      <c r="N70" s="159"/>
      <c r="O70" s="159"/>
      <c r="P70" s="159"/>
      <c r="Q70" s="159"/>
      <c r="R70" s="159"/>
      <c r="S70" s="159"/>
      <c r="T70" s="159"/>
      <c r="U70" s="159"/>
      <c r="V70" s="159"/>
      <c r="W70" s="159"/>
    </row>
    <row r="71" spans="1:23" x14ac:dyDescent="0.25">
      <c r="A71" s="162" t="s">
        <v>75</v>
      </c>
      <c r="B71" s="162" t="s">
        <v>19</v>
      </c>
      <c r="C71" s="162" t="s">
        <v>155</v>
      </c>
      <c r="D71" s="162" t="str">
        <f>VLOOKUP(C71,'M_LC Summary'!A:F,6,0)</f>
        <v>Jazira</v>
      </c>
      <c r="E71" s="162" t="str">
        <f>VLOOKUP(C71,'M_LC Summary'!A:C,3,0)</f>
        <v>Saudi Hepco Co. Ltd</v>
      </c>
      <c r="F71" s="157">
        <f>VLOOKUP(C71,'M_LC Summary'!A:K,11,0)</f>
        <v>863693.45</v>
      </c>
      <c r="G71" s="157">
        <f>VLOOKUP(C71,'M_LC Summary'!A:L,12,0)</f>
        <v>0</v>
      </c>
      <c r="H71" s="157">
        <f t="shared" si="4"/>
        <v>863693.45</v>
      </c>
      <c r="I71" s="157">
        <f>SUMIFS('PQ-Due Dates'!$L:$L,'PQ-Due Dates'!$A:$A,V_Detailed_Report!$C71,'PQ-Due Dates'!$M:$M,"&gt;="&amp;V_Detailed_Report!I$3,'PQ-Due Dates'!$M:$M,"&lt;="&amp;V_Detailed_Report!I$4)</f>
        <v>0</v>
      </c>
      <c r="J71" s="157">
        <f>SUMIFS('PQ-Due Dates'!$L:$L,'PQ-Due Dates'!$A:$A,V_Detailed_Report!$C71,'PQ-Due Dates'!$M:$M,"&gt;="&amp;V_Detailed_Report!J$3,'PQ-Due Dates'!$M:$M,"&lt;="&amp;V_Detailed_Report!J$4)</f>
        <v>0</v>
      </c>
      <c r="K71" s="157">
        <f>SUMIFS('PQ-Due Dates'!$L:$L,'PQ-Due Dates'!$A:$A,V_Detailed_Report!$C71,'PQ-Due Dates'!$M:$M,"&gt;="&amp;V_Detailed_Report!K$3,'PQ-Due Dates'!$M:$M,"&lt;="&amp;V_Detailed_Report!K$4)</f>
        <v>0</v>
      </c>
      <c r="L71" s="157">
        <f>SUMIFS('PQ-Due Dates'!$L:$L,'PQ-Due Dates'!$A:$A,V_Detailed_Report!$C71,'PQ-Due Dates'!$M:$M,"&gt;="&amp;V_Detailed_Report!L$3,'PQ-Due Dates'!$M:$M,"&lt;="&amp;V_Detailed_Report!L$4)</f>
        <v>0</v>
      </c>
      <c r="M71" s="157">
        <f>SUMIFS('PQ-Due Dates'!$L:$L,'PQ-Due Dates'!$A:$A,V_Detailed_Report!$C71,'PQ-Due Dates'!$M:$M,"&gt;="&amp;V_Detailed_Report!M$3,'PQ-Due Dates'!$M:$M,"&lt;="&amp;V_Detailed_Report!M$4)</f>
        <v>0</v>
      </c>
      <c r="N71" s="157">
        <f>SUMIFS('PQ-Due Dates'!$L:$L,'PQ-Due Dates'!$A:$A,V_Detailed_Report!$C71,'PQ-Due Dates'!$M:$M,"&gt;="&amp;V_Detailed_Report!N$3,'PQ-Due Dates'!$M:$M,"&lt;="&amp;V_Detailed_Report!N$4)</f>
        <v>0</v>
      </c>
      <c r="O71" s="157">
        <f>SUMIFS('PQ-Due Dates'!$L:$L,'PQ-Due Dates'!$A:$A,V_Detailed_Report!$C71,'PQ-Due Dates'!$M:$M,"&gt;="&amp;V_Detailed_Report!O$3,'PQ-Due Dates'!$M:$M,"&lt;="&amp;V_Detailed_Report!O$4)</f>
        <v>0</v>
      </c>
      <c r="P71" s="157">
        <f>SUMIFS('PQ-Due Dates'!$L:$L,'PQ-Due Dates'!$A:$A,V_Detailed_Report!$C71,'PQ-Due Dates'!$M:$M,"&gt;="&amp;V_Detailed_Report!P$3,'PQ-Due Dates'!$M:$M,"&lt;="&amp;V_Detailed_Report!P$4)</f>
        <v>0</v>
      </c>
      <c r="Q71" s="157">
        <f>SUMIFS('PQ-Due Dates'!$L:$L,'PQ-Due Dates'!$A:$A,V_Detailed_Report!$C71,'PQ-Due Dates'!$M:$M,"&gt;="&amp;V_Detailed_Report!Q$3,'PQ-Due Dates'!$M:$M,"&lt;="&amp;V_Detailed_Report!Q$4)</f>
        <v>0</v>
      </c>
      <c r="R71" s="157">
        <f>SUMIFS('PQ-Due Dates'!$L:$L,'PQ-Due Dates'!$A:$A,V_Detailed_Report!$C71,'PQ-Due Dates'!$M:$M,"&gt;="&amp;V_Detailed_Report!R$3,'PQ-Due Dates'!$M:$M,"&lt;="&amp;V_Detailed_Report!R$4)</f>
        <v>0</v>
      </c>
      <c r="S71" s="157">
        <f>SUMIFS('PQ-Due Dates'!$L:$L,'PQ-Due Dates'!$A:$A,V_Detailed_Report!$C71,'PQ-Due Dates'!$M:$M,"&gt;="&amp;V_Detailed_Report!S$3,'PQ-Due Dates'!$M:$M,"&lt;="&amp;V_Detailed_Report!S$4)</f>
        <v>0</v>
      </c>
      <c r="T71" s="157">
        <f>SUMIFS('PQ-Due Dates'!$L:$L,'PQ-Due Dates'!$A:$A,V_Detailed_Report!$C71,'PQ-Due Dates'!$M:$M,"&gt;="&amp;V_Detailed_Report!T$3,'PQ-Due Dates'!$M:$M,"&lt;="&amp;V_Detailed_Report!T$4)</f>
        <v>0</v>
      </c>
      <c r="U71" s="157">
        <f t="shared" si="5"/>
        <v>0</v>
      </c>
      <c r="V71" s="157">
        <f t="shared" si="6"/>
        <v>863693.45</v>
      </c>
      <c r="W71" s="157">
        <f t="shared" si="7"/>
        <v>863693.45</v>
      </c>
    </row>
    <row r="72" spans="1:23" x14ac:dyDescent="0.25">
      <c r="A72" s="162" t="s">
        <v>75</v>
      </c>
      <c r="B72" s="162" t="s">
        <v>19</v>
      </c>
      <c r="C72" s="162" t="s">
        <v>157</v>
      </c>
      <c r="D72" s="162" t="str">
        <f>VLOOKUP(C72,'M_LC Summary'!A:F,6,0)</f>
        <v>Jazira</v>
      </c>
      <c r="E72" s="162" t="str">
        <f>VLOOKUP(C72,'M_LC Summary'!A:C,3,0)</f>
        <v>SITE TECHNOLOGY SAUDI ARABIA LTD</v>
      </c>
      <c r="F72" s="157">
        <f>VLOOKUP(C72,'M_LC Summary'!A:K,11,0)</f>
        <v>527850.01</v>
      </c>
      <c r="G72" s="157">
        <f>VLOOKUP(C72,'M_LC Summary'!A:L,12,0)</f>
        <v>263925</v>
      </c>
      <c r="H72" s="157">
        <f t="shared" si="4"/>
        <v>263925.01</v>
      </c>
      <c r="I72" s="157">
        <f>SUMIFS('PQ-Due Dates'!$L:$L,'PQ-Due Dates'!$A:$A,V_Detailed_Report!$C72,'PQ-Due Dates'!$M:$M,"&gt;="&amp;V_Detailed_Report!I$3,'PQ-Due Dates'!$M:$M,"&lt;="&amp;V_Detailed_Report!I$4)</f>
        <v>0</v>
      </c>
      <c r="J72" s="157">
        <f>SUMIFS('PQ-Due Dates'!$L:$L,'PQ-Due Dates'!$A:$A,V_Detailed_Report!$C72,'PQ-Due Dates'!$M:$M,"&gt;="&amp;V_Detailed_Report!J$3,'PQ-Due Dates'!$M:$M,"&lt;="&amp;V_Detailed_Report!J$4)</f>
        <v>0</v>
      </c>
      <c r="K72" s="157">
        <f>SUMIFS('PQ-Due Dates'!$L:$L,'PQ-Due Dates'!$A:$A,V_Detailed_Report!$C72,'PQ-Due Dates'!$M:$M,"&gt;="&amp;V_Detailed_Report!K$3,'PQ-Due Dates'!$M:$M,"&lt;="&amp;V_Detailed_Report!K$4)</f>
        <v>0</v>
      </c>
      <c r="L72" s="157">
        <f>SUMIFS('PQ-Due Dates'!$L:$L,'PQ-Due Dates'!$A:$A,V_Detailed_Report!$C72,'PQ-Due Dates'!$M:$M,"&gt;="&amp;V_Detailed_Report!L$3,'PQ-Due Dates'!$M:$M,"&lt;="&amp;V_Detailed_Report!L$4)</f>
        <v>0</v>
      </c>
      <c r="M72" s="157">
        <f>SUMIFS('PQ-Due Dates'!$L:$L,'PQ-Due Dates'!$A:$A,V_Detailed_Report!$C72,'PQ-Due Dates'!$M:$M,"&gt;="&amp;V_Detailed_Report!M$3,'PQ-Due Dates'!$M:$M,"&lt;="&amp;V_Detailed_Report!M$4)</f>
        <v>0</v>
      </c>
      <c r="N72" s="157">
        <f>SUMIFS('PQ-Due Dates'!$L:$L,'PQ-Due Dates'!$A:$A,V_Detailed_Report!$C72,'PQ-Due Dates'!$M:$M,"&gt;="&amp;V_Detailed_Report!N$3,'PQ-Due Dates'!$M:$M,"&lt;="&amp;V_Detailed_Report!N$4)</f>
        <v>0</v>
      </c>
      <c r="O72" s="157">
        <f>SUMIFS('PQ-Due Dates'!$L:$L,'PQ-Due Dates'!$A:$A,V_Detailed_Report!$C72,'PQ-Due Dates'!$M:$M,"&gt;="&amp;V_Detailed_Report!O$3,'PQ-Due Dates'!$M:$M,"&lt;="&amp;V_Detailed_Report!O$4)</f>
        <v>0</v>
      </c>
      <c r="P72" s="157">
        <f>SUMIFS('PQ-Due Dates'!$L:$L,'PQ-Due Dates'!$A:$A,V_Detailed_Report!$C72,'PQ-Due Dates'!$M:$M,"&gt;="&amp;V_Detailed_Report!P$3,'PQ-Due Dates'!$M:$M,"&lt;="&amp;V_Detailed_Report!P$4)</f>
        <v>0</v>
      </c>
      <c r="Q72" s="157">
        <f>SUMIFS('PQ-Due Dates'!$L:$L,'PQ-Due Dates'!$A:$A,V_Detailed_Report!$C72,'PQ-Due Dates'!$M:$M,"&gt;="&amp;V_Detailed_Report!Q$3,'PQ-Due Dates'!$M:$M,"&lt;="&amp;V_Detailed_Report!Q$4)</f>
        <v>0</v>
      </c>
      <c r="R72" s="157">
        <f>SUMIFS('PQ-Due Dates'!$L:$L,'PQ-Due Dates'!$A:$A,V_Detailed_Report!$C72,'PQ-Due Dates'!$M:$M,"&gt;="&amp;V_Detailed_Report!R$3,'PQ-Due Dates'!$M:$M,"&lt;="&amp;V_Detailed_Report!R$4)</f>
        <v>0</v>
      </c>
      <c r="S72" s="157">
        <f>SUMIFS('PQ-Due Dates'!$L:$L,'PQ-Due Dates'!$A:$A,V_Detailed_Report!$C72,'PQ-Due Dates'!$M:$M,"&gt;="&amp;V_Detailed_Report!S$3,'PQ-Due Dates'!$M:$M,"&lt;="&amp;V_Detailed_Report!S$4)</f>
        <v>0</v>
      </c>
      <c r="T72" s="157">
        <f>SUMIFS('PQ-Due Dates'!$L:$L,'PQ-Due Dates'!$A:$A,V_Detailed_Report!$C72,'PQ-Due Dates'!$M:$M,"&gt;="&amp;V_Detailed_Report!T$3,'PQ-Due Dates'!$M:$M,"&lt;="&amp;V_Detailed_Report!T$4)</f>
        <v>0</v>
      </c>
      <c r="U72" s="157">
        <f t="shared" si="5"/>
        <v>0</v>
      </c>
      <c r="V72" s="157">
        <f t="shared" si="6"/>
        <v>263925.01</v>
      </c>
      <c r="W72" s="157">
        <f t="shared" si="7"/>
        <v>263925.01</v>
      </c>
    </row>
    <row r="73" spans="1:23" x14ac:dyDescent="0.25">
      <c r="A73" s="162" t="s">
        <v>75</v>
      </c>
      <c r="B73" s="162" t="s">
        <v>19</v>
      </c>
      <c r="C73" s="162" t="s">
        <v>171</v>
      </c>
      <c r="D73" s="162" t="str">
        <f>VLOOKUP(C73,'M_LC Summary'!A:F,6,0)</f>
        <v>Jazira</v>
      </c>
      <c r="E73" s="162" t="str">
        <f>VLOOKUP(C73,'M_LC Summary'!A:C,3,0)</f>
        <v>SAUDI VITRIFIED CLAY PIPE CO</v>
      </c>
      <c r="F73" s="157">
        <f>VLOOKUP(C73,'M_LC Summary'!A:K,11,0)</f>
        <v>1033453.25</v>
      </c>
      <c r="G73" s="157">
        <f>VLOOKUP(C73,'M_LC Summary'!A:L,12,0)</f>
        <v>391176.24</v>
      </c>
      <c r="H73" s="157">
        <f t="shared" si="4"/>
        <v>642277.01</v>
      </c>
      <c r="I73" s="157">
        <f>SUMIFS('PQ-Due Dates'!$L:$L,'PQ-Due Dates'!$A:$A,V_Detailed_Report!$C73,'PQ-Due Dates'!$M:$M,"&gt;="&amp;V_Detailed_Report!I$3,'PQ-Due Dates'!$M:$M,"&lt;="&amp;V_Detailed_Report!I$4)</f>
        <v>0</v>
      </c>
      <c r="J73" s="157">
        <f>SUMIFS('PQ-Due Dates'!$L:$L,'PQ-Due Dates'!$A:$A,V_Detailed_Report!$C73,'PQ-Due Dates'!$M:$M,"&gt;="&amp;V_Detailed_Report!J$3,'PQ-Due Dates'!$M:$M,"&lt;="&amp;V_Detailed_Report!J$4)</f>
        <v>0</v>
      </c>
      <c r="K73" s="157">
        <f>SUMIFS('PQ-Due Dates'!$L:$L,'PQ-Due Dates'!$A:$A,V_Detailed_Report!$C73,'PQ-Due Dates'!$M:$M,"&gt;="&amp;V_Detailed_Report!K$3,'PQ-Due Dates'!$M:$M,"&lt;="&amp;V_Detailed_Report!K$4)</f>
        <v>0</v>
      </c>
      <c r="L73" s="157">
        <f>SUMIFS('PQ-Due Dates'!$L:$L,'PQ-Due Dates'!$A:$A,V_Detailed_Report!$C73,'PQ-Due Dates'!$M:$M,"&gt;="&amp;V_Detailed_Report!L$3,'PQ-Due Dates'!$M:$M,"&lt;="&amp;V_Detailed_Report!L$4)</f>
        <v>0</v>
      </c>
      <c r="M73" s="157">
        <f>SUMIFS('PQ-Due Dates'!$L:$L,'PQ-Due Dates'!$A:$A,V_Detailed_Report!$C73,'PQ-Due Dates'!$M:$M,"&gt;="&amp;V_Detailed_Report!M$3,'PQ-Due Dates'!$M:$M,"&lt;="&amp;V_Detailed_Report!M$4)</f>
        <v>0</v>
      </c>
      <c r="N73" s="157">
        <f>SUMIFS('PQ-Due Dates'!$L:$L,'PQ-Due Dates'!$A:$A,V_Detailed_Report!$C73,'PQ-Due Dates'!$M:$M,"&gt;="&amp;V_Detailed_Report!N$3,'PQ-Due Dates'!$M:$M,"&lt;="&amp;V_Detailed_Report!N$4)</f>
        <v>0</v>
      </c>
      <c r="O73" s="157">
        <f>SUMIFS('PQ-Due Dates'!$L:$L,'PQ-Due Dates'!$A:$A,V_Detailed_Report!$C73,'PQ-Due Dates'!$M:$M,"&gt;="&amp;V_Detailed_Report!O$3,'PQ-Due Dates'!$M:$M,"&lt;="&amp;V_Detailed_Report!O$4)</f>
        <v>0</v>
      </c>
      <c r="P73" s="157">
        <f>SUMIFS('PQ-Due Dates'!$L:$L,'PQ-Due Dates'!$A:$A,V_Detailed_Report!$C73,'PQ-Due Dates'!$M:$M,"&gt;="&amp;V_Detailed_Report!P$3,'PQ-Due Dates'!$M:$M,"&lt;="&amp;V_Detailed_Report!P$4)</f>
        <v>0</v>
      </c>
      <c r="Q73" s="157">
        <f>SUMIFS('PQ-Due Dates'!$L:$L,'PQ-Due Dates'!$A:$A,V_Detailed_Report!$C73,'PQ-Due Dates'!$M:$M,"&gt;="&amp;V_Detailed_Report!Q$3,'PQ-Due Dates'!$M:$M,"&lt;="&amp;V_Detailed_Report!Q$4)</f>
        <v>0</v>
      </c>
      <c r="R73" s="157">
        <f>SUMIFS('PQ-Due Dates'!$L:$L,'PQ-Due Dates'!$A:$A,V_Detailed_Report!$C73,'PQ-Due Dates'!$M:$M,"&gt;="&amp;V_Detailed_Report!R$3,'PQ-Due Dates'!$M:$M,"&lt;="&amp;V_Detailed_Report!R$4)</f>
        <v>0</v>
      </c>
      <c r="S73" s="157">
        <f>SUMIFS('PQ-Due Dates'!$L:$L,'PQ-Due Dates'!$A:$A,V_Detailed_Report!$C73,'PQ-Due Dates'!$M:$M,"&gt;="&amp;V_Detailed_Report!S$3,'PQ-Due Dates'!$M:$M,"&lt;="&amp;V_Detailed_Report!S$4)</f>
        <v>0</v>
      </c>
      <c r="T73" s="157">
        <f>SUMIFS('PQ-Due Dates'!$L:$L,'PQ-Due Dates'!$A:$A,V_Detailed_Report!$C73,'PQ-Due Dates'!$M:$M,"&gt;="&amp;V_Detailed_Report!T$3,'PQ-Due Dates'!$M:$M,"&lt;="&amp;V_Detailed_Report!T$4)</f>
        <v>0</v>
      </c>
      <c r="U73" s="157">
        <f t="shared" si="5"/>
        <v>0</v>
      </c>
      <c r="V73" s="157">
        <f t="shared" si="6"/>
        <v>642277.01</v>
      </c>
      <c r="W73" s="157">
        <f t="shared" si="7"/>
        <v>642277.01</v>
      </c>
    </row>
    <row r="74" spans="1:23" x14ac:dyDescent="0.25">
      <c r="A74" s="162" t="s">
        <v>75</v>
      </c>
      <c r="B74" s="162" t="s">
        <v>19</v>
      </c>
      <c r="C74" s="162" t="s">
        <v>373</v>
      </c>
      <c r="D74" s="162" t="str">
        <f>VLOOKUP(C74,'M_LC Summary'!A:F,6,0)</f>
        <v>Jazira</v>
      </c>
      <c r="E74" s="162" t="str">
        <f>VLOOKUP(C74,'M_LC Summary'!A:C,3,0)</f>
        <v>Baamer Group for Trading Company</v>
      </c>
      <c r="F74" s="157">
        <f>VLOOKUP(C74,'M_LC Summary'!A:K,11,0)</f>
        <v>312828.75</v>
      </c>
      <c r="G74" s="157">
        <f>VLOOKUP(C74,'M_LC Summary'!A:L,12,0)</f>
        <v>262776.15000000002</v>
      </c>
      <c r="H74" s="157">
        <f t="shared" si="4"/>
        <v>50052.599999999977</v>
      </c>
      <c r="I74" s="157">
        <f>SUMIFS('PQ-Due Dates'!$L:$L,'PQ-Due Dates'!$A:$A,V_Detailed_Report!$C74,'PQ-Due Dates'!$M:$M,"&gt;="&amp;V_Detailed_Report!I$3,'PQ-Due Dates'!$M:$M,"&lt;="&amp;V_Detailed_Report!I$4)</f>
        <v>0</v>
      </c>
      <c r="J74" s="157">
        <f>SUMIFS('PQ-Due Dates'!$L:$L,'PQ-Due Dates'!$A:$A,V_Detailed_Report!$C74,'PQ-Due Dates'!$M:$M,"&gt;="&amp;V_Detailed_Report!J$3,'PQ-Due Dates'!$M:$M,"&lt;="&amp;V_Detailed_Report!J$4)</f>
        <v>0</v>
      </c>
      <c r="K74" s="157">
        <f>SUMIFS('PQ-Due Dates'!$L:$L,'PQ-Due Dates'!$A:$A,V_Detailed_Report!$C74,'PQ-Due Dates'!$M:$M,"&gt;="&amp;V_Detailed_Report!K$3,'PQ-Due Dates'!$M:$M,"&lt;="&amp;V_Detailed_Report!K$4)</f>
        <v>0</v>
      </c>
      <c r="L74" s="157">
        <f>SUMIFS('PQ-Due Dates'!$L:$L,'PQ-Due Dates'!$A:$A,V_Detailed_Report!$C74,'PQ-Due Dates'!$M:$M,"&gt;="&amp;V_Detailed_Report!L$3,'PQ-Due Dates'!$M:$M,"&lt;="&amp;V_Detailed_Report!L$4)</f>
        <v>0</v>
      </c>
      <c r="M74" s="157">
        <f>SUMIFS('PQ-Due Dates'!$L:$L,'PQ-Due Dates'!$A:$A,V_Detailed_Report!$C74,'PQ-Due Dates'!$M:$M,"&gt;="&amp;V_Detailed_Report!M$3,'PQ-Due Dates'!$M:$M,"&lt;="&amp;V_Detailed_Report!M$4)</f>
        <v>0</v>
      </c>
      <c r="N74" s="157">
        <f>SUMIFS('PQ-Due Dates'!$L:$L,'PQ-Due Dates'!$A:$A,V_Detailed_Report!$C74,'PQ-Due Dates'!$M:$M,"&gt;="&amp;V_Detailed_Report!N$3,'PQ-Due Dates'!$M:$M,"&lt;="&amp;V_Detailed_Report!N$4)</f>
        <v>0</v>
      </c>
      <c r="O74" s="157">
        <f>SUMIFS('PQ-Due Dates'!$L:$L,'PQ-Due Dates'!$A:$A,V_Detailed_Report!$C74,'PQ-Due Dates'!$M:$M,"&gt;="&amp;V_Detailed_Report!O$3,'PQ-Due Dates'!$M:$M,"&lt;="&amp;V_Detailed_Report!O$4)</f>
        <v>0</v>
      </c>
      <c r="P74" s="157">
        <f>SUMIFS('PQ-Due Dates'!$L:$L,'PQ-Due Dates'!$A:$A,V_Detailed_Report!$C74,'PQ-Due Dates'!$M:$M,"&gt;="&amp;V_Detailed_Report!P$3,'PQ-Due Dates'!$M:$M,"&lt;="&amp;V_Detailed_Report!P$4)</f>
        <v>0</v>
      </c>
      <c r="Q74" s="157">
        <f>SUMIFS('PQ-Due Dates'!$L:$L,'PQ-Due Dates'!$A:$A,V_Detailed_Report!$C74,'PQ-Due Dates'!$M:$M,"&gt;="&amp;V_Detailed_Report!Q$3,'PQ-Due Dates'!$M:$M,"&lt;="&amp;V_Detailed_Report!Q$4)</f>
        <v>0</v>
      </c>
      <c r="R74" s="157">
        <f>SUMIFS('PQ-Due Dates'!$L:$L,'PQ-Due Dates'!$A:$A,V_Detailed_Report!$C74,'PQ-Due Dates'!$M:$M,"&gt;="&amp;V_Detailed_Report!R$3,'PQ-Due Dates'!$M:$M,"&lt;="&amp;V_Detailed_Report!R$4)</f>
        <v>0</v>
      </c>
      <c r="S74" s="157">
        <f>SUMIFS('PQ-Due Dates'!$L:$L,'PQ-Due Dates'!$A:$A,V_Detailed_Report!$C74,'PQ-Due Dates'!$M:$M,"&gt;="&amp;V_Detailed_Report!S$3,'PQ-Due Dates'!$M:$M,"&lt;="&amp;V_Detailed_Report!S$4)</f>
        <v>0</v>
      </c>
      <c r="T74" s="157">
        <f>SUMIFS('PQ-Due Dates'!$L:$L,'PQ-Due Dates'!$A:$A,V_Detailed_Report!$C74,'PQ-Due Dates'!$M:$M,"&gt;="&amp;V_Detailed_Report!T$3,'PQ-Due Dates'!$M:$M,"&lt;="&amp;V_Detailed_Report!T$4)</f>
        <v>0</v>
      </c>
      <c r="U74" s="157">
        <f t="shared" si="5"/>
        <v>0</v>
      </c>
      <c r="V74" s="157">
        <f t="shared" si="6"/>
        <v>50052.599999999977</v>
      </c>
      <c r="W74" s="157">
        <f t="shared" si="7"/>
        <v>50052.599999999977</v>
      </c>
    </row>
    <row r="75" spans="1:23" x14ac:dyDescent="0.25">
      <c r="A75" s="162" t="s">
        <v>75</v>
      </c>
      <c r="B75" s="162" t="s">
        <v>19</v>
      </c>
      <c r="C75" s="162" t="s">
        <v>190</v>
      </c>
      <c r="D75" s="162" t="str">
        <f>VLOOKUP(C75,'M_LC Summary'!A:F,6,0)</f>
        <v>Jazira</v>
      </c>
      <c r="E75" s="162" t="str">
        <f>VLOOKUP(C75,'M_LC Summary'!A:C,3,0)</f>
        <v>Ealla For General Contracting</v>
      </c>
      <c r="F75" s="157">
        <f>VLOOKUP(C75,'M_LC Summary'!A:K,11,0)</f>
        <v>101623.2</v>
      </c>
      <c r="G75" s="157">
        <f>VLOOKUP(C75,'M_LC Summary'!A:L,12,0)</f>
        <v>0</v>
      </c>
      <c r="H75" s="157">
        <f t="shared" si="4"/>
        <v>101623.2</v>
      </c>
      <c r="I75" s="157">
        <f>SUMIFS('PQ-Due Dates'!$L:$L,'PQ-Due Dates'!$A:$A,V_Detailed_Report!$C75,'PQ-Due Dates'!$M:$M,"&gt;="&amp;V_Detailed_Report!I$3,'PQ-Due Dates'!$M:$M,"&lt;="&amp;V_Detailed_Report!I$4)</f>
        <v>0</v>
      </c>
      <c r="J75" s="157">
        <f>SUMIFS('PQ-Due Dates'!$L:$L,'PQ-Due Dates'!$A:$A,V_Detailed_Report!$C75,'PQ-Due Dates'!$M:$M,"&gt;="&amp;V_Detailed_Report!J$3,'PQ-Due Dates'!$M:$M,"&lt;="&amp;V_Detailed_Report!J$4)</f>
        <v>0</v>
      </c>
      <c r="K75" s="157">
        <f>SUMIFS('PQ-Due Dates'!$L:$L,'PQ-Due Dates'!$A:$A,V_Detailed_Report!$C75,'PQ-Due Dates'!$M:$M,"&gt;="&amp;V_Detailed_Report!K$3,'PQ-Due Dates'!$M:$M,"&lt;="&amp;V_Detailed_Report!K$4)</f>
        <v>0</v>
      </c>
      <c r="L75" s="157">
        <f>SUMIFS('PQ-Due Dates'!$L:$L,'PQ-Due Dates'!$A:$A,V_Detailed_Report!$C75,'PQ-Due Dates'!$M:$M,"&gt;="&amp;V_Detailed_Report!L$3,'PQ-Due Dates'!$M:$M,"&lt;="&amp;V_Detailed_Report!L$4)</f>
        <v>0</v>
      </c>
      <c r="M75" s="157">
        <f>SUMIFS('PQ-Due Dates'!$L:$L,'PQ-Due Dates'!$A:$A,V_Detailed_Report!$C75,'PQ-Due Dates'!$M:$M,"&gt;="&amp;V_Detailed_Report!M$3,'PQ-Due Dates'!$M:$M,"&lt;="&amp;V_Detailed_Report!M$4)</f>
        <v>0</v>
      </c>
      <c r="N75" s="157">
        <f>SUMIFS('PQ-Due Dates'!$L:$L,'PQ-Due Dates'!$A:$A,V_Detailed_Report!$C75,'PQ-Due Dates'!$M:$M,"&gt;="&amp;V_Detailed_Report!N$3,'PQ-Due Dates'!$M:$M,"&lt;="&amp;V_Detailed_Report!N$4)</f>
        <v>0</v>
      </c>
      <c r="O75" s="157">
        <f>SUMIFS('PQ-Due Dates'!$L:$L,'PQ-Due Dates'!$A:$A,V_Detailed_Report!$C75,'PQ-Due Dates'!$M:$M,"&gt;="&amp;V_Detailed_Report!O$3,'PQ-Due Dates'!$M:$M,"&lt;="&amp;V_Detailed_Report!O$4)</f>
        <v>0</v>
      </c>
      <c r="P75" s="157">
        <f>SUMIFS('PQ-Due Dates'!$L:$L,'PQ-Due Dates'!$A:$A,V_Detailed_Report!$C75,'PQ-Due Dates'!$M:$M,"&gt;="&amp;V_Detailed_Report!P$3,'PQ-Due Dates'!$M:$M,"&lt;="&amp;V_Detailed_Report!P$4)</f>
        <v>0</v>
      </c>
      <c r="Q75" s="157">
        <f>SUMIFS('PQ-Due Dates'!$L:$L,'PQ-Due Dates'!$A:$A,V_Detailed_Report!$C75,'PQ-Due Dates'!$M:$M,"&gt;="&amp;V_Detailed_Report!Q$3,'PQ-Due Dates'!$M:$M,"&lt;="&amp;V_Detailed_Report!Q$4)</f>
        <v>0</v>
      </c>
      <c r="R75" s="157">
        <f>SUMIFS('PQ-Due Dates'!$L:$L,'PQ-Due Dates'!$A:$A,V_Detailed_Report!$C75,'PQ-Due Dates'!$M:$M,"&gt;="&amp;V_Detailed_Report!R$3,'PQ-Due Dates'!$M:$M,"&lt;="&amp;V_Detailed_Report!R$4)</f>
        <v>0</v>
      </c>
      <c r="S75" s="157">
        <f>SUMIFS('PQ-Due Dates'!$L:$L,'PQ-Due Dates'!$A:$A,V_Detailed_Report!$C75,'PQ-Due Dates'!$M:$M,"&gt;="&amp;V_Detailed_Report!S$3,'PQ-Due Dates'!$M:$M,"&lt;="&amp;V_Detailed_Report!S$4)</f>
        <v>0</v>
      </c>
      <c r="T75" s="157">
        <f>SUMIFS('PQ-Due Dates'!$L:$L,'PQ-Due Dates'!$A:$A,V_Detailed_Report!$C75,'PQ-Due Dates'!$M:$M,"&gt;="&amp;V_Detailed_Report!T$3,'PQ-Due Dates'!$M:$M,"&lt;="&amp;V_Detailed_Report!T$4)</f>
        <v>0</v>
      </c>
      <c r="U75" s="157">
        <f t="shared" si="5"/>
        <v>0</v>
      </c>
      <c r="V75" s="157">
        <f t="shared" si="6"/>
        <v>101623.2</v>
      </c>
      <c r="W75" s="157">
        <f t="shared" si="7"/>
        <v>101623.2</v>
      </c>
    </row>
    <row r="76" spans="1:23" x14ac:dyDescent="0.25">
      <c r="A76" s="162" t="s">
        <v>75</v>
      </c>
      <c r="B76" s="162" t="s">
        <v>19</v>
      </c>
      <c r="C76" s="162" t="s">
        <v>193</v>
      </c>
      <c r="D76" s="162" t="str">
        <f>VLOOKUP(C76,'M_LC Summary'!A:F,6,0)</f>
        <v>Jazira</v>
      </c>
      <c r="E76" s="162" t="str">
        <f>VLOOKUP(C76,'M_LC Summary'!A:C,3,0)</f>
        <v>Metten Al-Arabia Ltd Co (METARA)</v>
      </c>
      <c r="F76" s="157">
        <f>VLOOKUP(C76,'M_LC Summary'!A:K,11,0)</f>
        <v>12956001.199999999</v>
      </c>
      <c r="G76" s="157">
        <f>VLOOKUP(C76,'M_LC Summary'!A:L,12,0)</f>
        <v>1509410.02</v>
      </c>
      <c r="H76" s="157">
        <f t="shared" si="4"/>
        <v>11446591.18</v>
      </c>
      <c r="I76" s="157">
        <f>SUMIFS('PQ-Due Dates'!$L:$L,'PQ-Due Dates'!$A:$A,V_Detailed_Report!$C76,'PQ-Due Dates'!$M:$M,"&gt;="&amp;V_Detailed_Report!I$3,'PQ-Due Dates'!$M:$M,"&lt;="&amp;V_Detailed_Report!I$4)</f>
        <v>0</v>
      </c>
      <c r="J76" s="157">
        <f>SUMIFS('PQ-Due Dates'!$L:$L,'PQ-Due Dates'!$A:$A,V_Detailed_Report!$C76,'PQ-Due Dates'!$M:$M,"&gt;="&amp;V_Detailed_Report!J$3,'PQ-Due Dates'!$M:$M,"&lt;="&amp;V_Detailed_Report!J$4)</f>
        <v>0</v>
      </c>
      <c r="K76" s="157">
        <f>SUMIFS('PQ-Due Dates'!$L:$L,'PQ-Due Dates'!$A:$A,V_Detailed_Report!$C76,'PQ-Due Dates'!$M:$M,"&gt;="&amp;V_Detailed_Report!K$3,'PQ-Due Dates'!$M:$M,"&lt;="&amp;V_Detailed_Report!K$4)</f>
        <v>0</v>
      </c>
      <c r="L76" s="157">
        <f>SUMIFS('PQ-Due Dates'!$L:$L,'PQ-Due Dates'!$A:$A,V_Detailed_Report!$C76,'PQ-Due Dates'!$M:$M,"&gt;="&amp;V_Detailed_Report!L$3,'PQ-Due Dates'!$M:$M,"&lt;="&amp;V_Detailed_Report!L$4)</f>
        <v>0</v>
      </c>
      <c r="M76" s="157">
        <f>SUMIFS('PQ-Due Dates'!$L:$L,'PQ-Due Dates'!$A:$A,V_Detailed_Report!$C76,'PQ-Due Dates'!$M:$M,"&gt;="&amp;V_Detailed_Report!M$3,'PQ-Due Dates'!$M:$M,"&lt;="&amp;V_Detailed_Report!M$4)</f>
        <v>0</v>
      </c>
      <c r="N76" s="157">
        <f>SUMIFS('PQ-Due Dates'!$L:$L,'PQ-Due Dates'!$A:$A,V_Detailed_Report!$C76,'PQ-Due Dates'!$M:$M,"&gt;="&amp;V_Detailed_Report!N$3,'PQ-Due Dates'!$M:$M,"&lt;="&amp;V_Detailed_Report!N$4)</f>
        <v>0</v>
      </c>
      <c r="O76" s="157">
        <f>SUMIFS('PQ-Due Dates'!$L:$L,'PQ-Due Dates'!$A:$A,V_Detailed_Report!$C76,'PQ-Due Dates'!$M:$M,"&gt;="&amp;V_Detailed_Report!O$3,'PQ-Due Dates'!$M:$M,"&lt;="&amp;V_Detailed_Report!O$4)</f>
        <v>0</v>
      </c>
      <c r="P76" s="157">
        <f>SUMIFS('PQ-Due Dates'!$L:$L,'PQ-Due Dates'!$A:$A,V_Detailed_Report!$C76,'PQ-Due Dates'!$M:$M,"&gt;="&amp;V_Detailed_Report!P$3,'PQ-Due Dates'!$M:$M,"&lt;="&amp;V_Detailed_Report!P$4)</f>
        <v>0</v>
      </c>
      <c r="Q76" s="157">
        <f>SUMIFS('PQ-Due Dates'!$L:$L,'PQ-Due Dates'!$A:$A,V_Detailed_Report!$C76,'PQ-Due Dates'!$M:$M,"&gt;="&amp;V_Detailed_Report!Q$3,'PQ-Due Dates'!$M:$M,"&lt;="&amp;V_Detailed_Report!Q$4)</f>
        <v>0</v>
      </c>
      <c r="R76" s="157">
        <f>SUMIFS('PQ-Due Dates'!$L:$L,'PQ-Due Dates'!$A:$A,V_Detailed_Report!$C76,'PQ-Due Dates'!$M:$M,"&gt;="&amp;V_Detailed_Report!R$3,'PQ-Due Dates'!$M:$M,"&lt;="&amp;V_Detailed_Report!R$4)</f>
        <v>0</v>
      </c>
      <c r="S76" s="157">
        <f>SUMIFS('PQ-Due Dates'!$L:$L,'PQ-Due Dates'!$A:$A,V_Detailed_Report!$C76,'PQ-Due Dates'!$M:$M,"&gt;="&amp;V_Detailed_Report!S$3,'PQ-Due Dates'!$M:$M,"&lt;="&amp;V_Detailed_Report!S$4)</f>
        <v>0</v>
      </c>
      <c r="T76" s="157">
        <f>SUMIFS('PQ-Due Dates'!$L:$L,'PQ-Due Dates'!$A:$A,V_Detailed_Report!$C76,'PQ-Due Dates'!$M:$M,"&gt;="&amp;V_Detailed_Report!T$3,'PQ-Due Dates'!$M:$M,"&lt;="&amp;V_Detailed_Report!T$4)</f>
        <v>0</v>
      </c>
      <c r="U76" s="157">
        <f t="shared" si="5"/>
        <v>0</v>
      </c>
      <c r="V76" s="157">
        <f t="shared" si="6"/>
        <v>11446591.18</v>
      </c>
      <c r="W76" s="157">
        <f t="shared" si="7"/>
        <v>11446591.18</v>
      </c>
    </row>
    <row r="77" spans="1:23" x14ac:dyDescent="0.25">
      <c r="A77" s="162" t="s">
        <v>75</v>
      </c>
      <c r="B77" s="162" t="s">
        <v>19</v>
      </c>
      <c r="C77" s="162" t="s">
        <v>220</v>
      </c>
      <c r="D77" s="162" t="str">
        <f>VLOOKUP(C77,'M_LC Summary'!A:F,6,0)</f>
        <v>Jazira</v>
      </c>
      <c r="E77" s="162" t="str">
        <f>VLOOKUP(C77,'M_LC Summary'!A:C,3,0)</f>
        <v>AL FALWA CO. LTD. FOR READYMIX CONCRETE</v>
      </c>
      <c r="F77" s="157">
        <f>VLOOKUP(C77,'M_LC Summary'!A:K,11,0)</f>
        <v>10000000</v>
      </c>
      <c r="G77" s="157">
        <f>VLOOKUP(C77,'M_LC Summary'!A:L,12,0)</f>
        <v>2924152.4000000004</v>
      </c>
      <c r="H77" s="157">
        <f t="shared" si="4"/>
        <v>7075847.5999999996</v>
      </c>
      <c r="I77" s="157">
        <f>SUMIFS('PQ-Due Dates'!$L:$L,'PQ-Due Dates'!$A:$A,V_Detailed_Report!$C77,'PQ-Due Dates'!$M:$M,"&gt;="&amp;V_Detailed_Report!I$3,'PQ-Due Dates'!$M:$M,"&lt;="&amp;V_Detailed_Report!I$4)</f>
        <v>0</v>
      </c>
      <c r="J77" s="157">
        <f>SUMIFS('PQ-Due Dates'!$L:$L,'PQ-Due Dates'!$A:$A,V_Detailed_Report!$C77,'PQ-Due Dates'!$M:$M,"&gt;="&amp;V_Detailed_Report!J$3,'PQ-Due Dates'!$M:$M,"&lt;="&amp;V_Detailed_Report!J$4)</f>
        <v>0</v>
      </c>
      <c r="K77" s="157">
        <f>SUMIFS('PQ-Due Dates'!$L:$L,'PQ-Due Dates'!$A:$A,V_Detailed_Report!$C77,'PQ-Due Dates'!$M:$M,"&gt;="&amp;V_Detailed_Report!K$3,'PQ-Due Dates'!$M:$M,"&lt;="&amp;V_Detailed_Report!K$4)</f>
        <v>0</v>
      </c>
      <c r="L77" s="157">
        <f>SUMIFS('PQ-Due Dates'!$L:$L,'PQ-Due Dates'!$A:$A,V_Detailed_Report!$C77,'PQ-Due Dates'!$M:$M,"&gt;="&amp;V_Detailed_Report!L$3,'PQ-Due Dates'!$M:$M,"&lt;="&amp;V_Detailed_Report!L$4)</f>
        <v>0</v>
      </c>
      <c r="M77" s="157">
        <f>SUMIFS('PQ-Due Dates'!$L:$L,'PQ-Due Dates'!$A:$A,V_Detailed_Report!$C77,'PQ-Due Dates'!$M:$M,"&gt;="&amp;V_Detailed_Report!M$3,'PQ-Due Dates'!$M:$M,"&lt;="&amp;V_Detailed_Report!M$4)</f>
        <v>0</v>
      </c>
      <c r="N77" s="157">
        <f>SUMIFS('PQ-Due Dates'!$L:$L,'PQ-Due Dates'!$A:$A,V_Detailed_Report!$C77,'PQ-Due Dates'!$M:$M,"&gt;="&amp;V_Detailed_Report!N$3,'PQ-Due Dates'!$M:$M,"&lt;="&amp;V_Detailed_Report!N$4)</f>
        <v>0</v>
      </c>
      <c r="O77" s="157">
        <f>SUMIFS('PQ-Due Dates'!$L:$L,'PQ-Due Dates'!$A:$A,V_Detailed_Report!$C77,'PQ-Due Dates'!$M:$M,"&gt;="&amp;V_Detailed_Report!O$3,'PQ-Due Dates'!$M:$M,"&lt;="&amp;V_Detailed_Report!O$4)</f>
        <v>0</v>
      </c>
      <c r="P77" s="157">
        <f>SUMIFS('PQ-Due Dates'!$L:$L,'PQ-Due Dates'!$A:$A,V_Detailed_Report!$C77,'PQ-Due Dates'!$M:$M,"&gt;="&amp;V_Detailed_Report!P$3,'PQ-Due Dates'!$M:$M,"&lt;="&amp;V_Detailed_Report!P$4)</f>
        <v>0</v>
      </c>
      <c r="Q77" s="157">
        <f>SUMIFS('PQ-Due Dates'!$L:$L,'PQ-Due Dates'!$A:$A,V_Detailed_Report!$C77,'PQ-Due Dates'!$M:$M,"&gt;="&amp;V_Detailed_Report!Q$3,'PQ-Due Dates'!$M:$M,"&lt;="&amp;V_Detailed_Report!Q$4)</f>
        <v>0</v>
      </c>
      <c r="R77" s="157">
        <f>SUMIFS('PQ-Due Dates'!$L:$L,'PQ-Due Dates'!$A:$A,V_Detailed_Report!$C77,'PQ-Due Dates'!$M:$M,"&gt;="&amp;V_Detailed_Report!R$3,'PQ-Due Dates'!$M:$M,"&lt;="&amp;V_Detailed_Report!R$4)</f>
        <v>0</v>
      </c>
      <c r="S77" s="157">
        <f>SUMIFS('PQ-Due Dates'!$L:$L,'PQ-Due Dates'!$A:$A,V_Detailed_Report!$C77,'PQ-Due Dates'!$M:$M,"&gt;="&amp;V_Detailed_Report!S$3,'PQ-Due Dates'!$M:$M,"&lt;="&amp;V_Detailed_Report!S$4)</f>
        <v>0</v>
      </c>
      <c r="T77" s="157">
        <f>SUMIFS('PQ-Due Dates'!$L:$L,'PQ-Due Dates'!$A:$A,V_Detailed_Report!$C77,'PQ-Due Dates'!$M:$M,"&gt;="&amp;V_Detailed_Report!T$3,'PQ-Due Dates'!$M:$M,"&lt;="&amp;V_Detailed_Report!T$4)</f>
        <v>0</v>
      </c>
      <c r="U77" s="157">
        <f t="shared" si="5"/>
        <v>0</v>
      </c>
      <c r="V77" s="157">
        <f t="shared" si="6"/>
        <v>7075847.5999999996</v>
      </c>
      <c r="W77" s="157">
        <f t="shared" si="7"/>
        <v>7075847.5999999996</v>
      </c>
    </row>
    <row r="78" spans="1:23" x14ac:dyDescent="0.25">
      <c r="A78" s="162" t="s">
        <v>75</v>
      </c>
      <c r="B78" s="162" t="s">
        <v>19</v>
      </c>
      <c r="C78" s="162" t="s">
        <v>221</v>
      </c>
      <c r="D78" s="162" t="str">
        <f>VLOOKUP(C78,'M_LC Summary'!A:F,6,0)</f>
        <v>Jazira</v>
      </c>
      <c r="E78" s="162" t="str">
        <f>VLOOKUP(C78,'M_LC Summary'!A:C,3,0)</f>
        <v>Mohammed Ramadan Shat Factory</v>
      </c>
      <c r="F78" s="157">
        <f>VLOOKUP(C78,'M_LC Summary'!A:K,11,0)</f>
        <v>501144.18</v>
      </c>
      <c r="G78" s="157">
        <f>VLOOKUP(C78,'M_LC Summary'!A:L,12,0)</f>
        <v>42591.07</v>
      </c>
      <c r="H78" s="157">
        <f t="shared" si="4"/>
        <v>458553.11</v>
      </c>
      <c r="I78" s="157">
        <f>SUMIFS('PQ-Due Dates'!$L:$L,'PQ-Due Dates'!$A:$A,V_Detailed_Report!$C78,'PQ-Due Dates'!$M:$M,"&gt;="&amp;V_Detailed_Report!I$3,'PQ-Due Dates'!$M:$M,"&lt;="&amp;V_Detailed_Report!I$4)</f>
        <v>0</v>
      </c>
      <c r="J78" s="157">
        <f>SUMIFS('PQ-Due Dates'!$L:$L,'PQ-Due Dates'!$A:$A,V_Detailed_Report!$C78,'PQ-Due Dates'!$M:$M,"&gt;="&amp;V_Detailed_Report!J$3,'PQ-Due Dates'!$M:$M,"&lt;="&amp;V_Detailed_Report!J$4)</f>
        <v>0</v>
      </c>
      <c r="K78" s="157">
        <f>SUMIFS('PQ-Due Dates'!$L:$L,'PQ-Due Dates'!$A:$A,V_Detailed_Report!$C78,'PQ-Due Dates'!$M:$M,"&gt;="&amp;V_Detailed_Report!K$3,'PQ-Due Dates'!$M:$M,"&lt;="&amp;V_Detailed_Report!K$4)</f>
        <v>199393.9</v>
      </c>
      <c r="L78" s="157">
        <f>SUMIFS('PQ-Due Dates'!$L:$L,'PQ-Due Dates'!$A:$A,V_Detailed_Report!$C78,'PQ-Due Dates'!$M:$M,"&gt;="&amp;V_Detailed_Report!L$3,'PQ-Due Dates'!$M:$M,"&lt;="&amp;V_Detailed_Report!L$4)</f>
        <v>0</v>
      </c>
      <c r="M78" s="157">
        <f>SUMIFS('PQ-Due Dates'!$L:$L,'PQ-Due Dates'!$A:$A,V_Detailed_Report!$C78,'PQ-Due Dates'!$M:$M,"&gt;="&amp;V_Detailed_Report!M$3,'PQ-Due Dates'!$M:$M,"&lt;="&amp;V_Detailed_Report!M$4)</f>
        <v>0</v>
      </c>
      <c r="N78" s="157">
        <f>SUMIFS('PQ-Due Dates'!$L:$L,'PQ-Due Dates'!$A:$A,V_Detailed_Report!$C78,'PQ-Due Dates'!$M:$M,"&gt;="&amp;V_Detailed_Report!N$3,'PQ-Due Dates'!$M:$M,"&lt;="&amp;V_Detailed_Report!N$4)</f>
        <v>0</v>
      </c>
      <c r="O78" s="157">
        <f>SUMIFS('PQ-Due Dates'!$L:$L,'PQ-Due Dates'!$A:$A,V_Detailed_Report!$C78,'PQ-Due Dates'!$M:$M,"&gt;="&amp;V_Detailed_Report!O$3,'PQ-Due Dates'!$M:$M,"&lt;="&amp;V_Detailed_Report!O$4)</f>
        <v>0</v>
      </c>
      <c r="P78" s="157">
        <f>SUMIFS('PQ-Due Dates'!$L:$L,'PQ-Due Dates'!$A:$A,V_Detailed_Report!$C78,'PQ-Due Dates'!$M:$M,"&gt;="&amp;V_Detailed_Report!P$3,'PQ-Due Dates'!$M:$M,"&lt;="&amp;V_Detailed_Report!P$4)</f>
        <v>0</v>
      </c>
      <c r="Q78" s="157">
        <f>SUMIFS('PQ-Due Dates'!$L:$L,'PQ-Due Dates'!$A:$A,V_Detailed_Report!$C78,'PQ-Due Dates'!$M:$M,"&gt;="&amp;V_Detailed_Report!Q$3,'PQ-Due Dates'!$M:$M,"&lt;="&amp;V_Detailed_Report!Q$4)</f>
        <v>0</v>
      </c>
      <c r="R78" s="157">
        <f>SUMIFS('PQ-Due Dates'!$L:$L,'PQ-Due Dates'!$A:$A,V_Detailed_Report!$C78,'PQ-Due Dates'!$M:$M,"&gt;="&amp;V_Detailed_Report!R$3,'PQ-Due Dates'!$M:$M,"&lt;="&amp;V_Detailed_Report!R$4)</f>
        <v>0</v>
      </c>
      <c r="S78" s="157">
        <f>SUMIFS('PQ-Due Dates'!$L:$L,'PQ-Due Dates'!$A:$A,V_Detailed_Report!$C78,'PQ-Due Dates'!$M:$M,"&gt;="&amp;V_Detailed_Report!S$3,'PQ-Due Dates'!$M:$M,"&lt;="&amp;V_Detailed_Report!S$4)</f>
        <v>0</v>
      </c>
      <c r="T78" s="157">
        <f>SUMIFS('PQ-Due Dates'!$L:$L,'PQ-Due Dates'!$A:$A,V_Detailed_Report!$C78,'PQ-Due Dates'!$M:$M,"&gt;="&amp;V_Detailed_Report!T$3,'PQ-Due Dates'!$M:$M,"&lt;="&amp;V_Detailed_Report!T$4)</f>
        <v>0</v>
      </c>
      <c r="U78" s="157">
        <f t="shared" si="5"/>
        <v>199393.9</v>
      </c>
      <c r="V78" s="157">
        <f t="shared" si="6"/>
        <v>259159.21</v>
      </c>
      <c r="W78" s="157">
        <f t="shared" si="7"/>
        <v>458553.11</v>
      </c>
    </row>
    <row r="79" spans="1:23" x14ac:dyDescent="0.25">
      <c r="A79" s="162" t="s">
        <v>75</v>
      </c>
      <c r="B79" s="162" t="s">
        <v>19</v>
      </c>
      <c r="C79" s="162" t="s">
        <v>222</v>
      </c>
      <c r="D79" s="162" t="str">
        <f>VLOOKUP(C79,'M_LC Summary'!A:F,6,0)</f>
        <v>Jazira</v>
      </c>
      <c r="E79" s="162" t="str">
        <f>VLOOKUP(C79,'M_LC Summary'!A:C,3,0)</f>
        <v>SAUDI HEPCO CO LTD</v>
      </c>
      <c r="F79" s="157">
        <f>VLOOKUP(C79,'M_LC Summary'!A:K,11,0)</f>
        <v>250000</v>
      </c>
      <c r="G79" s="157">
        <f>VLOOKUP(C79,'M_LC Summary'!A:L,12,0)</f>
        <v>0</v>
      </c>
      <c r="H79" s="157">
        <f t="shared" si="4"/>
        <v>250000</v>
      </c>
      <c r="I79" s="157">
        <f>SUMIFS('PQ-Due Dates'!$L:$L,'PQ-Due Dates'!$A:$A,V_Detailed_Report!$C79,'PQ-Due Dates'!$M:$M,"&gt;="&amp;V_Detailed_Report!I$3,'PQ-Due Dates'!$M:$M,"&lt;="&amp;V_Detailed_Report!I$4)</f>
        <v>0</v>
      </c>
      <c r="J79" s="157">
        <f>SUMIFS('PQ-Due Dates'!$L:$L,'PQ-Due Dates'!$A:$A,V_Detailed_Report!$C79,'PQ-Due Dates'!$M:$M,"&gt;="&amp;V_Detailed_Report!J$3,'PQ-Due Dates'!$M:$M,"&lt;="&amp;V_Detailed_Report!J$4)</f>
        <v>0</v>
      </c>
      <c r="K79" s="157">
        <f>SUMIFS('PQ-Due Dates'!$L:$L,'PQ-Due Dates'!$A:$A,V_Detailed_Report!$C79,'PQ-Due Dates'!$M:$M,"&gt;="&amp;V_Detailed_Report!K$3,'PQ-Due Dates'!$M:$M,"&lt;="&amp;V_Detailed_Report!K$4)</f>
        <v>0</v>
      </c>
      <c r="L79" s="157">
        <f>SUMIFS('PQ-Due Dates'!$L:$L,'PQ-Due Dates'!$A:$A,V_Detailed_Report!$C79,'PQ-Due Dates'!$M:$M,"&gt;="&amp;V_Detailed_Report!L$3,'PQ-Due Dates'!$M:$M,"&lt;="&amp;V_Detailed_Report!L$4)</f>
        <v>0</v>
      </c>
      <c r="M79" s="157">
        <f>SUMIFS('PQ-Due Dates'!$L:$L,'PQ-Due Dates'!$A:$A,V_Detailed_Report!$C79,'PQ-Due Dates'!$M:$M,"&gt;="&amp;V_Detailed_Report!M$3,'PQ-Due Dates'!$M:$M,"&lt;="&amp;V_Detailed_Report!M$4)</f>
        <v>0</v>
      </c>
      <c r="N79" s="157">
        <f>SUMIFS('PQ-Due Dates'!$L:$L,'PQ-Due Dates'!$A:$A,V_Detailed_Report!$C79,'PQ-Due Dates'!$M:$M,"&gt;="&amp;V_Detailed_Report!N$3,'PQ-Due Dates'!$M:$M,"&lt;="&amp;V_Detailed_Report!N$4)</f>
        <v>0</v>
      </c>
      <c r="O79" s="157">
        <f>SUMIFS('PQ-Due Dates'!$L:$L,'PQ-Due Dates'!$A:$A,V_Detailed_Report!$C79,'PQ-Due Dates'!$M:$M,"&gt;="&amp;V_Detailed_Report!O$3,'PQ-Due Dates'!$M:$M,"&lt;="&amp;V_Detailed_Report!O$4)</f>
        <v>0</v>
      </c>
      <c r="P79" s="157">
        <f>SUMIFS('PQ-Due Dates'!$L:$L,'PQ-Due Dates'!$A:$A,V_Detailed_Report!$C79,'PQ-Due Dates'!$M:$M,"&gt;="&amp;V_Detailed_Report!P$3,'PQ-Due Dates'!$M:$M,"&lt;="&amp;V_Detailed_Report!P$4)</f>
        <v>0</v>
      </c>
      <c r="Q79" s="157">
        <f>SUMIFS('PQ-Due Dates'!$L:$L,'PQ-Due Dates'!$A:$A,V_Detailed_Report!$C79,'PQ-Due Dates'!$M:$M,"&gt;="&amp;V_Detailed_Report!Q$3,'PQ-Due Dates'!$M:$M,"&lt;="&amp;V_Detailed_Report!Q$4)</f>
        <v>0</v>
      </c>
      <c r="R79" s="157">
        <f>SUMIFS('PQ-Due Dates'!$L:$L,'PQ-Due Dates'!$A:$A,V_Detailed_Report!$C79,'PQ-Due Dates'!$M:$M,"&gt;="&amp;V_Detailed_Report!R$3,'PQ-Due Dates'!$M:$M,"&lt;="&amp;V_Detailed_Report!R$4)</f>
        <v>0</v>
      </c>
      <c r="S79" s="157">
        <f>SUMIFS('PQ-Due Dates'!$L:$L,'PQ-Due Dates'!$A:$A,V_Detailed_Report!$C79,'PQ-Due Dates'!$M:$M,"&gt;="&amp;V_Detailed_Report!S$3,'PQ-Due Dates'!$M:$M,"&lt;="&amp;V_Detailed_Report!S$4)</f>
        <v>0</v>
      </c>
      <c r="T79" s="157">
        <f>SUMIFS('PQ-Due Dates'!$L:$L,'PQ-Due Dates'!$A:$A,V_Detailed_Report!$C79,'PQ-Due Dates'!$M:$M,"&gt;="&amp;V_Detailed_Report!T$3,'PQ-Due Dates'!$M:$M,"&lt;="&amp;V_Detailed_Report!T$4)</f>
        <v>0</v>
      </c>
      <c r="U79" s="157">
        <f t="shared" si="5"/>
        <v>0</v>
      </c>
      <c r="V79" s="157">
        <f t="shared" si="6"/>
        <v>250000</v>
      </c>
      <c r="W79" s="157">
        <f t="shared" si="7"/>
        <v>250000</v>
      </c>
    </row>
    <row r="80" spans="1:23" x14ac:dyDescent="0.25">
      <c r="A80" s="162" t="s">
        <v>75</v>
      </c>
      <c r="B80" s="162" t="s">
        <v>19</v>
      </c>
      <c r="C80" s="162" t="s">
        <v>250</v>
      </c>
      <c r="D80" s="162" t="str">
        <f>VLOOKUP(C80,'M_LC Summary'!A:F,6,0)</f>
        <v>Jazira</v>
      </c>
      <c r="E80" s="162" t="str">
        <f>VLOOKUP(C80,'M_LC Summary'!A:C,3,0)</f>
        <v>Alrashid Trading and Contracting Company</v>
      </c>
      <c r="F80" s="157">
        <f>VLOOKUP(C80,'M_LC Summary'!A:K,11,0)</f>
        <v>16731764</v>
      </c>
      <c r="G80" s="157">
        <f>VLOOKUP(C80,'M_LC Summary'!A:L,12,0)</f>
        <v>5732513.5999999996</v>
      </c>
      <c r="H80" s="157">
        <f t="shared" si="4"/>
        <v>10999250.4</v>
      </c>
      <c r="I80" s="157">
        <f>SUMIFS('PQ-Due Dates'!$L:$L,'PQ-Due Dates'!$A:$A,V_Detailed_Report!$C80,'PQ-Due Dates'!$M:$M,"&gt;="&amp;V_Detailed_Report!I$3,'PQ-Due Dates'!$M:$M,"&lt;="&amp;V_Detailed_Report!I$4)</f>
        <v>0</v>
      </c>
      <c r="J80" s="157">
        <f>SUMIFS('PQ-Due Dates'!$L:$L,'PQ-Due Dates'!$A:$A,V_Detailed_Report!$C80,'PQ-Due Dates'!$M:$M,"&gt;="&amp;V_Detailed_Report!J$3,'PQ-Due Dates'!$M:$M,"&lt;="&amp;V_Detailed_Report!J$4)</f>
        <v>0</v>
      </c>
      <c r="K80" s="157">
        <f>SUMIFS('PQ-Due Dates'!$L:$L,'PQ-Due Dates'!$A:$A,V_Detailed_Report!$C80,'PQ-Due Dates'!$M:$M,"&gt;="&amp;V_Detailed_Report!K$3,'PQ-Due Dates'!$M:$M,"&lt;="&amp;V_Detailed_Report!K$4)</f>
        <v>0</v>
      </c>
      <c r="L80" s="157">
        <f>SUMIFS('PQ-Due Dates'!$L:$L,'PQ-Due Dates'!$A:$A,V_Detailed_Report!$C80,'PQ-Due Dates'!$M:$M,"&gt;="&amp;V_Detailed_Report!L$3,'PQ-Due Dates'!$M:$M,"&lt;="&amp;V_Detailed_Report!L$4)</f>
        <v>0</v>
      </c>
      <c r="M80" s="157">
        <f>SUMIFS('PQ-Due Dates'!$L:$L,'PQ-Due Dates'!$A:$A,V_Detailed_Report!$C80,'PQ-Due Dates'!$M:$M,"&gt;="&amp;V_Detailed_Report!M$3,'PQ-Due Dates'!$M:$M,"&lt;="&amp;V_Detailed_Report!M$4)</f>
        <v>0</v>
      </c>
      <c r="N80" s="157">
        <f>SUMIFS('PQ-Due Dates'!$L:$L,'PQ-Due Dates'!$A:$A,V_Detailed_Report!$C80,'PQ-Due Dates'!$M:$M,"&gt;="&amp;V_Detailed_Report!N$3,'PQ-Due Dates'!$M:$M,"&lt;="&amp;V_Detailed_Report!N$4)</f>
        <v>0</v>
      </c>
      <c r="O80" s="157">
        <f>SUMIFS('PQ-Due Dates'!$L:$L,'PQ-Due Dates'!$A:$A,V_Detailed_Report!$C80,'PQ-Due Dates'!$M:$M,"&gt;="&amp;V_Detailed_Report!O$3,'PQ-Due Dates'!$M:$M,"&lt;="&amp;V_Detailed_Report!O$4)</f>
        <v>0</v>
      </c>
      <c r="P80" s="157">
        <f>SUMIFS('PQ-Due Dates'!$L:$L,'PQ-Due Dates'!$A:$A,V_Detailed_Report!$C80,'PQ-Due Dates'!$M:$M,"&gt;="&amp;V_Detailed_Report!P$3,'PQ-Due Dates'!$M:$M,"&lt;="&amp;V_Detailed_Report!P$4)</f>
        <v>0</v>
      </c>
      <c r="Q80" s="157">
        <f>SUMIFS('PQ-Due Dates'!$L:$L,'PQ-Due Dates'!$A:$A,V_Detailed_Report!$C80,'PQ-Due Dates'!$M:$M,"&gt;="&amp;V_Detailed_Report!Q$3,'PQ-Due Dates'!$M:$M,"&lt;="&amp;V_Detailed_Report!Q$4)</f>
        <v>0</v>
      </c>
      <c r="R80" s="157">
        <f>SUMIFS('PQ-Due Dates'!$L:$L,'PQ-Due Dates'!$A:$A,V_Detailed_Report!$C80,'PQ-Due Dates'!$M:$M,"&gt;="&amp;V_Detailed_Report!R$3,'PQ-Due Dates'!$M:$M,"&lt;="&amp;V_Detailed_Report!R$4)</f>
        <v>0</v>
      </c>
      <c r="S80" s="157">
        <f>SUMIFS('PQ-Due Dates'!$L:$L,'PQ-Due Dates'!$A:$A,V_Detailed_Report!$C80,'PQ-Due Dates'!$M:$M,"&gt;="&amp;V_Detailed_Report!S$3,'PQ-Due Dates'!$M:$M,"&lt;="&amp;V_Detailed_Report!S$4)</f>
        <v>0</v>
      </c>
      <c r="T80" s="157">
        <f>SUMIFS('PQ-Due Dates'!$L:$L,'PQ-Due Dates'!$A:$A,V_Detailed_Report!$C80,'PQ-Due Dates'!$M:$M,"&gt;="&amp;V_Detailed_Report!T$3,'PQ-Due Dates'!$M:$M,"&lt;="&amp;V_Detailed_Report!T$4)</f>
        <v>0</v>
      </c>
      <c r="U80" s="157">
        <f t="shared" si="5"/>
        <v>0</v>
      </c>
      <c r="V80" s="157">
        <f t="shared" si="6"/>
        <v>10999250.4</v>
      </c>
      <c r="W80" s="157">
        <f t="shared" si="7"/>
        <v>10999250.4</v>
      </c>
    </row>
    <row r="81" spans="1:23" x14ac:dyDescent="0.25">
      <c r="A81" s="162" t="s">
        <v>75</v>
      </c>
      <c r="B81" s="162" t="s">
        <v>19</v>
      </c>
      <c r="C81" s="162" t="s">
        <v>293</v>
      </c>
      <c r="D81" s="162" t="str">
        <f>VLOOKUP(C81,'M_LC Summary'!A:F,6,0)</f>
        <v>Jazira</v>
      </c>
      <c r="E81" s="162" t="str">
        <f>VLOOKUP(C81,'M_LC Summary'!A:C,3,0)</f>
        <v>Green Concrete CJSC</v>
      </c>
      <c r="F81" s="157">
        <f>VLOOKUP(C81,'M_LC Summary'!A:K,11,0)</f>
        <v>5802900</v>
      </c>
      <c r="G81" s="157">
        <f>VLOOKUP(C81,'M_LC Summary'!A:L,12,0)</f>
        <v>495832.85</v>
      </c>
      <c r="H81" s="157">
        <f t="shared" si="4"/>
        <v>5307067.1500000004</v>
      </c>
      <c r="I81" s="157">
        <f>SUMIFS('PQ-Due Dates'!$L:$L,'PQ-Due Dates'!$A:$A,V_Detailed_Report!$C81,'PQ-Due Dates'!$M:$M,"&gt;="&amp;V_Detailed_Report!I$3,'PQ-Due Dates'!$M:$M,"&lt;="&amp;V_Detailed_Report!I$4)</f>
        <v>0</v>
      </c>
      <c r="J81" s="157">
        <f>SUMIFS('PQ-Due Dates'!$L:$L,'PQ-Due Dates'!$A:$A,V_Detailed_Report!$C81,'PQ-Due Dates'!$M:$M,"&gt;="&amp;V_Detailed_Report!J$3,'PQ-Due Dates'!$M:$M,"&lt;="&amp;V_Detailed_Report!J$4)</f>
        <v>0</v>
      </c>
      <c r="K81" s="157">
        <f>SUMIFS('PQ-Due Dates'!$L:$L,'PQ-Due Dates'!$A:$A,V_Detailed_Report!$C81,'PQ-Due Dates'!$M:$M,"&gt;="&amp;V_Detailed_Report!K$3,'PQ-Due Dates'!$M:$M,"&lt;="&amp;V_Detailed_Report!K$4)</f>
        <v>0</v>
      </c>
      <c r="L81" s="157">
        <f>SUMIFS('PQ-Due Dates'!$L:$L,'PQ-Due Dates'!$A:$A,V_Detailed_Report!$C81,'PQ-Due Dates'!$M:$M,"&gt;="&amp;V_Detailed_Report!L$3,'PQ-Due Dates'!$M:$M,"&lt;="&amp;V_Detailed_Report!L$4)</f>
        <v>112200.9</v>
      </c>
      <c r="M81" s="157">
        <f>SUMIFS('PQ-Due Dates'!$L:$L,'PQ-Due Dates'!$A:$A,V_Detailed_Report!$C81,'PQ-Due Dates'!$M:$M,"&gt;="&amp;V_Detailed_Report!M$3,'PQ-Due Dates'!$M:$M,"&lt;="&amp;V_Detailed_Report!M$4)</f>
        <v>0</v>
      </c>
      <c r="N81" s="157">
        <f>SUMIFS('PQ-Due Dates'!$L:$L,'PQ-Due Dates'!$A:$A,V_Detailed_Report!$C81,'PQ-Due Dates'!$M:$M,"&gt;="&amp;V_Detailed_Report!N$3,'PQ-Due Dates'!$M:$M,"&lt;="&amp;V_Detailed_Report!N$4)</f>
        <v>0</v>
      </c>
      <c r="O81" s="157">
        <f>SUMIFS('PQ-Due Dates'!$L:$L,'PQ-Due Dates'!$A:$A,V_Detailed_Report!$C81,'PQ-Due Dates'!$M:$M,"&gt;="&amp;V_Detailed_Report!O$3,'PQ-Due Dates'!$M:$M,"&lt;="&amp;V_Detailed_Report!O$4)</f>
        <v>0</v>
      </c>
      <c r="P81" s="157">
        <f>SUMIFS('PQ-Due Dates'!$L:$L,'PQ-Due Dates'!$A:$A,V_Detailed_Report!$C81,'PQ-Due Dates'!$M:$M,"&gt;="&amp;V_Detailed_Report!P$3,'PQ-Due Dates'!$M:$M,"&lt;="&amp;V_Detailed_Report!P$4)</f>
        <v>0</v>
      </c>
      <c r="Q81" s="157">
        <f>SUMIFS('PQ-Due Dates'!$L:$L,'PQ-Due Dates'!$A:$A,V_Detailed_Report!$C81,'PQ-Due Dates'!$M:$M,"&gt;="&amp;V_Detailed_Report!Q$3,'PQ-Due Dates'!$M:$M,"&lt;="&amp;V_Detailed_Report!Q$4)</f>
        <v>0</v>
      </c>
      <c r="R81" s="157">
        <f>SUMIFS('PQ-Due Dates'!$L:$L,'PQ-Due Dates'!$A:$A,V_Detailed_Report!$C81,'PQ-Due Dates'!$M:$M,"&gt;="&amp;V_Detailed_Report!R$3,'PQ-Due Dates'!$M:$M,"&lt;="&amp;V_Detailed_Report!R$4)</f>
        <v>0</v>
      </c>
      <c r="S81" s="157">
        <f>SUMIFS('PQ-Due Dates'!$L:$L,'PQ-Due Dates'!$A:$A,V_Detailed_Report!$C81,'PQ-Due Dates'!$M:$M,"&gt;="&amp;V_Detailed_Report!S$3,'PQ-Due Dates'!$M:$M,"&lt;="&amp;V_Detailed_Report!S$4)</f>
        <v>0</v>
      </c>
      <c r="T81" s="157">
        <f>SUMIFS('PQ-Due Dates'!$L:$L,'PQ-Due Dates'!$A:$A,V_Detailed_Report!$C81,'PQ-Due Dates'!$M:$M,"&gt;="&amp;V_Detailed_Report!T$3,'PQ-Due Dates'!$M:$M,"&lt;="&amp;V_Detailed_Report!T$4)</f>
        <v>0</v>
      </c>
      <c r="U81" s="157">
        <f t="shared" si="5"/>
        <v>112200.9</v>
      </c>
      <c r="V81" s="157">
        <f t="shared" si="6"/>
        <v>5194866.25</v>
      </c>
      <c r="W81" s="157">
        <f t="shared" si="7"/>
        <v>5307067.1500000004</v>
      </c>
    </row>
    <row r="82" spans="1:23" x14ac:dyDescent="0.25">
      <c r="A82" s="162" t="s">
        <v>75</v>
      </c>
      <c r="B82" s="162" t="s">
        <v>19</v>
      </c>
      <c r="C82" s="162" t="s">
        <v>307</v>
      </c>
      <c r="D82" s="162" t="str">
        <f>VLOOKUP(C82,'M_LC Summary'!A:F,6,0)</f>
        <v>Jazira</v>
      </c>
      <c r="E82" s="162" t="str">
        <f>VLOOKUP(C82,'M_LC Summary'!A:C,3,0)</f>
        <v>Alfanar Electrical Systems</v>
      </c>
      <c r="F82" s="157">
        <f>VLOOKUP(C82,'M_LC Summary'!A:K,11,0)</f>
        <v>1500000</v>
      </c>
      <c r="G82" s="157">
        <f>VLOOKUP(C82,'M_LC Summary'!A:L,12,0)</f>
        <v>1478254.88</v>
      </c>
      <c r="H82" s="157">
        <f t="shared" si="4"/>
        <v>21745.120000000112</v>
      </c>
      <c r="I82" s="157">
        <f>SUMIFS('PQ-Due Dates'!$L:$L,'PQ-Due Dates'!$A:$A,V_Detailed_Report!$C82,'PQ-Due Dates'!$M:$M,"&gt;="&amp;V_Detailed_Report!I$3,'PQ-Due Dates'!$M:$M,"&lt;="&amp;V_Detailed_Report!I$4)</f>
        <v>0</v>
      </c>
      <c r="J82" s="157">
        <f>SUMIFS('PQ-Due Dates'!$L:$L,'PQ-Due Dates'!$A:$A,V_Detailed_Report!$C82,'PQ-Due Dates'!$M:$M,"&gt;="&amp;V_Detailed_Report!J$3,'PQ-Due Dates'!$M:$M,"&lt;="&amp;V_Detailed_Report!J$4)</f>
        <v>0</v>
      </c>
      <c r="K82" s="157">
        <f>SUMIFS('PQ-Due Dates'!$L:$L,'PQ-Due Dates'!$A:$A,V_Detailed_Report!$C82,'PQ-Due Dates'!$M:$M,"&gt;="&amp;V_Detailed_Report!K$3,'PQ-Due Dates'!$M:$M,"&lt;="&amp;V_Detailed_Report!K$4)</f>
        <v>0</v>
      </c>
      <c r="L82" s="157">
        <f>SUMIFS('PQ-Due Dates'!$L:$L,'PQ-Due Dates'!$A:$A,V_Detailed_Report!$C82,'PQ-Due Dates'!$M:$M,"&gt;="&amp;V_Detailed_Report!L$3,'PQ-Due Dates'!$M:$M,"&lt;="&amp;V_Detailed_Report!L$4)</f>
        <v>0</v>
      </c>
      <c r="M82" s="157">
        <f>SUMIFS('PQ-Due Dates'!$L:$L,'PQ-Due Dates'!$A:$A,V_Detailed_Report!$C82,'PQ-Due Dates'!$M:$M,"&gt;="&amp;V_Detailed_Report!M$3,'PQ-Due Dates'!$M:$M,"&lt;="&amp;V_Detailed_Report!M$4)</f>
        <v>0</v>
      </c>
      <c r="N82" s="157">
        <f>SUMIFS('PQ-Due Dates'!$L:$L,'PQ-Due Dates'!$A:$A,V_Detailed_Report!$C82,'PQ-Due Dates'!$M:$M,"&gt;="&amp;V_Detailed_Report!N$3,'PQ-Due Dates'!$M:$M,"&lt;="&amp;V_Detailed_Report!N$4)</f>
        <v>0</v>
      </c>
      <c r="O82" s="157">
        <f>SUMIFS('PQ-Due Dates'!$L:$L,'PQ-Due Dates'!$A:$A,V_Detailed_Report!$C82,'PQ-Due Dates'!$M:$M,"&gt;="&amp;V_Detailed_Report!O$3,'PQ-Due Dates'!$M:$M,"&lt;="&amp;V_Detailed_Report!O$4)</f>
        <v>0</v>
      </c>
      <c r="P82" s="157">
        <f>SUMIFS('PQ-Due Dates'!$L:$L,'PQ-Due Dates'!$A:$A,V_Detailed_Report!$C82,'PQ-Due Dates'!$M:$M,"&gt;="&amp;V_Detailed_Report!P$3,'PQ-Due Dates'!$M:$M,"&lt;="&amp;V_Detailed_Report!P$4)</f>
        <v>0</v>
      </c>
      <c r="Q82" s="157">
        <f>SUMIFS('PQ-Due Dates'!$L:$L,'PQ-Due Dates'!$A:$A,V_Detailed_Report!$C82,'PQ-Due Dates'!$M:$M,"&gt;="&amp;V_Detailed_Report!Q$3,'PQ-Due Dates'!$M:$M,"&lt;="&amp;V_Detailed_Report!Q$4)</f>
        <v>0</v>
      </c>
      <c r="R82" s="157">
        <f>SUMIFS('PQ-Due Dates'!$L:$L,'PQ-Due Dates'!$A:$A,V_Detailed_Report!$C82,'PQ-Due Dates'!$M:$M,"&gt;="&amp;V_Detailed_Report!R$3,'PQ-Due Dates'!$M:$M,"&lt;="&amp;V_Detailed_Report!R$4)</f>
        <v>0</v>
      </c>
      <c r="S82" s="157">
        <f>SUMIFS('PQ-Due Dates'!$L:$L,'PQ-Due Dates'!$A:$A,V_Detailed_Report!$C82,'PQ-Due Dates'!$M:$M,"&gt;="&amp;V_Detailed_Report!S$3,'PQ-Due Dates'!$M:$M,"&lt;="&amp;V_Detailed_Report!S$4)</f>
        <v>0</v>
      </c>
      <c r="T82" s="157">
        <f>SUMIFS('PQ-Due Dates'!$L:$L,'PQ-Due Dates'!$A:$A,V_Detailed_Report!$C82,'PQ-Due Dates'!$M:$M,"&gt;="&amp;V_Detailed_Report!T$3,'PQ-Due Dates'!$M:$M,"&lt;="&amp;V_Detailed_Report!T$4)</f>
        <v>0</v>
      </c>
      <c r="U82" s="157">
        <f t="shared" si="5"/>
        <v>0</v>
      </c>
      <c r="V82" s="157">
        <f t="shared" si="6"/>
        <v>21745.120000000112</v>
      </c>
      <c r="W82" s="157">
        <f t="shared" si="7"/>
        <v>21745.120000000112</v>
      </c>
    </row>
    <row r="83" spans="1:23" x14ac:dyDescent="0.25">
      <c r="A83" s="162" t="s">
        <v>75</v>
      </c>
      <c r="B83" s="162" t="s">
        <v>19</v>
      </c>
      <c r="C83" s="162" t="s">
        <v>308</v>
      </c>
      <c r="D83" s="162" t="str">
        <f>VLOOKUP(C83,'M_LC Summary'!A:F,6,0)</f>
        <v>Jazira</v>
      </c>
      <c r="E83" s="162" t="str">
        <f>VLOOKUP(C83,'M_LC Summary'!A:C,3,0)</f>
        <v>Isam Kabanni And Partners For Construction And Maintenance Co Ltd</v>
      </c>
      <c r="F83" s="157">
        <f>VLOOKUP(C83,'M_LC Summary'!A:K,11,0)</f>
        <v>739450</v>
      </c>
      <c r="G83" s="157">
        <f>VLOOKUP(C83,'M_LC Summary'!A:L,12,0)</f>
        <v>0</v>
      </c>
      <c r="H83" s="157">
        <f t="shared" si="4"/>
        <v>739450</v>
      </c>
      <c r="I83" s="157">
        <f>SUMIFS('PQ-Due Dates'!$L:$L,'PQ-Due Dates'!$A:$A,V_Detailed_Report!$C83,'PQ-Due Dates'!$M:$M,"&gt;="&amp;V_Detailed_Report!I$3,'PQ-Due Dates'!$M:$M,"&lt;="&amp;V_Detailed_Report!I$4)</f>
        <v>0</v>
      </c>
      <c r="J83" s="157">
        <f>SUMIFS('PQ-Due Dates'!$L:$L,'PQ-Due Dates'!$A:$A,V_Detailed_Report!$C83,'PQ-Due Dates'!$M:$M,"&gt;="&amp;V_Detailed_Report!J$3,'PQ-Due Dates'!$M:$M,"&lt;="&amp;V_Detailed_Report!J$4)</f>
        <v>0</v>
      </c>
      <c r="K83" s="157">
        <f>SUMIFS('PQ-Due Dates'!$L:$L,'PQ-Due Dates'!$A:$A,V_Detailed_Report!$C83,'PQ-Due Dates'!$M:$M,"&gt;="&amp;V_Detailed_Report!K$3,'PQ-Due Dates'!$M:$M,"&lt;="&amp;V_Detailed_Report!K$4)</f>
        <v>0</v>
      </c>
      <c r="L83" s="157">
        <f>SUMIFS('PQ-Due Dates'!$L:$L,'PQ-Due Dates'!$A:$A,V_Detailed_Report!$C83,'PQ-Due Dates'!$M:$M,"&gt;="&amp;V_Detailed_Report!L$3,'PQ-Due Dates'!$M:$M,"&lt;="&amp;V_Detailed_Report!L$4)</f>
        <v>0</v>
      </c>
      <c r="M83" s="157">
        <f>SUMIFS('PQ-Due Dates'!$L:$L,'PQ-Due Dates'!$A:$A,V_Detailed_Report!$C83,'PQ-Due Dates'!$M:$M,"&gt;="&amp;V_Detailed_Report!M$3,'PQ-Due Dates'!$M:$M,"&lt;="&amp;V_Detailed_Report!M$4)</f>
        <v>0</v>
      </c>
      <c r="N83" s="157">
        <f>SUMIFS('PQ-Due Dates'!$L:$L,'PQ-Due Dates'!$A:$A,V_Detailed_Report!$C83,'PQ-Due Dates'!$M:$M,"&gt;="&amp;V_Detailed_Report!N$3,'PQ-Due Dates'!$M:$M,"&lt;="&amp;V_Detailed_Report!N$4)</f>
        <v>0</v>
      </c>
      <c r="O83" s="157">
        <f>SUMIFS('PQ-Due Dates'!$L:$L,'PQ-Due Dates'!$A:$A,V_Detailed_Report!$C83,'PQ-Due Dates'!$M:$M,"&gt;="&amp;V_Detailed_Report!O$3,'PQ-Due Dates'!$M:$M,"&lt;="&amp;V_Detailed_Report!O$4)</f>
        <v>0</v>
      </c>
      <c r="P83" s="157">
        <f>SUMIFS('PQ-Due Dates'!$L:$L,'PQ-Due Dates'!$A:$A,V_Detailed_Report!$C83,'PQ-Due Dates'!$M:$M,"&gt;="&amp;V_Detailed_Report!P$3,'PQ-Due Dates'!$M:$M,"&lt;="&amp;V_Detailed_Report!P$4)</f>
        <v>0</v>
      </c>
      <c r="Q83" s="157">
        <f>SUMIFS('PQ-Due Dates'!$L:$L,'PQ-Due Dates'!$A:$A,V_Detailed_Report!$C83,'PQ-Due Dates'!$M:$M,"&gt;="&amp;V_Detailed_Report!Q$3,'PQ-Due Dates'!$M:$M,"&lt;="&amp;V_Detailed_Report!Q$4)</f>
        <v>0</v>
      </c>
      <c r="R83" s="157">
        <f>SUMIFS('PQ-Due Dates'!$L:$L,'PQ-Due Dates'!$A:$A,V_Detailed_Report!$C83,'PQ-Due Dates'!$M:$M,"&gt;="&amp;V_Detailed_Report!R$3,'PQ-Due Dates'!$M:$M,"&lt;="&amp;V_Detailed_Report!R$4)</f>
        <v>0</v>
      </c>
      <c r="S83" s="157">
        <f>SUMIFS('PQ-Due Dates'!$L:$L,'PQ-Due Dates'!$A:$A,V_Detailed_Report!$C83,'PQ-Due Dates'!$M:$M,"&gt;="&amp;V_Detailed_Report!S$3,'PQ-Due Dates'!$M:$M,"&lt;="&amp;V_Detailed_Report!S$4)</f>
        <v>0</v>
      </c>
      <c r="T83" s="157">
        <f>SUMIFS('PQ-Due Dates'!$L:$L,'PQ-Due Dates'!$A:$A,V_Detailed_Report!$C83,'PQ-Due Dates'!$M:$M,"&gt;="&amp;V_Detailed_Report!T$3,'PQ-Due Dates'!$M:$M,"&lt;="&amp;V_Detailed_Report!T$4)</f>
        <v>0</v>
      </c>
      <c r="U83" s="157">
        <f t="shared" si="5"/>
        <v>0</v>
      </c>
      <c r="V83" s="157">
        <f t="shared" si="6"/>
        <v>739450</v>
      </c>
      <c r="W83" s="157">
        <f t="shared" si="7"/>
        <v>739450</v>
      </c>
    </row>
    <row r="84" spans="1:23" x14ac:dyDescent="0.25">
      <c r="A84" s="162" t="s">
        <v>75</v>
      </c>
      <c r="B84" s="162" t="s">
        <v>19</v>
      </c>
      <c r="C84" s="162" t="s">
        <v>309</v>
      </c>
      <c r="D84" s="162" t="str">
        <f>VLOOKUP(C84,'M_LC Summary'!A:F,6,0)</f>
        <v>Jazira</v>
      </c>
      <c r="E84" s="162" t="str">
        <f>VLOOKUP(C84,'M_LC Summary'!A:C,3,0)</f>
        <v>Mohammed Masoud Al Khaldi Est</v>
      </c>
      <c r="F84" s="157">
        <f>VLOOKUP(C84,'M_LC Summary'!A:K,11,0)</f>
        <v>424699.6</v>
      </c>
      <c r="G84" s="157">
        <f>VLOOKUP(C84,'M_LC Summary'!A:L,12,0)</f>
        <v>212349.8</v>
      </c>
      <c r="H84" s="157">
        <f t="shared" ref="H84:H117" si="8">F84-G84</f>
        <v>212349.8</v>
      </c>
      <c r="I84" s="157">
        <f>SUMIFS('PQ-Due Dates'!$L:$L,'PQ-Due Dates'!$A:$A,V_Detailed_Report!$C84,'PQ-Due Dates'!$M:$M,"&gt;="&amp;V_Detailed_Report!I$3,'PQ-Due Dates'!$M:$M,"&lt;="&amp;V_Detailed_Report!I$4)</f>
        <v>0</v>
      </c>
      <c r="J84" s="157">
        <f>SUMIFS('PQ-Due Dates'!$L:$L,'PQ-Due Dates'!$A:$A,V_Detailed_Report!$C84,'PQ-Due Dates'!$M:$M,"&gt;="&amp;V_Detailed_Report!J$3,'PQ-Due Dates'!$M:$M,"&lt;="&amp;V_Detailed_Report!J$4)</f>
        <v>0</v>
      </c>
      <c r="K84" s="157">
        <f>SUMIFS('PQ-Due Dates'!$L:$L,'PQ-Due Dates'!$A:$A,V_Detailed_Report!$C84,'PQ-Due Dates'!$M:$M,"&gt;="&amp;V_Detailed_Report!K$3,'PQ-Due Dates'!$M:$M,"&lt;="&amp;V_Detailed_Report!K$4)</f>
        <v>0</v>
      </c>
      <c r="L84" s="157">
        <f>SUMIFS('PQ-Due Dates'!$L:$L,'PQ-Due Dates'!$A:$A,V_Detailed_Report!$C84,'PQ-Due Dates'!$M:$M,"&gt;="&amp;V_Detailed_Report!L$3,'PQ-Due Dates'!$M:$M,"&lt;="&amp;V_Detailed_Report!L$4)</f>
        <v>0</v>
      </c>
      <c r="M84" s="157">
        <f>SUMIFS('PQ-Due Dates'!$L:$L,'PQ-Due Dates'!$A:$A,V_Detailed_Report!$C84,'PQ-Due Dates'!$M:$M,"&gt;="&amp;V_Detailed_Report!M$3,'PQ-Due Dates'!$M:$M,"&lt;="&amp;V_Detailed_Report!M$4)</f>
        <v>0</v>
      </c>
      <c r="N84" s="157">
        <f>SUMIFS('PQ-Due Dates'!$L:$L,'PQ-Due Dates'!$A:$A,V_Detailed_Report!$C84,'PQ-Due Dates'!$M:$M,"&gt;="&amp;V_Detailed_Report!N$3,'PQ-Due Dates'!$M:$M,"&lt;="&amp;V_Detailed_Report!N$4)</f>
        <v>0</v>
      </c>
      <c r="O84" s="157">
        <f>SUMIFS('PQ-Due Dates'!$L:$L,'PQ-Due Dates'!$A:$A,V_Detailed_Report!$C84,'PQ-Due Dates'!$M:$M,"&gt;="&amp;V_Detailed_Report!O$3,'PQ-Due Dates'!$M:$M,"&lt;="&amp;V_Detailed_Report!O$4)</f>
        <v>0</v>
      </c>
      <c r="P84" s="157">
        <f>SUMIFS('PQ-Due Dates'!$L:$L,'PQ-Due Dates'!$A:$A,V_Detailed_Report!$C84,'PQ-Due Dates'!$M:$M,"&gt;="&amp;V_Detailed_Report!P$3,'PQ-Due Dates'!$M:$M,"&lt;="&amp;V_Detailed_Report!P$4)</f>
        <v>0</v>
      </c>
      <c r="Q84" s="157">
        <f>SUMIFS('PQ-Due Dates'!$L:$L,'PQ-Due Dates'!$A:$A,V_Detailed_Report!$C84,'PQ-Due Dates'!$M:$M,"&gt;="&amp;V_Detailed_Report!Q$3,'PQ-Due Dates'!$M:$M,"&lt;="&amp;V_Detailed_Report!Q$4)</f>
        <v>0</v>
      </c>
      <c r="R84" s="157">
        <f>SUMIFS('PQ-Due Dates'!$L:$L,'PQ-Due Dates'!$A:$A,V_Detailed_Report!$C84,'PQ-Due Dates'!$M:$M,"&gt;="&amp;V_Detailed_Report!R$3,'PQ-Due Dates'!$M:$M,"&lt;="&amp;V_Detailed_Report!R$4)</f>
        <v>0</v>
      </c>
      <c r="S84" s="157">
        <f>SUMIFS('PQ-Due Dates'!$L:$L,'PQ-Due Dates'!$A:$A,V_Detailed_Report!$C84,'PQ-Due Dates'!$M:$M,"&gt;="&amp;V_Detailed_Report!S$3,'PQ-Due Dates'!$M:$M,"&lt;="&amp;V_Detailed_Report!S$4)</f>
        <v>0</v>
      </c>
      <c r="T84" s="157">
        <f>SUMIFS('PQ-Due Dates'!$L:$L,'PQ-Due Dates'!$A:$A,V_Detailed_Report!$C84,'PQ-Due Dates'!$M:$M,"&gt;="&amp;V_Detailed_Report!T$3,'PQ-Due Dates'!$M:$M,"&lt;="&amp;V_Detailed_Report!T$4)</f>
        <v>0</v>
      </c>
      <c r="U84" s="157">
        <f t="shared" ref="U84:U117" si="9">SUM(I84:T84)</f>
        <v>0</v>
      </c>
      <c r="V84" s="157">
        <f t="shared" ref="V84:V117" si="10">H84-U84</f>
        <v>212349.8</v>
      </c>
      <c r="W84" s="157">
        <f t="shared" ref="W84:W117" si="11">U84+V84</f>
        <v>212349.8</v>
      </c>
    </row>
    <row r="85" spans="1:23" x14ac:dyDescent="0.25">
      <c r="A85" s="162" t="s">
        <v>75</v>
      </c>
      <c r="B85" s="162" t="s">
        <v>19</v>
      </c>
      <c r="C85" s="162" t="s">
        <v>466</v>
      </c>
      <c r="D85" s="162" t="str">
        <f>VLOOKUP(C85,'M_LC Summary'!A:F,6,0)</f>
        <v>Jazira</v>
      </c>
      <c r="E85" s="162" t="str">
        <f>VLOOKUP(C85,'M_LC Summary'!A:C,3,0)</f>
        <v>Al-Tawi READY -MIX FACTORY</v>
      </c>
      <c r="F85" s="157">
        <f>VLOOKUP(C85,'M_LC Summary'!A:K,11,0)</f>
        <v>600000</v>
      </c>
      <c r="G85" s="157">
        <f>VLOOKUP(C85,'M_LC Summary'!A:L,12,0)</f>
        <v>0</v>
      </c>
      <c r="H85" s="157">
        <f t="shared" si="8"/>
        <v>600000</v>
      </c>
      <c r="I85" s="157">
        <f>SUMIFS('PQ-Due Dates'!$L:$L,'PQ-Due Dates'!$A:$A,V_Detailed_Report!$C85,'PQ-Due Dates'!$M:$M,"&gt;="&amp;V_Detailed_Report!I$3,'PQ-Due Dates'!$M:$M,"&lt;="&amp;V_Detailed_Report!I$4)</f>
        <v>0</v>
      </c>
      <c r="J85" s="157">
        <f>SUMIFS('PQ-Due Dates'!$L:$L,'PQ-Due Dates'!$A:$A,V_Detailed_Report!$C85,'PQ-Due Dates'!$M:$M,"&gt;="&amp;V_Detailed_Report!J$3,'PQ-Due Dates'!$M:$M,"&lt;="&amp;V_Detailed_Report!J$4)</f>
        <v>0</v>
      </c>
      <c r="K85" s="157">
        <f>SUMIFS('PQ-Due Dates'!$L:$L,'PQ-Due Dates'!$A:$A,V_Detailed_Report!$C85,'PQ-Due Dates'!$M:$M,"&gt;="&amp;V_Detailed_Report!K$3,'PQ-Due Dates'!$M:$M,"&lt;="&amp;V_Detailed_Report!K$4)</f>
        <v>0</v>
      </c>
      <c r="L85" s="157">
        <f>SUMIFS('PQ-Due Dates'!$L:$L,'PQ-Due Dates'!$A:$A,V_Detailed_Report!$C85,'PQ-Due Dates'!$M:$M,"&gt;="&amp;V_Detailed_Report!L$3,'PQ-Due Dates'!$M:$M,"&lt;="&amp;V_Detailed_Report!L$4)</f>
        <v>0</v>
      </c>
      <c r="M85" s="157">
        <f>SUMIFS('PQ-Due Dates'!$L:$L,'PQ-Due Dates'!$A:$A,V_Detailed_Report!$C85,'PQ-Due Dates'!$M:$M,"&gt;="&amp;V_Detailed_Report!M$3,'PQ-Due Dates'!$M:$M,"&lt;="&amp;V_Detailed_Report!M$4)</f>
        <v>0</v>
      </c>
      <c r="N85" s="157">
        <f>SUMIFS('PQ-Due Dates'!$L:$L,'PQ-Due Dates'!$A:$A,V_Detailed_Report!$C85,'PQ-Due Dates'!$M:$M,"&gt;="&amp;V_Detailed_Report!N$3,'PQ-Due Dates'!$M:$M,"&lt;="&amp;V_Detailed_Report!N$4)</f>
        <v>0</v>
      </c>
      <c r="O85" s="157">
        <f>SUMIFS('PQ-Due Dates'!$L:$L,'PQ-Due Dates'!$A:$A,V_Detailed_Report!$C85,'PQ-Due Dates'!$M:$M,"&gt;="&amp;V_Detailed_Report!O$3,'PQ-Due Dates'!$M:$M,"&lt;="&amp;V_Detailed_Report!O$4)</f>
        <v>0</v>
      </c>
      <c r="P85" s="157">
        <f>SUMIFS('PQ-Due Dates'!$L:$L,'PQ-Due Dates'!$A:$A,V_Detailed_Report!$C85,'PQ-Due Dates'!$M:$M,"&gt;="&amp;V_Detailed_Report!P$3,'PQ-Due Dates'!$M:$M,"&lt;="&amp;V_Detailed_Report!P$4)</f>
        <v>0</v>
      </c>
      <c r="Q85" s="157">
        <f>SUMIFS('PQ-Due Dates'!$L:$L,'PQ-Due Dates'!$A:$A,V_Detailed_Report!$C85,'PQ-Due Dates'!$M:$M,"&gt;="&amp;V_Detailed_Report!Q$3,'PQ-Due Dates'!$M:$M,"&lt;="&amp;V_Detailed_Report!Q$4)</f>
        <v>0</v>
      </c>
      <c r="R85" s="157">
        <f>SUMIFS('PQ-Due Dates'!$L:$L,'PQ-Due Dates'!$A:$A,V_Detailed_Report!$C85,'PQ-Due Dates'!$M:$M,"&gt;="&amp;V_Detailed_Report!R$3,'PQ-Due Dates'!$M:$M,"&lt;="&amp;V_Detailed_Report!R$4)</f>
        <v>0</v>
      </c>
      <c r="S85" s="157">
        <f>SUMIFS('PQ-Due Dates'!$L:$L,'PQ-Due Dates'!$A:$A,V_Detailed_Report!$C85,'PQ-Due Dates'!$M:$M,"&gt;="&amp;V_Detailed_Report!S$3,'PQ-Due Dates'!$M:$M,"&lt;="&amp;V_Detailed_Report!S$4)</f>
        <v>0</v>
      </c>
      <c r="T85" s="157">
        <f>SUMIFS('PQ-Due Dates'!$L:$L,'PQ-Due Dates'!$A:$A,V_Detailed_Report!$C85,'PQ-Due Dates'!$M:$M,"&gt;="&amp;V_Detailed_Report!T$3,'PQ-Due Dates'!$M:$M,"&lt;="&amp;V_Detailed_Report!T$4)</f>
        <v>0</v>
      </c>
      <c r="U85" s="157">
        <f t="shared" si="9"/>
        <v>0</v>
      </c>
      <c r="V85" s="157">
        <f t="shared" si="10"/>
        <v>600000</v>
      </c>
      <c r="W85" s="157">
        <f t="shared" si="11"/>
        <v>600000</v>
      </c>
    </row>
    <row r="86" spans="1:23" ht="15.75" thickBot="1" x14ac:dyDescent="0.3">
      <c r="A86" s="171" t="s">
        <v>75</v>
      </c>
      <c r="B86" s="171" t="s">
        <v>19</v>
      </c>
      <c r="C86" s="171" t="s">
        <v>548</v>
      </c>
      <c r="D86" s="171" t="str">
        <f>VLOOKUP(C86,'M_LC Summary'!A:F,6,0)</f>
        <v>Jazira</v>
      </c>
      <c r="E86" s="171" t="str">
        <f>VLOOKUP(C86,'M_LC Summary'!A:C,3,0)</f>
        <v>Saraya Al Andalus for Construction company</v>
      </c>
      <c r="F86" s="158">
        <f>VLOOKUP(C86,'M_LC Summary'!A:K,11,0)</f>
        <v>5000000</v>
      </c>
      <c r="G86" s="158">
        <f>VLOOKUP(C86,'M_LC Summary'!A:L,12,0)</f>
        <v>0</v>
      </c>
      <c r="H86" s="158">
        <f t="shared" si="8"/>
        <v>5000000</v>
      </c>
      <c r="I86" s="158">
        <f>SUMIFS('PQ-Due Dates'!$L:$L,'PQ-Due Dates'!$A:$A,V_Detailed_Report!$C86,'PQ-Due Dates'!$M:$M,"&gt;="&amp;V_Detailed_Report!I$3,'PQ-Due Dates'!$M:$M,"&lt;="&amp;V_Detailed_Report!I$4)</f>
        <v>0</v>
      </c>
      <c r="J86" s="158">
        <f>SUMIFS('PQ-Due Dates'!$L:$L,'PQ-Due Dates'!$A:$A,V_Detailed_Report!$C86,'PQ-Due Dates'!$M:$M,"&gt;="&amp;V_Detailed_Report!J$3,'PQ-Due Dates'!$M:$M,"&lt;="&amp;V_Detailed_Report!J$4)</f>
        <v>0</v>
      </c>
      <c r="K86" s="158">
        <f>SUMIFS('PQ-Due Dates'!$L:$L,'PQ-Due Dates'!$A:$A,V_Detailed_Report!$C86,'PQ-Due Dates'!$M:$M,"&gt;="&amp;V_Detailed_Report!K$3,'PQ-Due Dates'!$M:$M,"&lt;="&amp;V_Detailed_Report!K$4)</f>
        <v>0</v>
      </c>
      <c r="L86" s="158">
        <f>SUMIFS('PQ-Due Dates'!$L:$L,'PQ-Due Dates'!$A:$A,V_Detailed_Report!$C86,'PQ-Due Dates'!$M:$M,"&gt;="&amp;V_Detailed_Report!L$3,'PQ-Due Dates'!$M:$M,"&lt;="&amp;V_Detailed_Report!L$4)</f>
        <v>0</v>
      </c>
      <c r="M86" s="158">
        <f>SUMIFS('PQ-Due Dates'!$L:$L,'PQ-Due Dates'!$A:$A,V_Detailed_Report!$C86,'PQ-Due Dates'!$M:$M,"&gt;="&amp;V_Detailed_Report!M$3,'PQ-Due Dates'!$M:$M,"&lt;="&amp;V_Detailed_Report!M$4)</f>
        <v>0</v>
      </c>
      <c r="N86" s="158">
        <f>SUMIFS('PQ-Due Dates'!$L:$L,'PQ-Due Dates'!$A:$A,V_Detailed_Report!$C86,'PQ-Due Dates'!$M:$M,"&gt;="&amp;V_Detailed_Report!N$3,'PQ-Due Dates'!$M:$M,"&lt;="&amp;V_Detailed_Report!N$4)</f>
        <v>0</v>
      </c>
      <c r="O86" s="158">
        <f>SUMIFS('PQ-Due Dates'!$L:$L,'PQ-Due Dates'!$A:$A,V_Detailed_Report!$C86,'PQ-Due Dates'!$M:$M,"&gt;="&amp;V_Detailed_Report!O$3,'PQ-Due Dates'!$M:$M,"&lt;="&amp;V_Detailed_Report!O$4)</f>
        <v>0</v>
      </c>
      <c r="P86" s="158">
        <f>SUMIFS('PQ-Due Dates'!$L:$L,'PQ-Due Dates'!$A:$A,V_Detailed_Report!$C86,'PQ-Due Dates'!$M:$M,"&gt;="&amp;V_Detailed_Report!P$3,'PQ-Due Dates'!$M:$M,"&lt;="&amp;V_Detailed_Report!P$4)</f>
        <v>0</v>
      </c>
      <c r="Q86" s="158">
        <f>SUMIFS('PQ-Due Dates'!$L:$L,'PQ-Due Dates'!$A:$A,V_Detailed_Report!$C86,'PQ-Due Dates'!$M:$M,"&gt;="&amp;V_Detailed_Report!Q$3,'PQ-Due Dates'!$M:$M,"&lt;="&amp;V_Detailed_Report!Q$4)</f>
        <v>0</v>
      </c>
      <c r="R86" s="158">
        <f>SUMIFS('PQ-Due Dates'!$L:$L,'PQ-Due Dates'!$A:$A,V_Detailed_Report!$C86,'PQ-Due Dates'!$M:$M,"&gt;="&amp;V_Detailed_Report!R$3,'PQ-Due Dates'!$M:$M,"&lt;="&amp;V_Detailed_Report!R$4)</f>
        <v>0</v>
      </c>
      <c r="S86" s="158">
        <f>SUMIFS('PQ-Due Dates'!$L:$L,'PQ-Due Dates'!$A:$A,V_Detailed_Report!$C86,'PQ-Due Dates'!$M:$M,"&gt;="&amp;V_Detailed_Report!S$3,'PQ-Due Dates'!$M:$M,"&lt;="&amp;V_Detailed_Report!S$4)</f>
        <v>0</v>
      </c>
      <c r="T86" s="158">
        <f>SUMIFS('PQ-Due Dates'!$L:$L,'PQ-Due Dates'!$A:$A,V_Detailed_Report!$C86,'PQ-Due Dates'!$M:$M,"&gt;="&amp;V_Detailed_Report!T$3,'PQ-Due Dates'!$M:$M,"&lt;="&amp;V_Detailed_Report!T$4)</f>
        <v>0</v>
      </c>
      <c r="U86" s="158">
        <f t="shared" si="9"/>
        <v>0</v>
      </c>
      <c r="V86" s="158">
        <f t="shared" si="10"/>
        <v>5000000</v>
      </c>
      <c r="W86" s="158">
        <f t="shared" si="11"/>
        <v>5000000</v>
      </c>
    </row>
    <row r="87" spans="1:23" ht="15.75" thickBot="1" x14ac:dyDescent="0.3">
      <c r="A87" s="61"/>
      <c r="B87" s="60"/>
      <c r="C87" s="68" t="s">
        <v>75</v>
      </c>
      <c r="D87" s="68" t="s">
        <v>19</v>
      </c>
      <c r="E87" s="60" t="s">
        <v>93</v>
      </c>
      <c r="F87" s="64">
        <f>SUMIFS(F:F,$A:$A,$C$87,$B:$B,$87:$87 $D:$D)</f>
        <v>57345407.640000001</v>
      </c>
      <c r="G87" s="64">
        <f>SUMIFS(G:G,$A:$A,$C$87,$B:$B,$87:$87 $D:$D)</f>
        <v>13312982.010000002</v>
      </c>
      <c r="H87" s="64">
        <f>SUMIFS(H:H,$A:$A,$C$87,$B:$B,$87:$87 $D:$D)</f>
        <v>44032425.629999988</v>
      </c>
      <c r="I87" s="64">
        <f>SUMIFS(I:I,$A:$A,$C$87,$B:$B,$87:$87 $D:$D)</f>
        <v>0</v>
      </c>
      <c r="J87" s="64">
        <f>SUMIFS(J:J,$A:$A,$C$87,$B:$B,$87:$87 $D:$D)</f>
        <v>0</v>
      </c>
      <c r="K87" s="64">
        <f>SUMIFS(K:K,$A:$A,$C$87,$B:$B,$87:$87 $D:$D)</f>
        <v>199393.9</v>
      </c>
      <c r="L87" s="64">
        <f>SUMIFS(L:L,$A:$A,$C$87,$B:$B,$87:$87 $D:$D)</f>
        <v>112200.9</v>
      </c>
      <c r="M87" s="64">
        <f>SUMIFS(M:M,$A:$A,$C$87,$B:$B,$87:$87 $D:$D)</f>
        <v>0</v>
      </c>
      <c r="N87" s="64">
        <f>SUMIFS(N:N,$A:$A,$C$87,$B:$B,$87:$87 $D:$D)</f>
        <v>0</v>
      </c>
      <c r="O87" s="64">
        <f>SUMIFS(O:O,$A:$A,$C$87,$B:$B,$87:$87 $D:$D)</f>
        <v>0</v>
      </c>
      <c r="P87" s="64">
        <f>SUMIFS(P:P,$A:$A,$C$87,$B:$B,$87:$87 $D:$D)</f>
        <v>0</v>
      </c>
      <c r="Q87" s="64">
        <f>SUMIFS(Q:Q,$A:$A,$C$87,$B:$B,$87:$87 $D:$D)</f>
        <v>0</v>
      </c>
      <c r="R87" s="64">
        <f>SUMIFS(R:R,$A:$A,$C$87,$B:$B,$87:$87 $D:$D)</f>
        <v>0</v>
      </c>
      <c r="S87" s="64">
        <f>SUMIFS(S:S,$A:$A,$C$87,$B:$B,$87:$87 $D:$D)</f>
        <v>0</v>
      </c>
      <c r="T87" s="64">
        <f>SUMIFS(T:T,$A:$A,$C$87,$B:$B,$87:$87 $D:$D)</f>
        <v>0</v>
      </c>
      <c r="U87" s="64">
        <f>SUMIFS(U:U,$A:$A,$C$87,$B:$B,$87:$87 $D:$D)</f>
        <v>311594.8</v>
      </c>
      <c r="V87" s="64">
        <f>SUMIFS(V:V,$A:$A,$C$87,$B:$B,$87:$87 $D:$D)</f>
        <v>43720830.829999991</v>
      </c>
      <c r="W87" s="65">
        <f>SUMIFS(W:W,$A:$A,$C$87,$B:$B,$87:$87 $D:$D)</f>
        <v>44032425.629999988</v>
      </c>
    </row>
    <row r="88" spans="1:23" x14ac:dyDescent="0.25">
      <c r="A88" s="173"/>
      <c r="B88" s="173"/>
      <c r="C88" s="173"/>
      <c r="D88" s="173"/>
      <c r="E88" s="173"/>
      <c r="F88" s="159"/>
      <c r="G88" s="159"/>
      <c r="H88" s="159"/>
      <c r="I88" s="159"/>
      <c r="J88" s="159"/>
      <c r="K88" s="159"/>
      <c r="L88" s="159"/>
      <c r="M88" s="159"/>
      <c r="N88" s="159"/>
      <c r="O88" s="159"/>
      <c r="P88" s="159"/>
      <c r="Q88" s="159"/>
      <c r="R88" s="159"/>
      <c r="S88" s="159"/>
      <c r="T88" s="159"/>
      <c r="U88" s="159"/>
      <c r="V88" s="159"/>
      <c r="W88" s="159"/>
    </row>
    <row r="89" spans="1:23" x14ac:dyDescent="0.25">
      <c r="A89" s="162" t="s">
        <v>152</v>
      </c>
      <c r="B89" s="162" t="s">
        <v>19</v>
      </c>
      <c r="C89" s="162" t="s">
        <v>172</v>
      </c>
      <c r="D89" s="162" t="str">
        <f>VLOOKUP(C89,'M_LC Summary'!A:F,6,0)</f>
        <v>SAB</v>
      </c>
      <c r="E89" s="162" t="str">
        <f>VLOOKUP(C89,'M_LC Summary'!A:C,3,0)</f>
        <v>Rawadf International Co.</v>
      </c>
      <c r="F89" s="157">
        <f>VLOOKUP(C89,'M_LC Summary'!A:K,11,0)</f>
        <v>1000000</v>
      </c>
      <c r="G89" s="157">
        <f>VLOOKUP(C89,'M_LC Summary'!A:L,12,0)</f>
        <v>732234.90999999992</v>
      </c>
      <c r="H89" s="157">
        <f t="shared" si="8"/>
        <v>267765.09000000008</v>
      </c>
      <c r="I89" s="157">
        <f>SUMIFS('PQ-Due Dates'!$L:$L,'PQ-Due Dates'!$A:$A,V_Detailed_Report!$C89,'PQ-Due Dates'!$M:$M,"&gt;="&amp;V_Detailed_Report!I$3,'PQ-Due Dates'!$M:$M,"&lt;="&amp;V_Detailed_Report!I$4)</f>
        <v>0</v>
      </c>
      <c r="J89" s="157">
        <f>SUMIFS('PQ-Due Dates'!$L:$L,'PQ-Due Dates'!$A:$A,V_Detailed_Report!$C89,'PQ-Due Dates'!$M:$M,"&gt;="&amp;V_Detailed_Report!J$3,'PQ-Due Dates'!$M:$M,"&lt;="&amp;V_Detailed_Report!J$4)</f>
        <v>0</v>
      </c>
      <c r="K89" s="157">
        <f>SUMIFS('PQ-Due Dates'!$L:$L,'PQ-Due Dates'!$A:$A,V_Detailed_Report!$C89,'PQ-Due Dates'!$M:$M,"&gt;="&amp;V_Detailed_Report!K$3,'PQ-Due Dates'!$M:$M,"&lt;="&amp;V_Detailed_Report!K$4)</f>
        <v>0</v>
      </c>
      <c r="L89" s="157">
        <f>SUMIFS('PQ-Due Dates'!$L:$L,'PQ-Due Dates'!$A:$A,V_Detailed_Report!$C89,'PQ-Due Dates'!$M:$M,"&gt;="&amp;V_Detailed_Report!L$3,'PQ-Due Dates'!$M:$M,"&lt;="&amp;V_Detailed_Report!L$4)</f>
        <v>0</v>
      </c>
      <c r="M89" s="157">
        <f>SUMIFS('PQ-Due Dates'!$L:$L,'PQ-Due Dates'!$A:$A,V_Detailed_Report!$C89,'PQ-Due Dates'!$M:$M,"&gt;="&amp;V_Detailed_Report!M$3,'PQ-Due Dates'!$M:$M,"&lt;="&amp;V_Detailed_Report!M$4)</f>
        <v>0</v>
      </c>
      <c r="N89" s="157">
        <f>SUMIFS('PQ-Due Dates'!$L:$L,'PQ-Due Dates'!$A:$A,V_Detailed_Report!$C89,'PQ-Due Dates'!$M:$M,"&gt;="&amp;V_Detailed_Report!N$3,'PQ-Due Dates'!$M:$M,"&lt;="&amp;V_Detailed_Report!N$4)</f>
        <v>0</v>
      </c>
      <c r="O89" s="157">
        <f>SUMIFS('PQ-Due Dates'!$L:$L,'PQ-Due Dates'!$A:$A,V_Detailed_Report!$C89,'PQ-Due Dates'!$M:$M,"&gt;="&amp;V_Detailed_Report!O$3,'PQ-Due Dates'!$M:$M,"&lt;="&amp;V_Detailed_Report!O$4)</f>
        <v>0</v>
      </c>
      <c r="P89" s="157">
        <f>SUMIFS('PQ-Due Dates'!$L:$L,'PQ-Due Dates'!$A:$A,V_Detailed_Report!$C89,'PQ-Due Dates'!$M:$M,"&gt;="&amp;V_Detailed_Report!P$3,'PQ-Due Dates'!$M:$M,"&lt;="&amp;V_Detailed_Report!P$4)</f>
        <v>0</v>
      </c>
      <c r="Q89" s="157">
        <f>SUMIFS('PQ-Due Dates'!$L:$L,'PQ-Due Dates'!$A:$A,V_Detailed_Report!$C89,'PQ-Due Dates'!$M:$M,"&gt;="&amp;V_Detailed_Report!Q$3,'PQ-Due Dates'!$M:$M,"&lt;="&amp;V_Detailed_Report!Q$4)</f>
        <v>0</v>
      </c>
      <c r="R89" s="157">
        <f>SUMIFS('PQ-Due Dates'!$L:$L,'PQ-Due Dates'!$A:$A,V_Detailed_Report!$C89,'PQ-Due Dates'!$M:$M,"&gt;="&amp;V_Detailed_Report!R$3,'PQ-Due Dates'!$M:$M,"&lt;="&amp;V_Detailed_Report!R$4)</f>
        <v>0</v>
      </c>
      <c r="S89" s="157">
        <f>SUMIFS('PQ-Due Dates'!$L:$L,'PQ-Due Dates'!$A:$A,V_Detailed_Report!$C89,'PQ-Due Dates'!$M:$M,"&gt;="&amp;V_Detailed_Report!S$3,'PQ-Due Dates'!$M:$M,"&lt;="&amp;V_Detailed_Report!S$4)</f>
        <v>0</v>
      </c>
      <c r="T89" s="157">
        <f>SUMIFS('PQ-Due Dates'!$L:$L,'PQ-Due Dates'!$A:$A,V_Detailed_Report!$C89,'PQ-Due Dates'!$M:$M,"&gt;="&amp;V_Detailed_Report!T$3,'PQ-Due Dates'!$M:$M,"&lt;="&amp;V_Detailed_Report!T$4)</f>
        <v>0</v>
      </c>
      <c r="U89" s="157">
        <f t="shared" si="9"/>
        <v>0</v>
      </c>
      <c r="V89" s="157">
        <f t="shared" si="10"/>
        <v>267765.09000000008</v>
      </c>
      <c r="W89" s="157">
        <f t="shared" si="11"/>
        <v>267765.09000000008</v>
      </c>
    </row>
    <row r="90" spans="1:23" x14ac:dyDescent="0.25">
      <c r="A90" s="162" t="s">
        <v>152</v>
      </c>
      <c r="B90" s="162" t="s">
        <v>19</v>
      </c>
      <c r="C90" s="162" t="s">
        <v>194</v>
      </c>
      <c r="D90" s="162" t="str">
        <f>VLOOKUP(C90,'M_LC Summary'!A:F,6,0)</f>
        <v>SAB</v>
      </c>
      <c r="E90" s="162" t="str">
        <f>VLOOKUP(C90,'M_LC Summary'!A:C,3,0)</f>
        <v>BROOQ ALAMAAN TRAD COMPANY</v>
      </c>
      <c r="F90" s="157">
        <f>VLOOKUP(C90,'M_LC Summary'!A:K,11,0)</f>
        <v>300000.01</v>
      </c>
      <c r="G90" s="157">
        <f>VLOOKUP(C90,'M_LC Summary'!A:L,12,0)</f>
        <v>137792.10999999999</v>
      </c>
      <c r="H90" s="157">
        <f t="shared" si="8"/>
        <v>162207.90000000002</v>
      </c>
      <c r="I90" s="157">
        <f>SUMIFS('PQ-Due Dates'!$L:$L,'PQ-Due Dates'!$A:$A,V_Detailed_Report!$C90,'PQ-Due Dates'!$M:$M,"&gt;="&amp;V_Detailed_Report!I$3,'PQ-Due Dates'!$M:$M,"&lt;="&amp;V_Detailed_Report!I$4)</f>
        <v>0</v>
      </c>
      <c r="J90" s="157">
        <f>SUMIFS('PQ-Due Dates'!$L:$L,'PQ-Due Dates'!$A:$A,V_Detailed_Report!$C90,'PQ-Due Dates'!$M:$M,"&gt;="&amp;V_Detailed_Report!J$3,'PQ-Due Dates'!$M:$M,"&lt;="&amp;V_Detailed_Report!J$4)</f>
        <v>0</v>
      </c>
      <c r="K90" s="157">
        <f>SUMIFS('PQ-Due Dates'!$L:$L,'PQ-Due Dates'!$A:$A,V_Detailed_Report!$C90,'PQ-Due Dates'!$M:$M,"&gt;="&amp;V_Detailed_Report!K$3,'PQ-Due Dates'!$M:$M,"&lt;="&amp;V_Detailed_Report!K$4)</f>
        <v>0</v>
      </c>
      <c r="L90" s="157">
        <f>SUMIFS('PQ-Due Dates'!$L:$L,'PQ-Due Dates'!$A:$A,V_Detailed_Report!$C90,'PQ-Due Dates'!$M:$M,"&gt;="&amp;V_Detailed_Report!L$3,'PQ-Due Dates'!$M:$M,"&lt;="&amp;V_Detailed_Report!L$4)</f>
        <v>0</v>
      </c>
      <c r="M90" s="157">
        <f>SUMIFS('PQ-Due Dates'!$L:$L,'PQ-Due Dates'!$A:$A,V_Detailed_Report!$C90,'PQ-Due Dates'!$M:$M,"&gt;="&amp;V_Detailed_Report!M$3,'PQ-Due Dates'!$M:$M,"&lt;="&amp;V_Detailed_Report!M$4)</f>
        <v>0</v>
      </c>
      <c r="N90" s="157">
        <f>SUMIFS('PQ-Due Dates'!$L:$L,'PQ-Due Dates'!$A:$A,V_Detailed_Report!$C90,'PQ-Due Dates'!$M:$M,"&gt;="&amp;V_Detailed_Report!N$3,'PQ-Due Dates'!$M:$M,"&lt;="&amp;V_Detailed_Report!N$4)</f>
        <v>0</v>
      </c>
      <c r="O90" s="157">
        <f>SUMIFS('PQ-Due Dates'!$L:$L,'PQ-Due Dates'!$A:$A,V_Detailed_Report!$C90,'PQ-Due Dates'!$M:$M,"&gt;="&amp;V_Detailed_Report!O$3,'PQ-Due Dates'!$M:$M,"&lt;="&amp;V_Detailed_Report!O$4)</f>
        <v>0</v>
      </c>
      <c r="P90" s="157">
        <f>SUMIFS('PQ-Due Dates'!$L:$L,'PQ-Due Dates'!$A:$A,V_Detailed_Report!$C90,'PQ-Due Dates'!$M:$M,"&gt;="&amp;V_Detailed_Report!P$3,'PQ-Due Dates'!$M:$M,"&lt;="&amp;V_Detailed_Report!P$4)</f>
        <v>0</v>
      </c>
      <c r="Q90" s="157">
        <f>SUMIFS('PQ-Due Dates'!$L:$L,'PQ-Due Dates'!$A:$A,V_Detailed_Report!$C90,'PQ-Due Dates'!$M:$M,"&gt;="&amp;V_Detailed_Report!Q$3,'PQ-Due Dates'!$M:$M,"&lt;="&amp;V_Detailed_Report!Q$4)</f>
        <v>0</v>
      </c>
      <c r="R90" s="157">
        <f>SUMIFS('PQ-Due Dates'!$L:$L,'PQ-Due Dates'!$A:$A,V_Detailed_Report!$C90,'PQ-Due Dates'!$M:$M,"&gt;="&amp;V_Detailed_Report!R$3,'PQ-Due Dates'!$M:$M,"&lt;="&amp;V_Detailed_Report!R$4)</f>
        <v>0</v>
      </c>
      <c r="S90" s="157">
        <f>SUMIFS('PQ-Due Dates'!$L:$L,'PQ-Due Dates'!$A:$A,V_Detailed_Report!$C90,'PQ-Due Dates'!$M:$M,"&gt;="&amp;V_Detailed_Report!S$3,'PQ-Due Dates'!$M:$M,"&lt;="&amp;V_Detailed_Report!S$4)</f>
        <v>0</v>
      </c>
      <c r="T90" s="157">
        <f>SUMIFS('PQ-Due Dates'!$L:$L,'PQ-Due Dates'!$A:$A,V_Detailed_Report!$C90,'PQ-Due Dates'!$M:$M,"&gt;="&amp;V_Detailed_Report!T$3,'PQ-Due Dates'!$M:$M,"&lt;="&amp;V_Detailed_Report!T$4)</f>
        <v>0</v>
      </c>
      <c r="U90" s="157">
        <f t="shared" si="9"/>
        <v>0</v>
      </c>
      <c r="V90" s="157">
        <f t="shared" si="10"/>
        <v>162207.90000000002</v>
      </c>
      <c r="W90" s="157">
        <f t="shared" si="11"/>
        <v>162207.90000000002</v>
      </c>
    </row>
    <row r="91" spans="1:23" x14ac:dyDescent="0.25">
      <c r="A91" s="162" t="s">
        <v>152</v>
      </c>
      <c r="B91" s="162" t="s">
        <v>19</v>
      </c>
      <c r="C91" s="162" t="s">
        <v>228</v>
      </c>
      <c r="D91" s="162" t="str">
        <f>VLOOKUP(C91,'M_LC Summary'!A:F,6,0)</f>
        <v>SAB</v>
      </c>
      <c r="E91" s="162" t="str">
        <f>VLOOKUP(C91,'M_LC Summary'!A:C,3,0)</f>
        <v>BAHRA ADVANCED CABLE MANUFACTURE CO. LTD.</v>
      </c>
      <c r="F91" s="157">
        <f>VLOOKUP(C91,'M_LC Summary'!A:K,11,0)</f>
        <v>1500000</v>
      </c>
      <c r="G91" s="157">
        <f>VLOOKUP(C91,'M_LC Summary'!A:L,12,0)</f>
        <v>1071489.43</v>
      </c>
      <c r="H91" s="157">
        <f t="shared" si="8"/>
        <v>428510.57000000007</v>
      </c>
      <c r="I91" s="157">
        <f>SUMIFS('PQ-Due Dates'!$L:$L,'PQ-Due Dates'!$A:$A,V_Detailed_Report!$C91,'PQ-Due Dates'!$M:$M,"&gt;="&amp;V_Detailed_Report!I$3,'PQ-Due Dates'!$M:$M,"&lt;="&amp;V_Detailed_Report!I$4)</f>
        <v>0</v>
      </c>
      <c r="J91" s="157">
        <f>SUMIFS('PQ-Due Dates'!$L:$L,'PQ-Due Dates'!$A:$A,V_Detailed_Report!$C91,'PQ-Due Dates'!$M:$M,"&gt;="&amp;V_Detailed_Report!J$3,'PQ-Due Dates'!$M:$M,"&lt;="&amp;V_Detailed_Report!J$4)</f>
        <v>0</v>
      </c>
      <c r="K91" s="157">
        <f>SUMIFS('PQ-Due Dates'!$L:$L,'PQ-Due Dates'!$A:$A,V_Detailed_Report!$C91,'PQ-Due Dates'!$M:$M,"&gt;="&amp;V_Detailed_Report!K$3,'PQ-Due Dates'!$M:$M,"&lt;="&amp;V_Detailed_Report!K$4)</f>
        <v>0</v>
      </c>
      <c r="L91" s="157">
        <f>SUMIFS('PQ-Due Dates'!$L:$L,'PQ-Due Dates'!$A:$A,V_Detailed_Report!$C91,'PQ-Due Dates'!$M:$M,"&gt;="&amp;V_Detailed_Report!L$3,'PQ-Due Dates'!$M:$M,"&lt;="&amp;V_Detailed_Report!L$4)</f>
        <v>427806.8</v>
      </c>
      <c r="M91" s="157">
        <f>SUMIFS('PQ-Due Dates'!$L:$L,'PQ-Due Dates'!$A:$A,V_Detailed_Report!$C91,'PQ-Due Dates'!$M:$M,"&gt;="&amp;V_Detailed_Report!M$3,'PQ-Due Dates'!$M:$M,"&lt;="&amp;V_Detailed_Report!M$4)</f>
        <v>0</v>
      </c>
      <c r="N91" s="157">
        <f>SUMIFS('PQ-Due Dates'!$L:$L,'PQ-Due Dates'!$A:$A,V_Detailed_Report!$C91,'PQ-Due Dates'!$M:$M,"&gt;="&amp;V_Detailed_Report!N$3,'PQ-Due Dates'!$M:$M,"&lt;="&amp;V_Detailed_Report!N$4)</f>
        <v>0</v>
      </c>
      <c r="O91" s="157">
        <f>SUMIFS('PQ-Due Dates'!$L:$L,'PQ-Due Dates'!$A:$A,V_Detailed_Report!$C91,'PQ-Due Dates'!$M:$M,"&gt;="&amp;V_Detailed_Report!O$3,'PQ-Due Dates'!$M:$M,"&lt;="&amp;V_Detailed_Report!O$4)</f>
        <v>0</v>
      </c>
      <c r="P91" s="157">
        <f>SUMIFS('PQ-Due Dates'!$L:$L,'PQ-Due Dates'!$A:$A,V_Detailed_Report!$C91,'PQ-Due Dates'!$M:$M,"&gt;="&amp;V_Detailed_Report!P$3,'PQ-Due Dates'!$M:$M,"&lt;="&amp;V_Detailed_Report!P$4)</f>
        <v>0</v>
      </c>
      <c r="Q91" s="157">
        <f>SUMIFS('PQ-Due Dates'!$L:$L,'PQ-Due Dates'!$A:$A,V_Detailed_Report!$C91,'PQ-Due Dates'!$M:$M,"&gt;="&amp;V_Detailed_Report!Q$3,'PQ-Due Dates'!$M:$M,"&lt;="&amp;V_Detailed_Report!Q$4)</f>
        <v>0</v>
      </c>
      <c r="R91" s="157">
        <f>SUMIFS('PQ-Due Dates'!$L:$L,'PQ-Due Dates'!$A:$A,V_Detailed_Report!$C91,'PQ-Due Dates'!$M:$M,"&gt;="&amp;V_Detailed_Report!R$3,'PQ-Due Dates'!$M:$M,"&lt;="&amp;V_Detailed_Report!R$4)</f>
        <v>0</v>
      </c>
      <c r="S91" s="157">
        <f>SUMIFS('PQ-Due Dates'!$L:$L,'PQ-Due Dates'!$A:$A,V_Detailed_Report!$C91,'PQ-Due Dates'!$M:$M,"&gt;="&amp;V_Detailed_Report!S$3,'PQ-Due Dates'!$M:$M,"&lt;="&amp;V_Detailed_Report!S$4)</f>
        <v>0</v>
      </c>
      <c r="T91" s="157">
        <f>SUMIFS('PQ-Due Dates'!$L:$L,'PQ-Due Dates'!$A:$A,V_Detailed_Report!$C91,'PQ-Due Dates'!$M:$M,"&gt;="&amp;V_Detailed_Report!T$3,'PQ-Due Dates'!$M:$M,"&lt;="&amp;V_Detailed_Report!T$4)</f>
        <v>0</v>
      </c>
      <c r="U91" s="157">
        <f t="shared" si="9"/>
        <v>427806.8</v>
      </c>
      <c r="V91" s="157">
        <f t="shared" si="10"/>
        <v>703.77000000007683</v>
      </c>
      <c r="W91" s="157">
        <f t="shared" si="11"/>
        <v>428510.57000000007</v>
      </c>
    </row>
    <row r="92" spans="1:23" x14ac:dyDescent="0.25">
      <c r="A92" s="162" t="s">
        <v>152</v>
      </c>
      <c r="B92" s="162" t="s">
        <v>19</v>
      </c>
      <c r="C92" s="162" t="s">
        <v>229</v>
      </c>
      <c r="D92" s="162" t="str">
        <f>VLOOKUP(C92,'M_LC Summary'!A:F,6,0)</f>
        <v>SAB</v>
      </c>
      <c r="E92" s="162" t="str">
        <f>VLOOKUP(C92,'M_LC Summary'!A:C,3,0)</f>
        <v>SITE TECHNOLOGY SAUDI ARABIA CO</v>
      </c>
      <c r="F92" s="157">
        <f>VLOOKUP(C92,'M_LC Summary'!A:K,11,0)</f>
        <v>300000</v>
      </c>
      <c r="G92" s="157">
        <f>VLOOKUP(C92,'M_LC Summary'!A:L,12,0)</f>
        <v>0</v>
      </c>
      <c r="H92" s="157">
        <f t="shared" si="8"/>
        <v>300000</v>
      </c>
      <c r="I92" s="157">
        <f>SUMIFS('PQ-Due Dates'!$L:$L,'PQ-Due Dates'!$A:$A,V_Detailed_Report!$C92,'PQ-Due Dates'!$M:$M,"&gt;="&amp;V_Detailed_Report!I$3,'PQ-Due Dates'!$M:$M,"&lt;="&amp;V_Detailed_Report!I$4)</f>
        <v>0</v>
      </c>
      <c r="J92" s="157">
        <f>SUMIFS('PQ-Due Dates'!$L:$L,'PQ-Due Dates'!$A:$A,V_Detailed_Report!$C92,'PQ-Due Dates'!$M:$M,"&gt;="&amp;V_Detailed_Report!J$3,'PQ-Due Dates'!$M:$M,"&lt;="&amp;V_Detailed_Report!J$4)</f>
        <v>0</v>
      </c>
      <c r="K92" s="157">
        <f>SUMIFS('PQ-Due Dates'!$L:$L,'PQ-Due Dates'!$A:$A,V_Detailed_Report!$C92,'PQ-Due Dates'!$M:$M,"&gt;="&amp;V_Detailed_Report!K$3,'PQ-Due Dates'!$M:$M,"&lt;="&amp;V_Detailed_Report!K$4)</f>
        <v>0</v>
      </c>
      <c r="L92" s="157">
        <f>SUMIFS('PQ-Due Dates'!$L:$L,'PQ-Due Dates'!$A:$A,V_Detailed_Report!$C92,'PQ-Due Dates'!$M:$M,"&gt;="&amp;V_Detailed_Report!L$3,'PQ-Due Dates'!$M:$M,"&lt;="&amp;V_Detailed_Report!L$4)</f>
        <v>0</v>
      </c>
      <c r="M92" s="157">
        <f>SUMIFS('PQ-Due Dates'!$L:$L,'PQ-Due Dates'!$A:$A,V_Detailed_Report!$C92,'PQ-Due Dates'!$M:$M,"&gt;="&amp;V_Detailed_Report!M$3,'PQ-Due Dates'!$M:$M,"&lt;="&amp;V_Detailed_Report!M$4)</f>
        <v>0</v>
      </c>
      <c r="N92" s="157">
        <f>SUMIFS('PQ-Due Dates'!$L:$L,'PQ-Due Dates'!$A:$A,V_Detailed_Report!$C92,'PQ-Due Dates'!$M:$M,"&gt;="&amp;V_Detailed_Report!N$3,'PQ-Due Dates'!$M:$M,"&lt;="&amp;V_Detailed_Report!N$4)</f>
        <v>0</v>
      </c>
      <c r="O92" s="157">
        <f>SUMIFS('PQ-Due Dates'!$L:$L,'PQ-Due Dates'!$A:$A,V_Detailed_Report!$C92,'PQ-Due Dates'!$M:$M,"&gt;="&amp;V_Detailed_Report!O$3,'PQ-Due Dates'!$M:$M,"&lt;="&amp;V_Detailed_Report!O$4)</f>
        <v>0</v>
      </c>
      <c r="P92" s="157">
        <f>SUMIFS('PQ-Due Dates'!$L:$L,'PQ-Due Dates'!$A:$A,V_Detailed_Report!$C92,'PQ-Due Dates'!$M:$M,"&gt;="&amp;V_Detailed_Report!P$3,'PQ-Due Dates'!$M:$M,"&lt;="&amp;V_Detailed_Report!P$4)</f>
        <v>0</v>
      </c>
      <c r="Q92" s="157">
        <f>SUMIFS('PQ-Due Dates'!$L:$L,'PQ-Due Dates'!$A:$A,V_Detailed_Report!$C92,'PQ-Due Dates'!$M:$M,"&gt;="&amp;V_Detailed_Report!Q$3,'PQ-Due Dates'!$M:$M,"&lt;="&amp;V_Detailed_Report!Q$4)</f>
        <v>0</v>
      </c>
      <c r="R92" s="157">
        <f>SUMIFS('PQ-Due Dates'!$L:$L,'PQ-Due Dates'!$A:$A,V_Detailed_Report!$C92,'PQ-Due Dates'!$M:$M,"&gt;="&amp;V_Detailed_Report!R$3,'PQ-Due Dates'!$M:$M,"&lt;="&amp;V_Detailed_Report!R$4)</f>
        <v>0</v>
      </c>
      <c r="S92" s="157">
        <f>SUMIFS('PQ-Due Dates'!$L:$L,'PQ-Due Dates'!$A:$A,V_Detailed_Report!$C92,'PQ-Due Dates'!$M:$M,"&gt;="&amp;V_Detailed_Report!S$3,'PQ-Due Dates'!$M:$M,"&lt;="&amp;V_Detailed_Report!S$4)</f>
        <v>0</v>
      </c>
      <c r="T92" s="157">
        <f>SUMIFS('PQ-Due Dates'!$L:$L,'PQ-Due Dates'!$A:$A,V_Detailed_Report!$C92,'PQ-Due Dates'!$M:$M,"&gt;="&amp;V_Detailed_Report!T$3,'PQ-Due Dates'!$M:$M,"&lt;="&amp;V_Detailed_Report!T$4)</f>
        <v>0</v>
      </c>
      <c r="U92" s="157">
        <f t="shared" si="9"/>
        <v>0</v>
      </c>
      <c r="V92" s="157">
        <f t="shared" si="10"/>
        <v>300000</v>
      </c>
      <c r="W92" s="157">
        <f t="shared" si="11"/>
        <v>300000</v>
      </c>
    </row>
    <row r="93" spans="1:23" x14ac:dyDescent="0.25">
      <c r="A93" s="162" t="s">
        <v>152</v>
      </c>
      <c r="B93" s="162" t="s">
        <v>19</v>
      </c>
      <c r="C93" s="162" t="s">
        <v>241</v>
      </c>
      <c r="D93" s="162" t="str">
        <f>VLOOKUP(C93,'M_LC Summary'!A:F,6,0)</f>
        <v>SAB</v>
      </c>
      <c r="E93" s="162" t="str">
        <f>VLOOKUP(C93,'M_LC Summary'!A:C,3,0)</f>
        <v>BROOQ ALAMAAN TRAD COMPANY</v>
      </c>
      <c r="F93" s="157">
        <f>VLOOKUP(C93,'M_LC Summary'!A:K,11,0)</f>
        <v>400000</v>
      </c>
      <c r="G93" s="157">
        <f>VLOOKUP(C93,'M_LC Summary'!A:L,12,0)</f>
        <v>347240.48</v>
      </c>
      <c r="H93" s="157">
        <f t="shared" si="8"/>
        <v>52759.520000000019</v>
      </c>
      <c r="I93" s="157">
        <f>SUMIFS('PQ-Due Dates'!$L:$L,'PQ-Due Dates'!$A:$A,V_Detailed_Report!$C93,'PQ-Due Dates'!$M:$M,"&gt;="&amp;V_Detailed_Report!I$3,'PQ-Due Dates'!$M:$M,"&lt;="&amp;V_Detailed_Report!I$4)</f>
        <v>0</v>
      </c>
      <c r="J93" s="157">
        <f>SUMIFS('PQ-Due Dates'!$L:$L,'PQ-Due Dates'!$A:$A,V_Detailed_Report!$C93,'PQ-Due Dates'!$M:$M,"&gt;="&amp;V_Detailed_Report!J$3,'PQ-Due Dates'!$M:$M,"&lt;="&amp;V_Detailed_Report!J$4)</f>
        <v>0</v>
      </c>
      <c r="K93" s="157">
        <f>SUMIFS('PQ-Due Dates'!$L:$L,'PQ-Due Dates'!$A:$A,V_Detailed_Report!$C93,'PQ-Due Dates'!$M:$M,"&gt;="&amp;V_Detailed_Report!K$3,'PQ-Due Dates'!$M:$M,"&lt;="&amp;V_Detailed_Report!K$4)</f>
        <v>0</v>
      </c>
      <c r="L93" s="157">
        <f>SUMIFS('PQ-Due Dates'!$L:$L,'PQ-Due Dates'!$A:$A,V_Detailed_Report!$C93,'PQ-Due Dates'!$M:$M,"&gt;="&amp;V_Detailed_Report!L$3,'PQ-Due Dates'!$M:$M,"&lt;="&amp;V_Detailed_Report!L$4)</f>
        <v>0</v>
      </c>
      <c r="M93" s="157">
        <f>SUMIFS('PQ-Due Dates'!$L:$L,'PQ-Due Dates'!$A:$A,V_Detailed_Report!$C93,'PQ-Due Dates'!$M:$M,"&gt;="&amp;V_Detailed_Report!M$3,'PQ-Due Dates'!$M:$M,"&lt;="&amp;V_Detailed_Report!M$4)</f>
        <v>0</v>
      </c>
      <c r="N93" s="157">
        <f>SUMIFS('PQ-Due Dates'!$L:$L,'PQ-Due Dates'!$A:$A,V_Detailed_Report!$C93,'PQ-Due Dates'!$M:$M,"&gt;="&amp;V_Detailed_Report!N$3,'PQ-Due Dates'!$M:$M,"&lt;="&amp;V_Detailed_Report!N$4)</f>
        <v>0</v>
      </c>
      <c r="O93" s="157">
        <f>SUMIFS('PQ-Due Dates'!$L:$L,'PQ-Due Dates'!$A:$A,V_Detailed_Report!$C93,'PQ-Due Dates'!$M:$M,"&gt;="&amp;V_Detailed_Report!O$3,'PQ-Due Dates'!$M:$M,"&lt;="&amp;V_Detailed_Report!O$4)</f>
        <v>52759.519999999997</v>
      </c>
      <c r="P93" s="157">
        <f>SUMIFS('PQ-Due Dates'!$L:$L,'PQ-Due Dates'!$A:$A,V_Detailed_Report!$C93,'PQ-Due Dates'!$M:$M,"&gt;="&amp;V_Detailed_Report!P$3,'PQ-Due Dates'!$M:$M,"&lt;="&amp;V_Detailed_Report!P$4)</f>
        <v>0</v>
      </c>
      <c r="Q93" s="157">
        <f>SUMIFS('PQ-Due Dates'!$L:$L,'PQ-Due Dates'!$A:$A,V_Detailed_Report!$C93,'PQ-Due Dates'!$M:$M,"&gt;="&amp;V_Detailed_Report!Q$3,'PQ-Due Dates'!$M:$M,"&lt;="&amp;V_Detailed_Report!Q$4)</f>
        <v>0</v>
      </c>
      <c r="R93" s="157">
        <f>SUMIFS('PQ-Due Dates'!$L:$L,'PQ-Due Dates'!$A:$A,V_Detailed_Report!$C93,'PQ-Due Dates'!$M:$M,"&gt;="&amp;V_Detailed_Report!R$3,'PQ-Due Dates'!$M:$M,"&lt;="&amp;V_Detailed_Report!R$4)</f>
        <v>0</v>
      </c>
      <c r="S93" s="157">
        <f>SUMIFS('PQ-Due Dates'!$L:$L,'PQ-Due Dates'!$A:$A,V_Detailed_Report!$C93,'PQ-Due Dates'!$M:$M,"&gt;="&amp;V_Detailed_Report!S$3,'PQ-Due Dates'!$M:$M,"&lt;="&amp;V_Detailed_Report!S$4)</f>
        <v>0</v>
      </c>
      <c r="T93" s="157">
        <f>SUMIFS('PQ-Due Dates'!$L:$L,'PQ-Due Dates'!$A:$A,V_Detailed_Report!$C93,'PQ-Due Dates'!$M:$M,"&gt;="&amp;V_Detailed_Report!T$3,'PQ-Due Dates'!$M:$M,"&lt;="&amp;V_Detailed_Report!T$4)</f>
        <v>0</v>
      </c>
      <c r="U93" s="157">
        <f t="shared" si="9"/>
        <v>52759.519999999997</v>
      </c>
      <c r="V93" s="157">
        <f t="shared" si="10"/>
        <v>0</v>
      </c>
      <c r="W93" s="157">
        <f t="shared" si="11"/>
        <v>52759.519999999997</v>
      </c>
    </row>
    <row r="94" spans="1:23" x14ac:dyDescent="0.25">
      <c r="A94" s="162" t="s">
        <v>152</v>
      </c>
      <c r="B94" s="162" t="s">
        <v>19</v>
      </c>
      <c r="C94" s="162" t="s">
        <v>247</v>
      </c>
      <c r="D94" s="162" t="str">
        <f>VLOOKUP(C94,'M_LC Summary'!A:F,6,0)</f>
        <v>SAB</v>
      </c>
      <c r="E94" s="162" t="str">
        <f>VLOOKUP(C94,'M_LC Summary'!A:C,3,0)</f>
        <v>Building System Intelligent Est.</v>
      </c>
      <c r="F94" s="157">
        <f>VLOOKUP(C94,'M_LC Summary'!A:K,11,0)</f>
        <v>558949</v>
      </c>
      <c r="G94" s="157">
        <f>VLOOKUP(C94,'M_LC Summary'!A:L,12,0)</f>
        <v>300966.99</v>
      </c>
      <c r="H94" s="157">
        <f t="shared" si="8"/>
        <v>257982.01</v>
      </c>
      <c r="I94" s="157">
        <f>SUMIFS('PQ-Due Dates'!$L:$L,'PQ-Due Dates'!$A:$A,V_Detailed_Report!$C94,'PQ-Due Dates'!$M:$M,"&gt;="&amp;V_Detailed_Report!I$3,'PQ-Due Dates'!$M:$M,"&lt;="&amp;V_Detailed_Report!I$4)</f>
        <v>0</v>
      </c>
      <c r="J94" s="157">
        <f>SUMIFS('PQ-Due Dates'!$L:$L,'PQ-Due Dates'!$A:$A,V_Detailed_Report!$C94,'PQ-Due Dates'!$M:$M,"&gt;="&amp;V_Detailed_Report!J$3,'PQ-Due Dates'!$M:$M,"&lt;="&amp;V_Detailed_Report!J$4)</f>
        <v>106205.87</v>
      </c>
      <c r="K94" s="157">
        <f>SUMIFS('PQ-Due Dates'!$L:$L,'PQ-Due Dates'!$A:$A,V_Detailed_Report!$C94,'PQ-Due Dates'!$M:$M,"&gt;="&amp;V_Detailed_Report!K$3,'PQ-Due Dates'!$M:$M,"&lt;="&amp;V_Detailed_Report!K$4)</f>
        <v>0</v>
      </c>
      <c r="L94" s="157">
        <f>SUMIFS('PQ-Due Dates'!$L:$L,'PQ-Due Dates'!$A:$A,V_Detailed_Report!$C94,'PQ-Due Dates'!$M:$M,"&gt;="&amp;V_Detailed_Report!L$3,'PQ-Due Dates'!$M:$M,"&lt;="&amp;V_Detailed_Report!L$4)</f>
        <v>0</v>
      </c>
      <c r="M94" s="157">
        <f>SUMIFS('PQ-Due Dates'!$L:$L,'PQ-Due Dates'!$A:$A,V_Detailed_Report!$C94,'PQ-Due Dates'!$M:$M,"&gt;="&amp;V_Detailed_Report!M$3,'PQ-Due Dates'!$M:$M,"&lt;="&amp;V_Detailed_Report!M$4)</f>
        <v>0</v>
      </c>
      <c r="N94" s="157">
        <f>SUMIFS('PQ-Due Dates'!$L:$L,'PQ-Due Dates'!$A:$A,V_Detailed_Report!$C94,'PQ-Due Dates'!$M:$M,"&gt;="&amp;V_Detailed_Report!N$3,'PQ-Due Dates'!$M:$M,"&lt;="&amp;V_Detailed_Report!N$4)</f>
        <v>0</v>
      </c>
      <c r="O94" s="157">
        <f>SUMIFS('PQ-Due Dates'!$L:$L,'PQ-Due Dates'!$A:$A,V_Detailed_Report!$C94,'PQ-Due Dates'!$M:$M,"&gt;="&amp;V_Detailed_Report!O$3,'PQ-Due Dates'!$M:$M,"&lt;="&amp;V_Detailed_Report!O$4)</f>
        <v>0</v>
      </c>
      <c r="P94" s="157">
        <f>SUMIFS('PQ-Due Dates'!$L:$L,'PQ-Due Dates'!$A:$A,V_Detailed_Report!$C94,'PQ-Due Dates'!$M:$M,"&gt;="&amp;V_Detailed_Report!P$3,'PQ-Due Dates'!$M:$M,"&lt;="&amp;V_Detailed_Report!P$4)</f>
        <v>0</v>
      </c>
      <c r="Q94" s="157">
        <f>SUMIFS('PQ-Due Dates'!$L:$L,'PQ-Due Dates'!$A:$A,V_Detailed_Report!$C94,'PQ-Due Dates'!$M:$M,"&gt;="&amp;V_Detailed_Report!Q$3,'PQ-Due Dates'!$M:$M,"&lt;="&amp;V_Detailed_Report!Q$4)</f>
        <v>0</v>
      </c>
      <c r="R94" s="157">
        <f>SUMIFS('PQ-Due Dates'!$L:$L,'PQ-Due Dates'!$A:$A,V_Detailed_Report!$C94,'PQ-Due Dates'!$M:$M,"&gt;="&amp;V_Detailed_Report!R$3,'PQ-Due Dates'!$M:$M,"&lt;="&amp;V_Detailed_Report!R$4)</f>
        <v>0</v>
      </c>
      <c r="S94" s="157">
        <f>SUMIFS('PQ-Due Dates'!$L:$L,'PQ-Due Dates'!$A:$A,V_Detailed_Report!$C94,'PQ-Due Dates'!$M:$M,"&gt;="&amp;V_Detailed_Report!S$3,'PQ-Due Dates'!$M:$M,"&lt;="&amp;V_Detailed_Report!S$4)</f>
        <v>0</v>
      </c>
      <c r="T94" s="157">
        <f>SUMIFS('PQ-Due Dates'!$L:$L,'PQ-Due Dates'!$A:$A,V_Detailed_Report!$C94,'PQ-Due Dates'!$M:$M,"&gt;="&amp;V_Detailed_Report!T$3,'PQ-Due Dates'!$M:$M,"&lt;="&amp;V_Detailed_Report!T$4)</f>
        <v>0</v>
      </c>
      <c r="U94" s="157">
        <f t="shared" si="9"/>
        <v>106205.87</v>
      </c>
      <c r="V94" s="157">
        <f t="shared" si="10"/>
        <v>151776.14000000001</v>
      </c>
      <c r="W94" s="157">
        <f t="shared" si="11"/>
        <v>257982.01</v>
      </c>
    </row>
    <row r="95" spans="1:23" x14ac:dyDescent="0.25">
      <c r="A95" s="162" t="s">
        <v>152</v>
      </c>
      <c r="B95" s="162" t="s">
        <v>19</v>
      </c>
      <c r="C95" s="162" t="s">
        <v>248</v>
      </c>
      <c r="D95" s="162" t="str">
        <f>VLOOKUP(C95,'M_LC Summary'!A:F,6,0)</f>
        <v>SAB</v>
      </c>
      <c r="E95" s="162" t="str">
        <f>VLOOKUP(C95,'M_LC Summary'!A:C,3,0)</f>
        <v>TAWREED INTEGRATED INDUSTRIES</v>
      </c>
      <c r="F95" s="157">
        <f>VLOOKUP(C95,'M_LC Summary'!A:K,11,0)</f>
        <v>500000</v>
      </c>
      <c r="G95" s="157">
        <f>VLOOKUP(C95,'M_LC Summary'!A:L,12,0)</f>
        <v>336122.53</v>
      </c>
      <c r="H95" s="157">
        <f t="shared" si="8"/>
        <v>163877.46999999997</v>
      </c>
      <c r="I95" s="157">
        <f>SUMIFS('PQ-Due Dates'!$L:$L,'PQ-Due Dates'!$A:$A,V_Detailed_Report!$C95,'PQ-Due Dates'!$M:$M,"&gt;="&amp;V_Detailed_Report!I$3,'PQ-Due Dates'!$M:$M,"&lt;="&amp;V_Detailed_Report!I$4)</f>
        <v>0</v>
      </c>
      <c r="J95" s="157">
        <f>SUMIFS('PQ-Due Dates'!$L:$L,'PQ-Due Dates'!$A:$A,V_Detailed_Report!$C95,'PQ-Due Dates'!$M:$M,"&gt;="&amp;V_Detailed_Report!J$3,'PQ-Due Dates'!$M:$M,"&lt;="&amp;V_Detailed_Report!J$4)</f>
        <v>0</v>
      </c>
      <c r="K95" s="157">
        <f>SUMIFS('PQ-Due Dates'!$L:$L,'PQ-Due Dates'!$A:$A,V_Detailed_Report!$C95,'PQ-Due Dates'!$M:$M,"&gt;="&amp;V_Detailed_Report!K$3,'PQ-Due Dates'!$M:$M,"&lt;="&amp;V_Detailed_Report!K$4)</f>
        <v>0</v>
      </c>
      <c r="L95" s="157">
        <f>SUMIFS('PQ-Due Dates'!$L:$L,'PQ-Due Dates'!$A:$A,V_Detailed_Report!$C95,'PQ-Due Dates'!$M:$M,"&gt;="&amp;V_Detailed_Report!L$3,'PQ-Due Dates'!$M:$M,"&lt;="&amp;V_Detailed_Report!L$4)</f>
        <v>0</v>
      </c>
      <c r="M95" s="157">
        <f>SUMIFS('PQ-Due Dates'!$L:$L,'PQ-Due Dates'!$A:$A,V_Detailed_Report!$C95,'PQ-Due Dates'!$M:$M,"&gt;="&amp;V_Detailed_Report!M$3,'PQ-Due Dates'!$M:$M,"&lt;="&amp;V_Detailed_Report!M$4)</f>
        <v>0</v>
      </c>
      <c r="N95" s="157">
        <f>SUMIFS('PQ-Due Dates'!$L:$L,'PQ-Due Dates'!$A:$A,V_Detailed_Report!$C95,'PQ-Due Dates'!$M:$M,"&gt;="&amp;V_Detailed_Report!N$3,'PQ-Due Dates'!$M:$M,"&lt;="&amp;V_Detailed_Report!N$4)</f>
        <v>99498</v>
      </c>
      <c r="O95" s="157">
        <f>SUMIFS('PQ-Due Dates'!$L:$L,'PQ-Due Dates'!$A:$A,V_Detailed_Report!$C95,'PQ-Due Dates'!$M:$M,"&gt;="&amp;V_Detailed_Report!O$3,'PQ-Due Dates'!$M:$M,"&lt;="&amp;V_Detailed_Report!O$4)</f>
        <v>0</v>
      </c>
      <c r="P95" s="157">
        <f>SUMIFS('PQ-Due Dates'!$L:$L,'PQ-Due Dates'!$A:$A,V_Detailed_Report!$C95,'PQ-Due Dates'!$M:$M,"&gt;="&amp;V_Detailed_Report!P$3,'PQ-Due Dates'!$M:$M,"&lt;="&amp;V_Detailed_Report!P$4)</f>
        <v>0</v>
      </c>
      <c r="Q95" s="157">
        <f>SUMIFS('PQ-Due Dates'!$L:$L,'PQ-Due Dates'!$A:$A,V_Detailed_Report!$C95,'PQ-Due Dates'!$M:$M,"&gt;="&amp;V_Detailed_Report!Q$3,'PQ-Due Dates'!$M:$M,"&lt;="&amp;V_Detailed_Report!Q$4)</f>
        <v>0</v>
      </c>
      <c r="R95" s="157">
        <f>SUMIFS('PQ-Due Dates'!$L:$L,'PQ-Due Dates'!$A:$A,V_Detailed_Report!$C95,'PQ-Due Dates'!$M:$M,"&gt;="&amp;V_Detailed_Report!R$3,'PQ-Due Dates'!$M:$M,"&lt;="&amp;V_Detailed_Report!R$4)</f>
        <v>0</v>
      </c>
      <c r="S95" s="157">
        <f>SUMIFS('PQ-Due Dates'!$L:$L,'PQ-Due Dates'!$A:$A,V_Detailed_Report!$C95,'PQ-Due Dates'!$M:$M,"&gt;="&amp;V_Detailed_Report!S$3,'PQ-Due Dates'!$M:$M,"&lt;="&amp;V_Detailed_Report!S$4)</f>
        <v>0</v>
      </c>
      <c r="T95" s="157">
        <f>SUMIFS('PQ-Due Dates'!$L:$L,'PQ-Due Dates'!$A:$A,V_Detailed_Report!$C95,'PQ-Due Dates'!$M:$M,"&gt;="&amp;V_Detailed_Report!T$3,'PQ-Due Dates'!$M:$M,"&lt;="&amp;V_Detailed_Report!T$4)</f>
        <v>0</v>
      </c>
      <c r="U95" s="157">
        <f t="shared" si="9"/>
        <v>99498</v>
      </c>
      <c r="V95" s="157">
        <f t="shared" si="10"/>
        <v>64379.469999999972</v>
      </c>
      <c r="W95" s="157">
        <f t="shared" si="11"/>
        <v>163877.46999999997</v>
      </c>
    </row>
    <row r="96" spans="1:23" x14ac:dyDescent="0.25">
      <c r="A96" s="162" t="s">
        <v>152</v>
      </c>
      <c r="B96" s="162" t="s">
        <v>19</v>
      </c>
      <c r="C96" s="162" t="s">
        <v>264</v>
      </c>
      <c r="D96" s="162" t="str">
        <f>VLOOKUP(C96,'M_LC Summary'!A:F,6,0)</f>
        <v>SAB</v>
      </c>
      <c r="E96" s="162" t="str">
        <f>VLOOKUP(C96,'M_LC Summary'!A:C,3,0)</f>
        <v xml:space="preserve">Daikin Air Conditioning Saudi Arabia </v>
      </c>
      <c r="F96" s="157">
        <f>VLOOKUP(C96,'M_LC Summary'!A:K,11,0)</f>
        <v>628258.81000000006</v>
      </c>
      <c r="G96" s="157">
        <f>VLOOKUP(C96,'M_LC Summary'!A:L,12,0)</f>
        <v>0</v>
      </c>
      <c r="H96" s="157">
        <f t="shared" si="8"/>
        <v>628258.81000000006</v>
      </c>
      <c r="I96" s="157">
        <f>SUMIFS('PQ-Due Dates'!$L:$L,'PQ-Due Dates'!$A:$A,V_Detailed_Report!$C96,'PQ-Due Dates'!$M:$M,"&gt;="&amp;V_Detailed_Report!I$3,'PQ-Due Dates'!$M:$M,"&lt;="&amp;V_Detailed_Report!I$4)</f>
        <v>0</v>
      </c>
      <c r="J96" s="157">
        <f>SUMIFS('PQ-Due Dates'!$L:$L,'PQ-Due Dates'!$A:$A,V_Detailed_Report!$C96,'PQ-Due Dates'!$M:$M,"&gt;="&amp;V_Detailed_Report!J$3,'PQ-Due Dates'!$M:$M,"&lt;="&amp;V_Detailed_Report!J$4)</f>
        <v>0</v>
      </c>
      <c r="K96" s="157">
        <f>SUMIFS('PQ-Due Dates'!$L:$L,'PQ-Due Dates'!$A:$A,V_Detailed_Report!$C96,'PQ-Due Dates'!$M:$M,"&gt;="&amp;V_Detailed_Report!K$3,'PQ-Due Dates'!$M:$M,"&lt;="&amp;V_Detailed_Report!K$4)</f>
        <v>208813.02</v>
      </c>
      <c r="L96" s="157">
        <f>SUMIFS('PQ-Due Dates'!$L:$L,'PQ-Due Dates'!$A:$A,V_Detailed_Report!$C96,'PQ-Due Dates'!$M:$M,"&gt;="&amp;V_Detailed_Report!L$3,'PQ-Due Dates'!$M:$M,"&lt;="&amp;V_Detailed_Report!L$4)</f>
        <v>0</v>
      </c>
      <c r="M96" s="157">
        <f>SUMIFS('PQ-Due Dates'!$L:$L,'PQ-Due Dates'!$A:$A,V_Detailed_Report!$C96,'PQ-Due Dates'!$M:$M,"&gt;="&amp;V_Detailed_Report!M$3,'PQ-Due Dates'!$M:$M,"&lt;="&amp;V_Detailed_Report!M$4)</f>
        <v>0</v>
      </c>
      <c r="N96" s="157">
        <f>SUMIFS('PQ-Due Dates'!$L:$L,'PQ-Due Dates'!$A:$A,V_Detailed_Report!$C96,'PQ-Due Dates'!$M:$M,"&gt;="&amp;V_Detailed_Report!N$3,'PQ-Due Dates'!$M:$M,"&lt;="&amp;V_Detailed_Report!N$4)</f>
        <v>0</v>
      </c>
      <c r="O96" s="157">
        <f>SUMIFS('PQ-Due Dates'!$L:$L,'PQ-Due Dates'!$A:$A,V_Detailed_Report!$C96,'PQ-Due Dates'!$M:$M,"&gt;="&amp;V_Detailed_Report!O$3,'PQ-Due Dates'!$M:$M,"&lt;="&amp;V_Detailed_Report!O$4)</f>
        <v>0</v>
      </c>
      <c r="P96" s="157">
        <f>SUMIFS('PQ-Due Dates'!$L:$L,'PQ-Due Dates'!$A:$A,V_Detailed_Report!$C96,'PQ-Due Dates'!$M:$M,"&gt;="&amp;V_Detailed_Report!P$3,'PQ-Due Dates'!$M:$M,"&lt;="&amp;V_Detailed_Report!P$4)</f>
        <v>0</v>
      </c>
      <c r="Q96" s="157">
        <f>SUMIFS('PQ-Due Dates'!$L:$L,'PQ-Due Dates'!$A:$A,V_Detailed_Report!$C96,'PQ-Due Dates'!$M:$M,"&gt;="&amp;V_Detailed_Report!Q$3,'PQ-Due Dates'!$M:$M,"&lt;="&amp;V_Detailed_Report!Q$4)</f>
        <v>0</v>
      </c>
      <c r="R96" s="157">
        <f>SUMIFS('PQ-Due Dates'!$L:$L,'PQ-Due Dates'!$A:$A,V_Detailed_Report!$C96,'PQ-Due Dates'!$M:$M,"&gt;="&amp;V_Detailed_Report!R$3,'PQ-Due Dates'!$M:$M,"&lt;="&amp;V_Detailed_Report!R$4)</f>
        <v>278905.67</v>
      </c>
      <c r="S96" s="157">
        <f>SUMIFS('PQ-Due Dates'!$L:$L,'PQ-Due Dates'!$A:$A,V_Detailed_Report!$C96,'PQ-Due Dates'!$M:$M,"&gt;="&amp;V_Detailed_Report!S$3,'PQ-Due Dates'!$M:$M,"&lt;="&amp;V_Detailed_Report!S$4)</f>
        <v>0</v>
      </c>
      <c r="T96" s="157">
        <f>SUMIFS('PQ-Due Dates'!$L:$L,'PQ-Due Dates'!$A:$A,V_Detailed_Report!$C96,'PQ-Due Dates'!$M:$M,"&gt;="&amp;V_Detailed_Report!T$3,'PQ-Due Dates'!$M:$M,"&lt;="&amp;V_Detailed_Report!T$4)</f>
        <v>0</v>
      </c>
      <c r="U96" s="157">
        <f t="shared" si="9"/>
        <v>487718.68999999994</v>
      </c>
      <c r="V96" s="157">
        <f t="shared" si="10"/>
        <v>140540.12000000011</v>
      </c>
      <c r="W96" s="157">
        <f t="shared" si="11"/>
        <v>628258.81000000006</v>
      </c>
    </row>
    <row r="97" spans="1:23" x14ac:dyDescent="0.25">
      <c r="A97" s="162" t="s">
        <v>152</v>
      </c>
      <c r="B97" s="162" t="s">
        <v>19</v>
      </c>
      <c r="C97" s="162" t="s">
        <v>266</v>
      </c>
      <c r="D97" s="162" t="str">
        <f>VLOOKUP(C97,'M_LC Summary'!A:F,6,0)</f>
        <v>SAB</v>
      </c>
      <c r="E97" s="162" t="str">
        <f>VLOOKUP(C97,'M_LC Summary'!A:C,3,0)</f>
        <v>Power Center Company for Industries LLC</v>
      </c>
      <c r="F97" s="157">
        <f>VLOOKUP(C97,'M_LC Summary'!A:K,11,0)</f>
        <v>4000000</v>
      </c>
      <c r="G97" s="157">
        <f>VLOOKUP(C97,'M_LC Summary'!A:L,12,0)</f>
        <v>0</v>
      </c>
      <c r="H97" s="157">
        <f t="shared" si="8"/>
        <v>4000000</v>
      </c>
      <c r="I97" s="157">
        <f>SUMIFS('PQ-Due Dates'!$L:$L,'PQ-Due Dates'!$A:$A,V_Detailed_Report!$C97,'PQ-Due Dates'!$M:$M,"&gt;="&amp;V_Detailed_Report!I$3,'PQ-Due Dates'!$M:$M,"&lt;="&amp;V_Detailed_Report!I$4)</f>
        <v>0</v>
      </c>
      <c r="J97" s="157">
        <f>SUMIFS('PQ-Due Dates'!$L:$L,'PQ-Due Dates'!$A:$A,V_Detailed_Report!$C97,'PQ-Due Dates'!$M:$M,"&gt;="&amp;V_Detailed_Report!J$3,'PQ-Due Dates'!$M:$M,"&lt;="&amp;V_Detailed_Report!J$4)</f>
        <v>0</v>
      </c>
      <c r="K97" s="157">
        <f>SUMIFS('PQ-Due Dates'!$L:$L,'PQ-Due Dates'!$A:$A,V_Detailed_Report!$C97,'PQ-Due Dates'!$M:$M,"&gt;="&amp;V_Detailed_Report!K$3,'PQ-Due Dates'!$M:$M,"&lt;="&amp;V_Detailed_Report!K$4)</f>
        <v>0</v>
      </c>
      <c r="L97" s="157">
        <f>SUMIFS('PQ-Due Dates'!$L:$L,'PQ-Due Dates'!$A:$A,V_Detailed_Report!$C97,'PQ-Due Dates'!$M:$M,"&gt;="&amp;V_Detailed_Report!L$3,'PQ-Due Dates'!$M:$M,"&lt;="&amp;V_Detailed_Report!L$4)</f>
        <v>0</v>
      </c>
      <c r="M97" s="157">
        <f>SUMIFS('PQ-Due Dates'!$L:$L,'PQ-Due Dates'!$A:$A,V_Detailed_Report!$C97,'PQ-Due Dates'!$M:$M,"&gt;="&amp;V_Detailed_Report!M$3,'PQ-Due Dates'!$M:$M,"&lt;="&amp;V_Detailed_Report!M$4)</f>
        <v>0</v>
      </c>
      <c r="N97" s="157">
        <f>SUMIFS('PQ-Due Dates'!$L:$L,'PQ-Due Dates'!$A:$A,V_Detailed_Report!$C97,'PQ-Due Dates'!$M:$M,"&gt;="&amp;V_Detailed_Report!N$3,'PQ-Due Dates'!$M:$M,"&lt;="&amp;V_Detailed_Report!N$4)</f>
        <v>0</v>
      </c>
      <c r="O97" s="157">
        <f>SUMIFS('PQ-Due Dates'!$L:$L,'PQ-Due Dates'!$A:$A,V_Detailed_Report!$C97,'PQ-Due Dates'!$M:$M,"&gt;="&amp;V_Detailed_Report!O$3,'PQ-Due Dates'!$M:$M,"&lt;="&amp;V_Detailed_Report!O$4)</f>
        <v>0</v>
      </c>
      <c r="P97" s="157">
        <f>SUMIFS('PQ-Due Dates'!$L:$L,'PQ-Due Dates'!$A:$A,V_Detailed_Report!$C97,'PQ-Due Dates'!$M:$M,"&gt;="&amp;V_Detailed_Report!P$3,'PQ-Due Dates'!$M:$M,"&lt;="&amp;V_Detailed_Report!P$4)</f>
        <v>0</v>
      </c>
      <c r="Q97" s="157">
        <f>SUMIFS('PQ-Due Dates'!$L:$L,'PQ-Due Dates'!$A:$A,V_Detailed_Report!$C97,'PQ-Due Dates'!$M:$M,"&gt;="&amp;V_Detailed_Report!Q$3,'PQ-Due Dates'!$M:$M,"&lt;="&amp;V_Detailed_Report!Q$4)</f>
        <v>0</v>
      </c>
      <c r="R97" s="157">
        <f>SUMIFS('PQ-Due Dates'!$L:$L,'PQ-Due Dates'!$A:$A,V_Detailed_Report!$C97,'PQ-Due Dates'!$M:$M,"&gt;="&amp;V_Detailed_Report!R$3,'PQ-Due Dates'!$M:$M,"&lt;="&amp;V_Detailed_Report!R$4)</f>
        <v>0</v>
      </c>
      <c r="S97" s="157">
        <f>SUMIFS('PQ-Due Dates'!$L:$L,'PQ-Due Dates'!$A:$A,V_Detailed_Report!$C97,'PQ-Due Dates'!$M:$M,"&gt;="&amp;V_Detailed_Report!S$3,'PQ-Due Dates'!$M:$M,"&lt;="&amp;V_Detailed_Report!S$4)</f>
        <v>4000000</v>
      </c>
      <c r="T97" s="157">
        <f>SUMIFS('PQ-Due Dates'!$L:$L,'PQ-Due Dates'!$A:$A,V_Detailed_Report!$C97,'PQ-Due Dates'!$M:$M,"&gt;="&amp;V_Detailed_Report!T$3,'PQ-Due Dates'!$M:$M,"&lt;="&amp;V_Detailed_Report!T$4)</f>
        <v>0</v>
      </c>
      <c r="U97" s="157">
        <f t="shared" si="9"/>
        <v>4000000</v>
      </c>
      <c r="V97" s="157">
        <f t="shared" si="10"/>
        <v>0</v>
      </c>
      <c r="W97" s="157">
        <f t="shared" si="11"/>
        <v>4000000</v>
      </c>
    </row>
    <row r="98" spans="1:23" x14ac:dyDescent="0.25">
      <c r="A98" s="162" t="s">
        <v>152</v>
      </c>
      <c r="B98" s="162" t="s">
        <v>19</v>
      </c>
      <c r="C98" s="162" t="s">
        <v>278</v>
      </c>
      <c r="D98" s="162" t="str">
        <f>VLOOKUP(C98,'M_LC Summary'!A:F,6,0)</f>
        <v>SAB</v>
      </c>
      <c r="E98" s="162" t="str">
        <f>VLOOKUP(C98,'M_LC Summary'!A:C,3,0)</f>
        <v>MASQ FOR ELECTRICAL TOOLS CO</v>
      </c>
      <c r="F98" s="157">
        <f>VLOOKUP(C98,'M_LC Summary'!A:K,11,0)</f>
        <v>8790001.0999999996</v>
      </c>
      <c r="G98" s="157">
        <f>VLOOKUP(C98,'M_LC Summary'!A:L,12,0)</f>
        <v>650518.46</v>
      </c>
      <c r="H98" s="157">
        <f t="shared" si="8"/>
        <v>8139482.6399999997</v>
      </c>
      <c r="I98" s="157">
        <f>SUMIFS('PQ-Due Dates'!$L:$L,'PQ-Due Dates'!$A:$A,V_Detailed_Report!$C98,'PQ-Due Dates'!$M:$M,"&gt;="&amp;V_Detailed_Report!I$3,'PQ-Due Dates'!$M:$M,"&lt;="&amp;V_Detailed_Report!I$4)</f>
        <v>0</v>
      </c>
      <c r="J98" s="157">
        <f>SUMIFS('PQ-Due Dates'!$L:$L,'PQ-Due Dates'!$A:$A,V_Detailed_Report!$C98,'PQ-Due Dates'!$M:$M,"&gt;="&amp;V_Detailed_Report!J$3,'PQ-Due Dates'!$M:$M,"&lt;="&amp;V_Detailed_Report!J$4)</f>
        <v>0</v>
      </c>
      <c r="K98" s="157">
        <f>SUMIFS('PQ-Due Dates'!$L:$L,'PQ-Due Dates'!$A:$A,V_Detailed_Report!$C98,'PQ-Due Dates'!$M:$M,"&gt;="&amp;V_Detailed_Report!K$3,'PQ-Due Dates'!$M:$M,"&lt;="&amp;V_Detailed_Report!K$4)</f>
        <v>0</v>
      </c>
      <c r="L98" s="157">
        <f>SUMIFS('PQ-Due Dates'!$L:$L,'PQ-Due Dates'!$A:$A,V_Detailed_Report!$C98,'PQ-Due Dates'!$M:$M,"&gt;="&amp;V_Detailed_Report!L$3,'PQ-Due Dates'!$M:$M,"&lt;="&amp;V_Detailed_Report!L$4)</f>
        <v>0</v>
      </c>
      <c r="M98" s="157">
        <f>SUMIFS('PQ-Due Dates'!$L:$L,'PQ-Due Dates'!$A:$A,V_Detailed_Report!$C98,'PQ-Due Dates'!$M:$M,"&gt;="&amp;V_Detailed_Report!M$3,'PQ-Due Dates'!$M:$M,"&lt;="&amp;V_Detailed_Report!M$4)</f>
        <v>0</v>
      </c>
      <c r="N98" s="157">
        <f>SUMIFS('PQ-Due Dates'!$L:$L,'PQ-Due Dates'!$A:$A,V_Detailed_Report!$C98,'PQ-Due Dates'!$M:$M,"&gt;="&amp;V_Detailed_Report!N$3,'PQ-Due Dates'!$M:$M,"&lt;="&amp;V_Detailed_Report!N$4)</f>
        <v>0</v>
      </c>
      <c r="O98" s="157">
        <f>SUMIFS('PQ-Due Dates'!$L:$L,'PQ-Due Dates'!$A:$A,V_Detailed_Report!$C98,'PQ-Due Dates'!$M:$M,"&gt;="&amp;V_Detailed_Report!O$3,'PQ-Due Dates'!$M:$M,"&lt;="&amp;V_Detailed_Report!O$4)</f>
        <v>0</v>
      </c>
      <c r="P98" s="157">
        <f>SUMIFS('PQ-Due Dates'!$L:$L,'PQ-Due Dates'!$A:$A,V_Detailed_Report!$C98,'PQ-Due Dates'!$M:$M,"&gt;="&amp;V_Detailed_Report!P$3,'PQ-Due Dates'!$M:$M,"&lt;="&amp;V_Detailed_Report!P$4)</f>
        <v>0</v>
      </c>
      <c r="Q98" s="157">
        <f>SUMIFS('PQ-Due Dates'!$L:$L,'PQ-Due Dates'!$A:$A,V_Detailed_Report!$C98,'PQ-Due Dates'!$M:$M,"&gt;="&amp;V_Detailed_Report!Q$3,'PQ-Due Dates'!$M:$M,"&lt;="&amp;V_Detailed_Report!Q$4)</f>
        <v>0</v>
      </c>
      <c r="R98" s="157">
        <f>SUMIFS('PQ-Due Dates'!$L:$L,'PQ-Due Dates'!$A:$A,V_Detailed_Report!$C98,'PQ-Due Dates'!$M:$M,"&gt;="&amp;V_Detailed_Report!R$3,'PQ-Due Dates'!$M:$M,"&lt;="&amp;V_Detailed_Report!R$4)</f>
        <v>0</v>
      </c>
      <c r="S98" s="157">
        <f>SUMIFS('PQ-Due Dates'!$L:$L,'PQ-Due Dates'!$A:$A,V_Detailed_Report!$C98,'PQ-Due Dates'!$M:$M,"&gt;="&amp;V_Detailed_Report!S$3,'PQ-Due Dates'!$M:$M,"&lt;="&amp;V_Detailed_Report!S$4)</f>
        <v>0</v>
      </c>
      <c r="T98" s="157">
        <f>SUMIFS('PQ-Due Dates'!$L:$L,'PQ-Due Dates'!$A:$A,V_Detailed_Report!$C98,'PQ-Due Dates'!$M:$M,"&gt;="&amp;V_Detailed_Report!T$3,'PQ-Due Dates'!$M:$M,"&lt;="&amp;V_Detailed_Report!T$4)</f>
        <v>0</v>
      </c>
      <c r="U98" s="157">
        <f t="shared" si="9"/>
        <v>0</v>
      </c>
      <c r="V98" s="157">
        <f t="shared" si="10"/>
        <v>8139482.6399999997</v>
      </c>
      <c r="W98" s="157">
        <f t="shared" si="11"/>
        <v>8139482.6399999997</v>
      </c>
    </row>
    <row r="99" spans="1:23" x14ac:dyDescent="0.25">
      <c r="A99" s="162" t="s">
        <v>152</v>
      </c>
      <c r="B99" s="162" t="s">
        <v>19</v>
      </c>
      <c r="C99" s="162" t="s">
        <v>314</v>
      </c>
      <c r="D99" s="162" t="str">
        <f>VLOOKUP(C99,'M_LC Summary'!A:F,6,0)</f>
        <v>SAB</v>
      </c>
      <c r="E99" s="162" t="str">
        <f>VLOOKUP(C99,'M_LC Summary'!A:C,3,0)</f>
        <v>Arabian International Company For Contracting</v>
      </c>
      <c r="F99" s="157">
        <f>VLOOKUP(C99,'M_LC Summary'!A:K,11,0)</f>
        <v>900000</v>
      </c>
      <c r="G99" s="157">
        <f>VLOOKUP(C99,'M_LC Summary'!A:L,12,0)</f>
        <v>0</v>
      </c>
      <c r="H99" s="157">
        <f t="shared" si="8"/>
        <v>900000</v>
      </c>
      <c r="I99" s="157">
        <f>SUMIFS('PQ-Due Dates'!$L:$L,'PQ-Due Dates'!$A:$A,V_Detailed_Report!$C99,'PQ-Due Dates'!$M:$M,"&gt;="&amp;V_Detailed_Report!I$3,'PQ-Due Dates'!$M:$M,"&lt;="&amp;V_Detailed_Report!I$4)</f>
        <v>0</v>
      </c>
      <c r="J99" s="157">
        <f>SUMIFS('PQ-Due Dates'!$L:$L,'PQ-Due Dates'!$A:$A,V_Detailed_Report!$C99,'PQ-Due Dates'!$M:$M,"&gt;="&amp;V_Detailed_Report!J$3,'PQ-Due Dates'!$M:$M,"&lt;="&amp;V_Detailed_Report!J$4)</f>
        <v>0</v>
      </c>
      <c r="K99" s="157">
        <f>SUMIFS('PQ-Due Dates'!$L:$L,'PQ-Due Dates'!$A:$A,V_Detailed_Report!$C99,'PQ-Due Dates'!$M:$M,"&gt;="&amp;V_Detailed_Report!K$3,'PQ-Due Dates'!$M:$M,"&lt;="&amp;V_Detailed_Report!K$4)</f>
        <v>0</v>
      </c>
      <c r="L99" s="157">
        <f>SUMIFS('PQ-Due Dates'!$L:$L,'PQ-Due Dates'!$A:$A,V_Detailed_Report!$C99,'PQ-Due Dates'!$M:$M,"&gt;="&amp;V_Detailed_Report!L$3,'PQ-Due Dates'!$M:$M,"&lt;="&amp;V_Detailed_Report!L$4)</f>
        <v>0</v>
      </c>
      <c r="M99" s="157">
        <f>SUMIFS('PQ-Due Dates'!$L:$L,'PQ-Due Dates'!$A:$A,V_Detailed_Report!$C99,'PQ-Due Dates'!$M:$M,"&gt;="&amp;V_Detailed_Report!M$3,'PQ-Due Dates'!$M:$M,"&lt;="&amp;V_Detailed_Report!M$4)</f>
        <v>0</v>
      </c>
      <c r="N99" s="157">
        <f>SUMIFS('PQ-Due Dates'!$L:$L,'PQ-Due Dates'!$A:$A,V_Detailed_Report!$C99,'PQ-Due Dates'!$M:$M,"&gt;="&amp;V_Detailed_Report!N$3,'PQ-Due Dates'!$M:$M,"&lt;="&amp;V_Detailed_Report!N$4)</f>
        <v>0</v>
      </c>
      <c r="O99" s="157">
        <f>SUMIFS('PQ-Due Dates'!$L:$L,'PQ-Due Dates'!$A:$A,V_Detailed_Report!$C99,'PQ-Due Dates'!$M:$M,"&gt;="&amp;V_Detailed_Report!O$3,'PQ-Due Dates'!$M:$M,"&lt;="&amp;V_Detailed_Report!O$4)</f>
        <v>0</v>
      </c>
      <c r="P99" s="157">
        <f>SUMIFS('PQ-Due Dates'!$L:$L,'PQ-Due Dates'!$A:$A,V_Detailed_Report!$C99,'PQ-Due Dates'!$M:$M,"&gt;="&amp;V_Detailed_Report!P$3,'PQ-Due Dates'!$M:$M,"&lt;="&amp;V_Detailed_Report!P$4)</f>
        <v>0</v>
      </c>
      <c r="Q99" s="157">
        <f>SUMIFS('PQ-Due Dates'!$L:$L,'PQ-Due Dates'!$A:$A,V_Detailed_Report!$C99,'PQ-Due Dates'!$M:$M,"&gt;="&amp;V_Detailed_Report!Q$3,'PQ-Due Dates'!$M:$M,"&lt;="&amp;V_Detailed_Report!Q$4)</f>
        <v>0</v>
      </c>
      <c r="R99" s="157">
        <f>SUMIFS('PQ-Due Dates'!$L:$L,'PQ-Due Dates'!$A:$A,V_Detailed_Report!$C99,'PQ-Due Dates'!$M:$M,"&gt;="&amp;V_Detailed_Report!R$3,'PQ-Due Dates'!$M:$M,"&lt;="&amp;V_Detailed_Report!R$4)</f>
        <v>0</v>
      </c>
      <c r="S99" s="157">
        <f>SUMIFS('PQ-Due Dates'!$L:$L,'PQ-Due Dates'!$A:$A,V_Detailed_Report!$C99,'PQ-Due Dates'!$M:$M,"&gt;="&amp;V_Detailed_Report!S$3,'PQ-Due Dates'!$M:$M,"&lt;="&amp;V_Detailed_Report!S$4)</f>
        <v>900000</v>
      </c>
      <c r="T99" s="157">
        <f>SUMIFS('PQ-Due Dates'!$L:$L,'PQ-Due Dates'!$A:$A,V_Detailed_Report!$C99,'PQ-Due Dates'!$M:$M,"&gt;="&amp;V_Detailed_Report!T$3,'PQ-Due Dates'!$M:$M,"&lt;="&amp;V_Detailed_Report!T$4)</f>
        <v>0</v>
      </c>
      <c r="U99" s="157">
        <f t="shared" si="9"/>
        <v>900000</v>
      </c>
      <c r="V99" s="157">
        <f t="shared" si="10"/>
        <v>0</v>
      </c>
      <c r="W99" s="157">
        <f t="shared" si="11"/>
        <v>900000</v>
      </c>
    </row>
    <row r="100" spans="1:23" x14ac:dyDescent="0.25">
      <c r="A100" s="162" t="s">
        <v>152</v>
      </c>
      <c r="B100" s="162" t="s">
        <v>19</v>
      </c>
      <c r="C100" s="162" t="s">
        <v>315</v>
      </c>
      <c r="D100" s="162" t="str">
        <f>VLOOKUP(C100,'M_LC Summary'!A:F,6,0)</f>
        <v>SAB</v>
      </c>
      <c r="E100" s="162" t="str">
        <f>VLOOKUP(C100,'M_LC Summary'!A:C,3,0)</f>
        <v>BROOQ ALAMAAN TRAD COMPANY</v>
      </c>
      <c r="F100" s="157">
        <f>VLOOKUP(C100,'M_LC Summary'!A:K,11,0)</f>
        <v>500000</v>
      </c>
      <c r="G100" s="157">
        <f>VLOOKUP(C100,'M_LC Summary'!A:L,12,0)</f>
        <v>0</v>
      </c>
      <c r="H100" s="157">
        <f t="shared" si="8"/>
        <v>500000</v>
      </c>
      <c r="I100" s="157">
        <f>SUMIFS('PQ-Due Dates'!$L:$L,'PQ-Due Dates'!$A:$A,V_Detailed_Report!$C100,'PQ-Due Dates'!$M:$M,"&gt;="&amp;V_Detailed_Report!I$3,'PQ-Due Dates'!$M:$M,"&lt;="&amp;V_Detailed_Report!I$4)</f>
        <v>0</v>
      </c>
      <c r="J100" s="157">
        <f>SUMIFS('PQ-Due Dates'!$L:$L,'PQ-Due Dates'!$A:$A,V_Detailed_Report!$C100,'PQ-Due Dates'!$M:$M,"&gt;="&amp;V_Detailed_Report!J$3,'PQ-Due Dates'!$M:$M,"&lt;="&amp;V_Detailed_Report!J$4)</f>
        <v>0</v>
      </c>
      <c r="K100" s="157">
        <f>SUMIFS('PQ-Due Dates'!$L:$L,'PQ-Due Dates'!$A:$A,V_Detailed_Report!$C100,'PQ-Due Dates'!$M:$M,"&gt;="&amp;V_Detailed_Report!K$3,'PQ-Due Dates'!$M:$M,"&lt;="&amp;V_Detailed_Report!K$4)</f>
        <v>365011.38</v>
      </c>
      <c r="L100" s="157">
        <f>SUMIFS('PQ-Due Dates'!$L:$L,'PQ-Due Dates'!$A:$A,V_Detailed_Report!$C100,'PQ-Due Dates'!$M:$M,"&gt;="&amp;V_Detailed_Report!L$3,'PQ-Due Dates'!$M:$M,"&lt;="&amp;V_Detailed_Report!L$4)</f>
        <v>0</v>
      </c>
      <c r="M100" s="157">
        <f>SUMIFS('PQ-Due Dates'!$L:$L,'PQ-Due Dates'!$A:$A,V_Detailed_Report!$C100,'PQ-Due Dates'!$M:$M,"&gt;="&amp;V_Detailed_Report!M$3,'PQ-Due Dates'!$M:$M,"&lt;="&amp;V_Detailed_Report!M$4)</f>
        <v>0</v>
      </c>
      <c r="N100" s="157">
        <f>SUMIFS('PQ-Due Dates'!$L:$L,'PQ-Due Dates'!$A:$A,V_Detailed_Report!$C100,'PQ-Due Dates'!$M:$M,"&gt;="&amp;V_Detailed_Report!N$3,'PQ-Due Dates'!$M:$M,"&lt;="&amp;V_Detailed_Report!N$4)</f>
        <v>0</v>
      </c>
      <c r="O100" s="157">
        <f>SUMIFS('PQ-Due Dates'!$L:$L,'PQ-Due Dates'!$A:$A,V_Detailed_Report!$C100,'PQ-Due Dates'!$M:$M,"&gt;="&amp;V_Detailed_Report!O$3,'PQ-Due Dates'!$M:$M,"&lt;="&amp;V_Detailed_Report!O$4)</f>
        <v>0</v>
      </c>
      <c r="P100" s="157">
        <f>SUMIFS('PQ-Due Dates'!$L:$L,'PQ-Due Dates'!$A:$A,V_Detailed_Report!$C100,'PQ-Due Dates'!$M:$M,"&gt;="&amp;V_Detailed_Report!P$3,'PQ-Due Dates'!$M:$M,"&lt;="&amp;V_Detailed_Report!P$4)</f>
        <v>0</v>
      </c>
      <c r="Q100" s="157">
        <f>SUMIFS('PQ-Due Dates'!$L:$L,'PQ-Due Dates'!$A:$A,V_Detailed_Report!$C100,'PQ-Due Dates'!$M:$M,"&gt;="&amp;V_Detailed_Report!Q$3,'PQ-Due Dates'!$M:$M,"&lt;="&amp;V_Detailed_Report!Q$4)</f>
        <v>0</v>
      </c>
      <c r="R100" s="157">
        <f>SUMIFS('PQ-Due Dates'!$L:$L,'PQ-Due Dates'!$A:$A,V_Detailed_Report!$C100,'PQ-Due Dates'!$M:$M,"&gt;="&amp;V_Detailed_Report!R$3,'PQ-Due Dates'!$M:$M,"&lt;="&amp;V_Detailed_Report!R$4)</f>
        <v>0</v>
      </c>
      <c r="S100" s="157">
        <f>SUMIFS('PQ-Due Dates'!$L:$L,'PQ-Due Dates'!$A:$A,V_Detailed_Report!$C100,'PQ-Due Dates'!$M:$M,"&gt;="&amp;V_Detailed_Report!S$3,'PQ-Due Dates'!$M:$M,"&lt;="&amp;V_Detailed_Report!S$4)</f>
        <v>0</v>
      </c>
      <c r="T100" s="157">
        <f>SUMIFS('PQ-Due Dates'!$L:$L,'PQ-Due Dates'!$A:$A,V_Detailed_Report!$C100,'PQ-Due Dates'!$M:$M,"&gt;="&amp;V_Detailed_Report!T$3,'PQ-Due Dates'!$M:$M,"&lt;="&amp;V_Detailed_Report!T$4)</f>
        <v>0</v>
      </c>
      <c r="U100" s="157">
        <f t="shared" si="9"/>
        <v>365011.38</v>
      </c>
      <c r="V100" s="157">
        <f t="shared" si="10"/>
        <v>134988.62</v>
      </c>
      <c r="W100" s="157">
        <f t="shared" si="11"/>
        <v>500000</v>
      </c>
    </row>
    <row r="101" spans="1:23" x14ac:dyDescent="0.25">
      <c r="A101" s="162" t="s">
        <v>152</v>
      </c>
      <c r="B101" s="162" t="s">
        <v>19</v>
      </c>
      <c r="C101" s="162" t="s">
        <v>316</v>
      </c>
      <c r="D101" s="162" t="str">
        <f>VLOOKUP(C101,'M_LC Summary'!A:F,6,0)</f>
        <v>SAB</v>
      </c>
      <c r="E101" s="162" t="str">
        <f>VLOOKUP(C101,'M_LC Summary'!A:C,3,0)</f>
        <v>Masdar Technical Supplies Co.</v>
      </c>
      <c r="F101" s="157">
        <f>VLOOKUP(C101,'M_LC Summary'!A:K,11,0)</f>
        <v>500000</v>
      </c>
      <c r="G101" s="157">
        <f>VLOOKUP(C101,'M_LC Summary'!A:L,12,0)</f>
        <v>0</v>
      </c>
      <c r="H101" s="157">
        <f t="shared" si="8"/>
        <v>500000</v>
      </c>
      <c r="I101" s="157">
        <f>SUMIFS('PQ-Due Dates'!$L:$L,'PQ-Due Dates'!$A:$A,V_Detailed_Report!$C101,'PQ-Due Dates'!$M:$M,"&gt;="&amp;V_Detailed_Report!I$3,'PQ-Due Dates'!$M:$M,"&lt;="&amp;V_Detailed_Report!I$4)</f>
        <v>0</v>
      </c>
      <c r="J101" s="157">
        <f>SUMIFS('PQ-Due Dates'!$L:$L,'PQ-Due Dates'!$A:$A,V_Detailed_Report!$C101,'PQ-Due Dates'!$M:$M,"&gt;="&amp;V_Detailed_Report!J$3,'PQ-Due Dates'!$M:$M,"&lt;="&amp;V_Detailed_Report!J$4)</f>
        <v>0</v>
      </c>
      <c r="K101" s="157">
        <f>SUMIFS('PQ-Due Dates'!$L:$L,'PQ-Due Dates'!$A:$A,V_Detailed_Report!$C101,'PQ-Due Dates'!$M:$M,"&gt;="&amp;V_Detailed_Report!K$3,'PQ-Due Dates'!$M:$M,"&lt;="&amp;V_Detailed_Report!K$4)</f>
        <v>0</v>
      </c>
      <c r="L101" s="157">
        <f>SUMIFS('PQ-Due Dates'!$L:$L,'PQ-Due Dates'!$A:$A,V_Detailed_Report!$C101,'PQ-Due Dates'!$M:$M,"&gt;="&amp;V_Detailed_Report!L$3,'PQ-Due Dates'!$M:$M,"&lt;="&amp;V_Detailed_Report!L$4)</f>
        <v>0</v>
      </c>
      <c r="M101" s="157">
        <f>SUMIFS('PQ-Due Dates'!$L:$L,'PQ-Due Dates'!$A:$A,V_Detailed_Report!$C101,'PQ-Due Dates'!$M:$M,"&gt;="&amp;V_Detailed_Report!M$3,'PQ-Due Dates'!$M:$M,"&lt;="&amp;V_Detailed_Report!M$4)</f>
        <v>0</v>
      </c>
      <c r="N101" s="157">
        <f>SUMIFS('PQ-Due Dates'!$L:$L,'PQ-Due Dates'!$A:$A,V_Detailed_Report!$C101,'PQ-Due Dates'!$M:$M,"&gt;="&amp;V_Detailed_Report!N$3,'PQ-Due Dates'!$M:$M,"&lt;="&amp;V_Detailed_Report!N$4)</f>
        <v>0</v>
      </c>
      <c r="O101" s="157">
        <f>SUMIFS('PQ-Due Dates'!$L:$L,'PQ-Due Dates'!$A:$A,V_Detailed_Report!$C101,'PQ-Due Dates'!$M:$M,"&gt;="&amp;V_Detailed_Report!O$3,'PQ-Due Dates'!$M:$M,"&lt;="&amp;V_Detailed_Report!O$4)</f>
        <v>0</v>
      </c>
      <c r="P101" s="157">
        <f>SUMIFS('PQ-Due Dates'!$L:$L,'PQ-Due Dates'!$A:$A,V_Detailed_Report!$C101,'PQ-Due Dates'!$M:$M,"&gt;="&amp;V_Detailed_Report!P$3,'PQ-Due Dates'!$M:$M,"&lt;="&amp;V_Detailed_Report!P$4)</f>
        <v>0</v>
      </c>
      <c r="Q101" s="157">
        <f>SUMIFS('PQ-Due Dates'!$L:$L,'PQ-Due Dates'!$A:$A,V_Detailed_Report!$C101,'PQ-Due Dates'!$M:$M,"&gt;="&amp;V_Detailed_Report!Q$3,'PQ-Due Dates'!$M:$M,"&lt;="&amp;V_Detailed_Report!Q$4)</f>
        <v>0</v>
      </c>
      <c r="R101" s="157">
        <f>SUMIFS('PQ-Due Dates'!$L:$L,'PQ-Due Dates'!$A:$A,V_Detailed_Report!$C101,'PQ-Due Dates'!$M:$M,"&gt;="&amp;V_Detailed_Report!R$3,'PQ-Due Dates'!$M:$M,"&lt;="&amp;V_Detailed_Report!R$4)</f>
        <v>0</v>
      </c>
      <c r="S101" s="157">
        <f>SUMIFS('PQ-Due Dates'!$L:$L,'PQ-Due Dates'!$A:$A,V_Detailed_Report!$C101,'PQ-Due Dates'!$M:$M,"&gt;="&amp;V_Detailed_Report!S$3,'PQ-Due Dates'!$M:$M,"&lt;="&amp;V_Detailed_Report!S$4)</f>
        <v>500000</v>
      </c>
      <c r="T101" s="157">
        <f>SUMIFS('PQ-Due Dates'!$L:$L,'PQ-Due Dates'!$A:$A,V_Detailed_Report!$C101,'PQ-Due Dates'!$M:$M,"&gt;="&amp;V_Detailed_Report!T$3,'PQ-Due Dates'!$M:$M,"&lt;="&amp;V_Detailed_Report!T$4)</f>
        <v>0</v>
      </c>
      <c r="U101" s="157">
        <f t="shared" si="9"/>
        <v>500000</v>
      </c>
      <c r="V101" s="157">
        <f t="shared" si="10"/>
        <v>0</v>
      </c>
      <c r="W101" s="157">
        <f t="shared" si="11"/>
        <v>500000</v>
      </c>
    </row>
    <row r="102" spans="1:23" x14ac:dyDescent="0.25">
      <c r="A102" s="162" t="s">
        <v>152</v>
      </c>
      <c r="B102" s="162" t="s">
        <v>19</v>
      </c>
      <c r="C102" s="162" t="s">
        <v>317</v>
      </c>
      <c r="D102" s="162" t="str">
        <f>VLOOKUP(C102,'M_LC Summary'!A:F,6,0)</f>
        <v>SAB</v>
      </c>
      <c r="E102" s="162" t="str">
        <f>VLOOKUP(C102,'M_LC Summary'!A:C,3,0)</f>
        <v>BAHRA ADVANCED CABLE MANUFACTURE CO. LTD</v>
      </c>
      <c r="F102" s="157">
        <f>VLOOKUP(C102,'M_LC Summary'!A:K,11,0)</f>
        <v>1500000</v>
      </c>
      <c r="G102" s="157">
        <f>VLOOKUP(C102,'M_LC Summary'!A:L,12,0)</f>
        <v>0</v>
      </c>
      <c r="H102" s="157">
        <f t="shared" si="8"/>
        <v>1500000</v>
      </c>
      <c r="I102" s="157">
        <f>SUMIFS('PQ-Due Dates'!$L:$L,'PQ-Due Dates'!$A:$A,V_Detailed_Report!$C102,'PQ-Due Dates'!$M:$M,"&gt;="&amp;V_Detailed_Report!I$3,'PQ-Due Dates'!$M:$M,"&lt;="&amp;V_Detailed_Report!I$4)</f>
        <v>0</v>
      </c>
      <c r="J102" s="157">
        <f>SUMIFS('PQ-Due Dates'!$L:$L,'PQ-Due Dates'!$A:$A,V_Detailed_Report!$C102,'PQ-Due Dates'!$M:$M,"&gt;="&amp;V_Detailed_Report!J$3,'PQ-Due Dates'!$M:$M,"&lt;="&amp;V_Detailed_Report!J$4)</f>
        <v>0</v>
      </c>
      <c r="K102" s="157">
        <f>SUMIFS('PQ-Due Dates'!$L:$L,'PQ-Due Dates'!$A:$A,V_Detailed_Report!$C102,'PQ-Due Dates'!$M:$M,"&gt;="&amp;V_Detailed_Report!K$3,'PQ-Due Dates'!$M:$M,"&lt;="&amp;V_Detailed_Report!K$4)</f>
        <v>0</v>
      </c>
      <c r="L102" s="157">
        <f>SUMIFS('PQ-Due Dates'!$L:$L,'PQ-Due Dates'!$A:$A,V_Detailed_Report!$C102,'PQ-Due Dates'!$M:$M,"&gt;="&amp;V_Detailed_Report!L$3,'PQ-Due Dates'!$M:$M,"&lt;="&amp;V_Detailed_Report!L$4)</f>
        <v>0</v>
      </c>
      <c r="M102" s="157">
        <f>SUMIFS('PQ-Due Dates'!$L:$L,'PQ-Due Dates'!$A:$A,V_Detailed_Report!$C102,'PQ-Due Dates'!$M:$M,"&gt;="&amp;V_Detailed_Report!M$3,'PQ-Due Dates'!$M:$M,"&lt;="&amp;V_Detailed_Report!M$4)</f>
        <v>0</v>
      </c>
      <c r="N102" s="157">
        <f>SUMIFS('PQ-Due Dates'!$L:$L,'PQ-Due Dates'!$A:$A,V_Detailed_Report!$C102,'PQ-Due Dates'!$M:$M,"&gt;="&amp;V_Detailed_Report!N$3,'PQ-Due Dates'!$M:$M,"&lt;="&amp;V_Detailed_Report!N$4)</f>
        <v>0</v>
      </c>
      <c r="O102" s="157">
        <f>SUMIFS('PQ-Due Dates'!$L:$L,'PQ-Due Dates'!$A:$A,V_Detailed_Report!$C102,'PQ-Due Dates'!$M:$M,"&gt;="&amp;V_Detailed_Report!O$3,'PQ-Due Dates'!$M:$M,"&lt;="&amp;V_Detailed_Report!O$4)</f>
        <v>1377731.72</v>
      </c>
      <c r="P102" s="157">
        <f>SUMIFS('PQ-Due Dates'!$L:$L,'PQ-Due Dates'!$A:$A,V_Detailed_Report!$C102,'PQ-Due Dates'!$M:$M,"&gt;="&amp;V_Detailed_Report!P$3,'PQ-Due Dates'!$M:$M,"&lt;="&amp;V_Detailed_Report!P$4)</f>
        <v>0</v>
      </c>
      <c r="Q102" s="157">
        <f>SUMIFS('PQ-Due Dates'!$L:$L,'PQ-Due Dates'!$A:$A,V_Detailed_Report!$C102,'PQ-Due Dates'!$M:$M,"&gt;="&amp;V_Detailed_Report!Q$3,'PQ-Due Dates'!$M:$M,"&lt;="&amp;V_Detailed_Report!Q$4)</f>
        <v>0</v>
      </c>
      <c r="R102" s="157">
        <f>SUMIFS('PQ-Due Dates'!$L:$L,'PQ-Due Dates'!$A:$A,V_Detailed_Report!$C102,'PQ-Due Dates'!$M:$M,"&gt;="&amp;V_Detailed_Report!R$3,'PQ-Due Dates'!$M:$M,"&lt;="&amp;V_Detailed_Report!R$4)</f>
        <v>0</v>
      </c>
      <c r="S102" s="157">
        <f>SUMIFS('PQ-Due Dates'!$L:$L,'PQ-Due Dates'!$A:$A,V_Detailed_Report!$C102,'PQ-Due Dates'!$M:$M,"&gt;="&amp;V_Detailed_Report!S$3,'PQ-Due Dates'!$M:$M,"&lt;="&amp;V_Detailed_Report!S$4)</f>
        <v>0</v>
      </c>
      <c r="T102" s="157">
        <f>SUMIFS('PQ-Due Dates'!$L:$L,'PQ-Due Dates'!$A:$A,V_Detailed_Report!$C102,'PQ-Due Dates'!$M:$M,"&gt;="&amp;V_Detailed_Report!T$3,'PQ-Due Dates'!$M:$M,"&lt;="&amp;V_Detailed_Report!T$4)</f>
        <v>0</v>
      </c>
      <c r="U102" s="157">
        <f t="shared" si="9"/>
        <v>1377731.72</v>
      </c>
      <c r="V102" s="157">
        <f t="shared" si="10"/>
        <v>122268.28000000003</v>
      </c>
      <c r="W102" s="157">
        <f t="shared" si="11"/>
        <v>1500000</v>
      </c>
    </row>
    <row r="103" spans="1:23" x14ac:dyDescent="0.25">
      <c r="A103" s="162" t="s">
        <v>152</v>
      </c>
      <c r="B103" s="162" t="s">
        <v>19</v>
      </c>
      <c r="C103" s="162" t="s">
        <v>318</v>
      </c>
      <c r="D103" s="162" t="str">
        <f>VLOOKUP(C103,'M_LC Summary'!A:F,6,0)</f>
        <v>SAB</v>
      </c>
      <c r="E103" s="162" t="str">
        <f>VLOOKUP(C103,'M_LC Summary'!A:C,3,0)</f>
        <v>Mase Gulf Company</v>
      </c>
      <c r="F103" s="157">
        <f>VLOOKUP(C103,'M_LC Summary'!A:K,11,0)</f>
        <v>500000</v>
      </c>
      <c r="G103" s="157">
        <f>VLOOKUP(C103,'M_LC Summary'!A:L,12,0)</f>
        <v>0</v>
      </c>
      <c r="H103" s="157">
        <f t="shared" si="8"/>
        <v>500000</v>
      </c>
      <c r="I103" s="157">
        <f>SUMIFS('PQ-Due Dates'!$L:$L,'PQ-Due Dates'!$A:$A,V_Detailed_Report!$C103,'PQ-Due Dates'!$M:$M,"&gt;="&amp;V_Detailed_Report!I$3,'PQ-Due Dates'!$M:$M,"&lt;="&amp;V_Detailed_Report!I$4)</f>
        <v>0</v>
      </c>
      <c r="J103" s="157">
        <f>SUMIFS('PQ-Due Dates'!$L:$L,'PQ-Due Dates'!$A:$A,V_Detailed_Report!$C103,'PQ-Due Dates'!$M:$M,"&gt;="&amp;V_Detailed_Report!J$3,'PQ-Due Dates'!$M:$M,"&lt;="&amp;V_Detailed_Report!J$4)</f>
        <v>0</v>
      </c>
      <c r="K103" s="157">
        <f>SUMIFS('PQ-Due Dates'!$L:$L,'PQ-Due Dates'!$A:$A,V_Detailed_Report!$C103,'PQ-Due Dates'!$M:$M,"&gt;="&amp;V_Detailed_Report!K$3,'PQ-Due Dates'!$M:$M,"&lt;="&amp;V_Detailed_Report!K$4)</f>
        <v>0</v>
      </c>
      <c r="L103" s="157">
        <f>SUMIFS('PQ-Due Dates'!$L:$L,'PQ-Due Dates'!$A:$A,V_Detailed_Report!$C103,'PQ-Due Dates'!$M:$M,"&gt;="&amp;V_Detailed_Report!L$3,'PQ-Due Dates'!$M:$M,"&lt;="&amp;V_Detailed_Report!L$4)</f>
        <v>0</v>
      </c>
      <c r="M103" s="157">
        <f>SUMIFS('PQ-Due Dates'!$L:$L,'PQ-Due Dates'!$A:$A,V_Detailed_Report!$C103,'PQ-Due Dates'!$M:$M,"&gt;="&amp;V_Detailed_Report!M$3,'PQ-Due Dates'!$M:$M,"&lt;="&amp;V_Detailed_Report!M$4)</f>
        <v>0</v>
      </c>
      <c r="N103" s="157">
        <f>SUMIFS('PQ-Due Dates'!$L:$L,'PQ-Due Dates'!$A:$A,V_Detailed_Report!$C103,'PQ-Due Dates'!$M:$M,"&gt;="&amp;V_Detailed_Report!N$3,'PQ-Due Dates'!$M:$M,"&lt;="&amp;V_Detailed_Report!N$4)</f>
        <v>0</v>
      </c>
      <c r="O103" s="157">
        <f>SUMIFS('PQ-Due Dates'!$L:$L,'PQ-Due Dates'!$A:$A,V_Detailed_Report!$C103,'PQ-Due Dates'!$M:$M,"&gt;="&amp;V_Detailed_Report!O$3,'PQ-Due Dates'!$M:$M,"&lt;="&amp;V_Detailed_Report!O$4)</f>
        <v>0</v>
      </c>
      <c r="P103" s="157">
        <f>SUMIFS('PQ-Due Dates'!$L:$L,'PQ-Due Dates'!$A:$A,V_Detailed_Report!$C103,'PQ-Due Dates'!$M:$M,"&gt;="&amp;V_Detailed_Report!P$3,'PQ-Due Dates'!$M:$M,"&lt;="&amp;V_Detailed_Report!P$4)</f>
        <v>0</v>
      </c>
      <c r="Q103" s="157">
        <f>SUMIFS('PQ-Due Dates'!$L:$L,'PQ-Due Dates'!$A:$A,V_Detailed_Report!$C103,'PQ-Due Dates'!$M:$M,"&gt;="&amp;V_Detailed_Report!Q$3,'PQ-Due Dates'!$M:$M,"&lt;="&amp;V_Detailed_Report!Q$4)</f>
        <v>0</v>
      </c>
      <c r="R103" s="157">
        <f>SUMIFS('PQ-Due Dates'!$L:$L,'PQ-Due Dates'!$A:$A,V_Detailed_Report!$C103,'PQ-Due Dates'!$M:$M,"&gt;="&amp;V_Detailed_Report!R$3,'PQ-Due Dates'!$M:$M,"&lt;="&amp;V_Detailed_Report!R$4)</f>
        <v>0</v>
      </c>
      <c r="S103" s="157">
        <f>SUMIFS('PQ-Due Dates'!$L:$L,'PQ-Due Dates'!$A:$A,V_Detailed_Report!$C103,'PQ-Due Dates'!$M:$M,"&gt;="&amp;V_Detailed_Report!S$3,'PQ-Due Dates'!$M:$M,"&lt;="&amp;V_Detailed_Report!S$4)</f>
        <v>0</v>
      </c>
      <c r="T103" s="157">
        <f>SUMIFS('PQ-Due Dates'!$L:$L,'PQ-Due Dates'!$A:$A,V_Detailed_Report!$C103,'PQ-Due Dates'!$M:$M,"&gt;="&amp;V_Detailed_Report!T$3,'PQ-Due Dates'!$M:$M,"&lt;="&amp;V_Detailed_Report!T$4)</f>
        <v>0</v>
      </c>
      <c r="U103" s="157">
        <f t="shared" si="9"/>
        <v>0</v>
      </c>
      <c r="V103" s="157">
        <f t="shared" si="10"/>
        <v>500000</v>
      </c>
      <c r="W103" s="157">
        <f t="shared" si="11"/>
        <v>500000</v>
      </c>
    </row>
    <row r="104" spans="1:23" x14ac:dyDescent="0.25">
      <c r="A104" s="162" t="s">
        <v>152</v>
      </c>
      <c r="B104" s="162" t="s">
        <v>19</v>
      </c>
      <c r="C104" s="162" t="s">
        <v>319</v>
      </c>
      <c r="D104" s="162" t="str">
        <f>VLOOKUP(C104,'M_LC Summary'!A:F,6,0)</f>
        <v>SAB</v>
      </c>
      <c r="E104" s="162" t="str">
        <f>VLOOKUP(C104,'M_LC Summary'!A:C,3,0)</f>
        <v>Mimar for Construction Tools &amp; Trading Ltd.</v>
      </c>
      <c r="F104" s="157">
        <f>VLOOKUP(C104,'M_LC Summary'!A:K,11,0)</f>
        <v>900000</v>
      </c>
      <c r="G104" s="157">
        <f>VLOOKUP(C104,'M_LC Summary'!A:L,12,0)</f>
        <v>0</v>
      </c>
      <c r="H104" s="157">
        <f t="shared" si="8"/>
        <v>900000</v>
      </c>
      <c r="I104" s="157">
        <f>SUMIFS('PQ-Due Dates'!$L:$L,'PQ-Due Dates'!$A:$A,V_Detailed_Report!$C104,'PQ-Due Dates'!$M:$M,"&gt;="&amp;V_Detailed_Report!I$3,'PQ-Due Dates'!$M:$M,"&lt;="&amp;V_Detailed_Report!I$4)</f>
        <v>0</v>
      </c>
      <c r="J104" s="157">
        <f>SUMIFS('PQ-Due Dates'!$L:$L,'PQ-Due Dates'!$A:$A,V_Detailed_Report!$C104,'PQ-Due Dates'!$M:$M,"&gt;="&amp;V_Detailed_Report!J$3,'PQ-Due Dates'!$M:$M,"&lt;="&amp;V_Detailed_Report!J$4)</f>
        <v>0</v>
      </c>
      <c r="K104" s="157">
        <f>SUMIFS('PQ-Due Dates'!$L:$L,'PQ-Due Dates'!$A:$A,V_Detailed_Report!$C104,'PQ-Due Dates'!$M:$M,"&gt;="&amp;V_Detailed_Report!K$3,'PQ-Due Dates'!$M:$M,"&lt;="&amp;V_Detailed_Report!K$4)</f>
        <v>0</v>
      </c>
      <c r="L104" s="157">
        <f>SUMIFS('PQ-Due Dates'!$L:$L,'PQ-Due Dates'!$A:$A,V_Detailed_Report!$C104,'PQ-Due Dates'!$M:$M,"&gt;="&amp;V_Detailed_Report!L$3,'PQ-Due Dates'!$M:$M,"&lt;="&amp;V_Detailed_Report!L$4)</f>
        <v>0</v>
      </c>
      <c r="M104" s="157">
        <f>SUMIFS('PQ-Due Dates'!$L:$L,'PQ-Due Dates'!$A:$A,V_Detailed_Report!$C104,'PQ-Due Dates'!$M:$M,"&gt;="&amp;V_Detailed_Report!M$3,'PQ-Due Dates'!$M:$M,"&lt;="&amp;V_Detailed_Report!M$4)</f>
        <v>0</v>
      </c>
      <c r="N104" s="157">
        <f>SUMIFS('PQ-Due Dates'!$L:$L,'PQ-Due Dates'!$A:$A,V_Detailed_Report!$C104,'PQ-Due Dates'!$M:$M,"&gt;="&amp;V_Detailed_Report!N$3,'PQ-Due Dates'!$M:$M,"&lt;="&amp;V_Detailed_Report!N$4)</f>
        <v>0</v>
      </c>
      <c r="O104" s="157">
        <f>SUMIFS('PQ-Due Dates'!$L:$L,'PQ-Due Dates'!$A:$A,V_Detailed_Report!$C104,'PQ-Due Dates'!$M:$M,"&gt;="&amp;V_Detailed_Report!O$3,'PQ-Due Dates'!$M:$M,"&lt;="&amp;V_Detailed_Report!O$4)</f>
        <v>900000</v>
      </c>
      <c r="P104" s="157">
        <f>SUMIFS('PQ-Due Dates'!$L:$L,'PQ-Due Dates'!$A:$A,V_Detailed_Report!$C104,'PQ-Due Dates'!$M:$M,"&gt;="&amp;V_Detailed_Report!P$3,'PQ-Due Dates'!$M:$M,"&lt;="&amp;V_Detailed_Report!P$4)</f>
        <v>0</v>
      </c>
      <c r="Q104" s="157">
        <f>SUMIFS('PQ-Due Dates'!$L:$L,'PQ-Due Dates'!$A:$A,V_Detailed_Report!$C104,'PQ-Due Dates'!$M:$M,"&gt;="&amp;V_Detailed_Report!Q$3,'PQ-Due Dates'!$M:$M,"&lt;="&amp;V_Detailed_Report!Q$4)</f>
        <v>0</v>
      </c>
      <c r="R104" s="157">
        <f>SUMIFS('PQ-Due Dates'!$L:$L,'PQ-Due Dates'!$A:$A,V_Detailed_Report!$C104,'PQ-Due Dates'!$M:$M,"&gt;="&amp;V_Detailed_Report!R$3,'PQ-Due Dates'!$M:$M,"&lt;="&amp;V_Detailed_Report!R$4)</f>
        <v>0</v>
      </c>
      <c r="S104" s="157">
        <f>SUMIFS('PQ-Due Dates'!$L:$L,'PQ-Due Dates'!$A:$A,V_Detailed_Report!$C104,'PQ-Due Dates'!$M:$M,"&gt;="&amp;V_Detailed_Report!S$3,'PQ-Due Dates'!$M:$M,"&lt;="&amp;V_Detailed_Report!S$4)</f>
        <v>0</v>
      </c>
      <c r="T104" s="157">
        <f>SUMIFS('PQ-Due Dates'!$L:$L,'PQ-Due Dates'!$A:$A,V_Detailed_Report!$C104,'PQ-Due Dates'!$M:$M,"&gt;="&amp;V_Detailed_Report!T$3,'PQ-Due Dates'!$M:$M,"&lt;="&amp;V_Detailed_Report!T$4)</f>
        <v>0</v>
      </c>
      <c r="U104" s="157">
        <f t="shared" si="9"/>
        <v>900000</v>
      </c>
      <c r="V104" s="157">
        <f t="shared" si="10"/>
        <v>0</v>
      </c>
      <c r="W104" s="157">
        <f t="shared" si="11"/>
        <v>900000</v>
      </c>
    </row>
    <row r="105" spans="1:23" x14ac:dyDescent="0.25">
      <c r="A105" s="162" t="s">
        <v>152</v>
      </c>
      <c r="B105" s="162" t="s">
        <v>19</v>
      </c>
      <c r="C105" s="162" t="s">
        <v>327</v>
      </c>
      <c r="D105" s="162" t="str">
        <f>VLOOKUP(C105,'M_LC Summary'!A:F,6,0)</f>
        <v>SAB</v>
      </c>
      <c r="E105" s="162" t="str">
        <f>VLOOKUP(C105,'M_LC Summary'!A:C,3,0)</f>
        <v>INTERPLAST CO. LTD</v>
      </c>
      <c r="F105" s="157">
        <f>VLOOKUP(C105,'M_LC Summary'!A:K,11,0)</f>
        <v>397090</v>
      </c>
      <c r="G105" s="157">
        <f>VLOOKUP(C105,'M_LC Summary'!A:L,12,0)</f>
        <v>0</v>
      </c>
      <c r="H105" s="157">
        <f t="shared" si="8"/>
        <v>397090</v>
      </c>
      <c r="I105" s="157">
        <f>SUMIFS('PQ-Due Dates'!$L:$L,'PQ-Due Dates'!$A:$A,V_Detailed_Report!$C105,'PQ-Due Dates'!$M:$M,"&gt;="&amp;V_Detailed_Report!I$3,'PQ-Due Dates'!$M:$M,"&lt;="&amp;V_Detailed_Report!I$4)</f>
        <v>0</v>
      </c>
      <c r="J105" s="157">
        <f>SUMIFS('PQ-Due Dates'!$L:$L,'PQ-Due Dates'!$A:$A,V_Detailed_Report!$C105,'PQ-Due Dates'!$M:$M,"&gt;="&amp;V_Detailed_Report!J$3,'PQ-Due Dates'!$M:$M,"&lt;="&amp;V_Detailed_Report!J$4)</f>
        <v>0</v>
      </c>
      <c r="K105" s="157">
        <f>SUMIFS('PQ-Due Dates'!$L:$L,'PQ-Due Dates'!$A:$A,V_Detailed_Report!$C105,'PQ-Due Dates'!$M:$M,"&gt;="&amp;V_Detailed_Report!K$3,'PQ-Due Dates'!$M:$M,"&lt;="&amp;V_Detailed_Report!K$4)</f>
        <v>397090</v>
      </c>
      <c r="L105" s="157">
        <f>SUMIFS('PQ-Due Dates'!$L:$L,'PQ-Due Dates'!$A:$A,V_Detailed_Report!$C105,'PQ-Due Dates'!$M:$M,"&gt;="&amp;V_Detailed_Report!L$3,'PQ-Due Dates'!$M:$M,"&lt;="&amp;V_Detailed_Report!L$4)</f>
        <v>0</v>
      </c>
      <c r="M105" s="157">
        <f>SUMIFS('PQ-Due Dates'!$L:$L,'PQ-Due Dates'!$A:$A,V_Detailed_Report!$C105,'PQ-Due Dates'!$M:$M,"&gt;="&amp;V_Detailed_Report!M$3,'PQ-Due Dates'!$M:$M,"&lt;="&amp;V_Detailed_Report!M$4)</f>
        <v>0</v>
      </c>
      <c r="N105" s="157">
        <f>SUMIFS('PQ-Due Dates'!$L:$L,'PQ-Due Dates'!$A:$A,V_Detailed_Report!$C105,'PQ-Due Dates'!$M:$M,"&gt;="&amp;V_Detailed_Report!N$3,'PQ-Due Dates'!$M:$M,"&lt;="&amp;V_Detailed_Report!N$4)</f>
        <v>0</v>
      </c>
      <c r="O105" s="157">
        <f>SUMIFS('PQ-Due Dates'!$L:$L,'PQ-Due Dates'!$A:$A,V_Detailed_Report!$C105,'PQ-Due Dates'!$M:$M,"&gt;="&amp;V_Detailed_Report!O$3,'PQ-Due Dates'!$M:$M,"&lt;="&amp;V_Detailed_Report!O$4)</f>
        <v>0</v>
      </c>
      <c r="P105" s="157">
        <f>SUMIFS('PQ-Due Dates'!$L:$L,'PQ-Due Dates'!$A:$A,V_Detailed_Report!$C105,'PQ-Due Dates'!$M:$M,"&gt;="&amp;V_Detailed_Report!P$3,'PQ-Due Dates'!$M:$M,"&lt;="&amp;V_Detailed_Report!P$4)</f>
        <v>0</v>
      </c>
      <c r="Q105" s="157">
        <f>SUMIFS('PQ-Due Dates'!$L:$L,'PQ-Due Dates'!$A:$A,V_Detailed_Report!$C105,'PQ-Due Dates'!$M:$M,"&gt;="&amp;V_Detailed_Report!Q$3,'PQ-Due Dates'!$M:$M,"&lt;="&amp;V_Detailed_Report!Q$4)</f>
        <v>0</v>
      </c>
      <c r="R105" s="157">
        <f>SUMIFS('PQ-Due Dates'!$L:$L,'PQ-Due Dates'!$A:$A,V_Detailed_Report!$C105,'PQ-Due Dates'!$M:$M,"&gt;="&amp;V_Detailed_Report!R$3,'PQ-Due Dates'!$M:$M,"&lt;="&amp;V_Detailed_Report!R$4)</f>
        <v>0</v>
      </c>
      <c r="S105" s="157">
        <f>SUMIFS('PQ-Due Dates'!$L:$L,'PQ-Due Dates'!$A:$A,V_Detailed_Report!$C105,'PQ-Due Dates'!$M:$M,"&gt;="&amp;V_Detailed_Report!S$3,'PQ-Due Dates'!$M:$M,"&lt;="&amp;V_Detailed_Report!S$4)</f>
        <v>0</v>
      </c>
      <c r="T105" s="157">
        <f>SUMIFS('PQ-Due Dates'!$L:$L,'PQ-Due Dates'!$A:$A,V_Detailed_Report!$C105,'PQ-Due Dates'!$M:$M,"&gt;="&amp;V_Detailed_Report!T$3,'PQ-Due Dates'!$M:$M,"&lt;="&amp;V_Detailed_Report!T$4)</f>
        <v>0</v>
      </c>
      <c r="U105" s="157">
        <f t="shared" si="9"/>
        <v>397090</v>
      </c>
      <c r="V105" s="157">
        <f t="shared" si="10"/>
        <v>0</v>
      </c>
      <c r="W105" s="157">
        <f t="shared" si="11"/>
        <v>397090</v>
      </c>
    </row>
    <row r="106" spans="1:23" x14ac:dyDescent="0.25">
      <c r="A106" s="162" t="s">
        <v>152</v>
      </c>
      <c r="B106" s="162" t="s">
        <v>19</v>
      </c>
      <c r="C106" s="162" t="s">
        <v>362</v>
      </c>
      <c r="D106" s="162" t="str">
        <f>VLOOKUP(C106,'M_LC Summary'!A:F,6,0)</f>
        <v>SAB</v>
      </c>
      <c r="E106" s="162" t="str">
        <f>VLOOKUP(C106,'M_LC Summary'!A:C,3,0)</f>
        <v>Ajzal United for Safety CO.LTD.</v>
      </c>
      <c r="F106" s="157">
        <f>VLOOKUP(C106,'M_LC Summary'!A:K,11,0)</f>
        <v>600000</v>
      </c>
      <c r="G106" s="157">
        <f>VLOOKUP(C106,'M_LC Summary'!A:L,12,0)</f>
        <v>0</v>
      </c>
      <c r="H106" s="157">
        <f t="shared" si="8"/>
        <v>600000</v>
      </c>
      <c r="I106" s="157">
        <f>SUMIFS('PQ-Due Dates'!$L:$L,'PQ-Due Dates'!$A:$A,V_Detailed_Report!$C106,'PQ-Due Dates'!$M:$M,"&gt;="&amp;V_Detailed_Report!I$3,'PQ-Due Dates'!$M:$M,"&lt;="&amp;V_Detailed_Report!I$4)</f>
        <v>0</v>
      </c>
      <c r="J106" s="157">
        <f>SUMIFS('PQ-Due Dates'!$L:$L,'PQ-Due Dates'!$A:$A,V_Detailed_Report!$C106,'PQ-Due Dates'!$M:$M,"&gt;="&amp;V_Detailed_Report!J$3,'PQ-Due Dates'!$M:$M,"&lt;="&amp;V_Detailed_Report!J$4)</f>
        <v>0</v>
      </c>
      <c r="K106" s="157">
        <f>SUMIFS('PQ-Due Dates'!$L:$L,'PQ-Due Dates'!$A:$A,V_Detailed_Report!$C106,'PQ-Due Dates'!$M:$M,"&gt;="&amp;V_Detailed_Report!K$3,'PQ-Due Dates'!$M:$M,"&lt;="&amp;V_Detailed_Report!K$4)</f>
        <v>194647.12</v>
      </c>
      <c r="L106" s="157">
        <f>SUMIFS('PQ-Due Dates'!$L:$L,'PQ-Due Dates'!$A:$A,V_Detailed_Report!$C106,'PQ-Due Dates'!$M:$M,"&gt;="&amp;V_Detailed_Report!L$3,'PQ-Due Dates'!$M:$M,"&lt;="&amp;V_Detailed_Report!L$4)</f>
        <v>317042.21000000002</v>
      </c>
      <c r="M106" s="157">
        <f>SUMIFS('PQ-Due Dates'!$L:$L,'PQ-Due Dates'!$A:$A,V_Detailed_Report!$C106,'PQ-Due Dates'!$M:$M,"&gt;="&amp;V_Detailed_Report!M$3,'PQ-Due Dates'!$M:$M,"&lt;="&amp;V_Detailed_Report!M$4)</f>
        <v>0</v>
      </c>
      <c r="N106" s="157">
        <f>SUMIFS('PQ-Due Dates'!$L:$L,'PQ-Due Dates'!$A:$A,V_Detailed_Report!$C106,'PQ-Due Dates'!$M:$M,"&gt;="&amp;V_Detailed_Report!N$3,'PQ-Due Dates'!$M:$M,"&lt;="&amp;V_Detailed_Report!N$4)</f>
        <v>0</v>
      </c>
      <c r="O106" s="157">
        <f>SUMIFS('PQ-Due Dates'!$L:$L,'PQ-Due Dates'!$A:$A,V_Detailed_Report!$C106,'PQ-Due Dates'!$M:$M,"&gt;="&amp;V_Detailed_Report!O$3,'PQ-Due Dates'!$M:$M,"&lt;="&amp;V_Detailed_Report!O$4)</f>
        <v>0</v>
      </c>
      <c r="P106" s="157">
        <f>SUMIFS('PQ-Due Dates'!$L:$L,'PQ-Due Dates'!$A:$A,V_Detailed_Report!$C106,'PQ-Due Dates'!$M:$M,"&gt;="&amp;V_Detailed_Report!P$3,'PQ-Due Dates'!$M:$M,"&lt;="&amp;V_Detailed_Report!P$4)</f>
        <v>0</v>
      </c>
      <c r="Q106" s="157">
        <f>SUMIFS('PQ-Due Dates'!$L:$L,'PQ-Due Dates'!$A:$A,V_Detailed_Report!$C106,'PQ-Due Dates'!$M:$M,"&gt;="&amp;V_Detailed_Report!Q$3,'PQ-Due Dates'!$M:$M,"&lt;="&amp;V_Detailed_Report!Q$4)</f>
        <v>0</v>
      </c>
      <c r="R106" s="157">
        <f>SUMIFS('PQ-Due Dates'!$L:$L,'PQ-Due Dates'!$A:$A,V_Detailed_Report!$C106,'PQ-Due Dates'!$M:$M,"&gt;="&amp;V_Detailed_Report!R$3,'PQ-Due Dates'!$M:$M,"&lt;="&amp;V_Detailed_Report!R$4)</f>
        <v>0</v>
      </c>
      <c r="S106" s="157">
        <f>SUMIFS('PQ-Due Dates'!$L:$L,'PQ-Due Dates'!$A:$A,V_Detailed_Report!$C106,'PQ-Due Dates'!$M:$M,"&gt;="&amp;V_Detailed_Report!S$3,'PQ-Due Dates'!$M:$M,"&lt;="&amp;V_Detailed_Report!S$4)</f>
        <v>0</v>
      </c>
      <c r="T106" s="157">
        <f>SUMIFS('PQ-Due Dates'!$L:$L,'PQ-Due Dates'!$A:$A,V_Detailed_Report!$C106,'PQ-Due Dates'!$M:$M,"&gt;="&amp;V_Detailed_Report!T$3,'PQ-Due Dates'!$M:$M,"&lt;="&amp;V_Detailed_Report!T$4)</f>
        <v>0</v>
      </c>
      <c r="U106" s="157">
        <f t="shared" si="9"/>
        <v>511689.33</v>
      </c>
      <c r="V106" s="157">
        <f t="shared" si="10"/>
        <v>88310.669999999984</v>
      </c>
      <c r="W106" s="157">
        <f t="shared" si="11"/>
        <v>600000</v>
      </c>
    </row>
    <row r="107" spans="1:23" x14ac:dyDescent="0.25">
      <c r="A107" s="162" t="s">
        <v>152</v>
      </c>
      <c r="B107" s="162" t="s">
        <v>19</v>
      </c>
      <c r="C107" s="162" t="s">
        <v>363</v>
      </c>
      <c r="D107" s="162" t="str">
        <f>VLOOKUP(C107,'M_LC Summary'!A:F,6,0)</f>
        <v>SAB</v>
      </c>
      <c r="E107" s="162" t="str">
        <f>VLOOKUP(C107,'M_LC Summary'!A:C,3,0)</f>
        <v>Al NAKHEEL FOR TRADING COMPANY</v>
      </c>
      <c r="F107" s="157">
        <f>VLOOKUP(C107,'M_LC Summary'!A:K,11,0)</f>
        <v>1870380.07</v>
      </c>
      <c r="G107" s="157">
        <f>VLOOKUP(C107,'M_LC Summary'!A:L,12,0)</f>
        <v>0</v>
      </c>
      <c r="H107" s="157">
        <f t="shared" si="8"/>
        <v>1870380.07</v>
      </c>
      <c r="I107" s="157">
        <f>SUMIFS('PQ-Due Dates'!$L:$L,'PQ-Due Dates'!$A:$A,V_Detailed_Report!$C107,'PQ-Due Dates'!$M:$M,"&gt;="&amp;V_Detailed_Report!I$3,'PQ-Due Dates'!$M:$M,"&lt;="&amp;V_Detailed_Report!I$4)</f>
        <v>0</v>
      </c>
      <c r="J107" s="157">
        <f>SUMIFS('PQ-Due Dates'!$L:$L,'PQ-Due Dates'!$A:$A,V_Detailed_Report!$C107,'PQ-Due Dates'!$M:$M,"&gt;="&amp;V_Detailed_Report!J$3,'PQ-Due Dates'!$M:$M,"&lt;="&amp;V_Detailed_Report!J$4)</f>
        <v>0</v>
      </c>
      <c r="K107" s="157">
        <f>SUMIFS('PQ-Due Dates'!$L:$L,'PQ-Due Dates'!$A:$A,V_Detailed_Report!$C107,'PQ-Due Dates'!$M:$M,"&gt;="&amp;V_Detailed_Report!K$3,'PQ-Due Dates'!$M:$M,"&lt;="&amp;V_Detailed_Report!K$4)</f>
        <v>1309266</v>
      </c>
      <c r="L107" s="157">
        <f>SUMIFS('PQ-Due Dates'!$L:$L,'PQ-Due Dates'!$A:$A,V_Detailed_Report!$C107,'PQ-Due Dates'!$M:$M,"&gt;="&amp;V_Detailed_Report!L$3,'PQ-Due Dates'!$M:$M,"&lt;="&amp;V_Detailed_Report!L$4)</f>
        <v>0</v>
      </c>
      <c r="M107" s="157">
        <f>SUMIFS('PQ-Due Dates'!$L:$L,'PQ-Due Dates'!$A:$A,V_Detailed_Report!$C107,'PQ-Due Dates'!$M:$M,"&gt;="&amp;V_Detailed_Report!M$3,'PQ-Due Dates'!$M:$M,"&lt;="&amp;V_Detailed_Report!M$4)</f>
        <v>0</v>
      </c>
      <c r="N107" s="157">
        <f>SUMIFS('PQ-Due Dates'!$L:$L,'PQ-Due Dates'!$A:$A,V_Detailed_Report!$C107,'PQ-Due Dates'!$M:$M,"&gt;="&amp;V_Detailed_Report!N$3,'PQ-Due Dates'!$M:$M,"&lt;="&amp;V_Detailed_Report!N$4)</f>
        <v>0</v>
      </c>
      <c r="O107" s="157">
        <f>SUMIFS('PQ-Due Dates'!$L:$L,'PQ-Due Dates'!$A:$A,V_Detailed_Report!$C107,'PQ-Due Dates'!$M:$M,"&gt;="&amp;V_Detailed_Report!O$3,'PQ-Due Dates'!$M:$M,"&lt;="&amp;V_Detailed_Report!O$4)</f>
        <v>0</v>
      </c>
      <c r="P107" s="157">
        <f>SUMIFS('PQ-Due Dates'!$L:$L,'PQ-Due Dates'!$A:$A,V_Detailed_Report!$C107,'PQ-Due Dates'!$M:$M,"&gt;="&amp;V_Detailed_Report!P$3,'PQ-Due Dates'!$M:$M,"&lt;="&amp;V_Detailed_Report!P$4)</f>
        <v>0</v>
      </c>
      <c r="Q107" s="157">
        <f>SUMIFS('PQ-Due Dates'!$L:$L,'PQ-Due Dates'!$A:$A,V_Detailed_Report!$C107,'PQ-Due Dates'!$M:$M,"&gt;="&amp;V_Detailed_Report!Q$3,'PQ-Due Dates'!$M:$M,"&lt;="&amp;V_Detailed_Report!Q$4)</f>
        <v>0</v>
      </c>
      <c r="R107" s="157">
        <f>SUMIFS('PQ-Due Dates'!$L:$L,'PQ-Due Dates'!$A:$A,V_Detailed_Report!$C107,'PQ-Due Dates'!$M:$M,"&gt;="&amp;V_Detailed_Report!R$3,'PQ-Due Dates'!$M:$M,"&lt;="&amp;V_Detailed_Report!R$4)</f>
        <v>0</v>
      </c>
      <c r="S107" s="157">
        <f>SUMIFS('PQ-Due Dates'!$L:$L,'PQ-Due Dates'!$A:$A,V_Detailed_Report!$C107,'PQ-Due Dates'!$M:$M,"&gt;="&amp;V_Detailed_Report!S$3,'PQ-Due Dates'!$M:$M,"&lt;="&amp;V_Detailed_Report!S$4)</f>
        <v>0</v>
      </c>
      <c r="T107" s="157">
        <f>SUMIFS('PQ-Due Dates'!$L:$L,'PQ-Due Dates'!$A:$A,V_Detailed_Report!$C107,'PQ-Due Dates'!$M:$M,"&gt;="&amp;V_Detailed_Report!T$3,'PQ-Due Dates'!$M:$M,"&lt;="&amp;V_Detailed_Report!T$4)</f>
        <v>0</v>
      </c>
      <c r="U107" s="157">
        <f t="shared" si="9"/>
        <v>1309266</v>
      </c>
      <c r="V107" s="157">
        <f t="shared" si="10"/>
        <v>561114.07000000007</v>
      </c>
      <c r="W107" s="157">
        <f t="shared" si="11"/>
        <v>1870380.07</v>
      </c>
    </row>
    <row r="108" spans="1:23" x14ac:dyDescent="0.25">
      <c r="A108" s="162" t="s">
        <v>152</v>
      </c>
      <c r="B108" s="162" t="s">
        <v>19</v>
      </c>
      <c r="C108" s="162" t="s">
        <v>364</v>
      </c>
      <c r="D108" s="162" t="str">
        <f>VLOOKUP(C108,'M_LC Summary'!A:F,6,0)</f>
        <v>SAB</v>
      </c>
      <c r="E108" s="162" t="str">
        <f>VLOOKUP(C108,'M_LC Summary'!A:C,3,0)</f>
        <v>Mimar For Construction Tools and Trading Ltd.</v>
      </c>
      <c r="F108" s="157">
        <f>VLOOKUP(C108,'M_LC Summary'!A:K,11,0)</f>
        <v>398652.54</v>
      </c>
      <c r="G108" s="157">
        <f>VLOOKUP(C108,'M_LC Summary'!A:L,12,0)</f>
        <v>0</v>
      </c>
      <c r="H108" s="157">
        <f t="shared" si="8"/>
        <v>398652.54</v>
      </c>
      <c r="I108" s="157">
        <f>SUMIFS('PQ-Due Dates'!$L:$L,'PQ-Due Dates'!$A:$A,V_Detailed_Report!$C108,'PQ-Due Dates'!$M:$M,"&gt;="&amp;V_Detailed_Report!I$3,'PQ-Due Dates'!$M:$M,"&lt;="&amp;V_Detailed_Report!I$4)</f>
        <v>0</v>
      </c>
      <c r="J108" s="157">
        <f>SUMIFS('PQ-Due Dates'!$L:$L,'PQ-Due Dates'!$A:$A,V_Detailed_Report!$C108,'PQ-Due Dates'!$M:$M,"&gt;="&amp;V_Detailed_Report!J$3,'PQ-Due Dates'!$M:$M,"&lt;="&amp;V_Detailed_Report!J$4)</f>
        <v>0</v>
      </c>
      <c r="K108" s="157">
        <f>SUMIFS('PQ-Due Dates'!$L:$L,'PQ-Due Dates'!$A:$A,V_Detailed_Report!$C108,'PQ-Due Dates'!$M:$M,"&gt;="&amp;V_Detailed_Report!K$3,'PQ-Due Dates'!$M:$M,"&lt;="&amp;V_Detailed_Report!K$4)</f>
        <v>0</v>
      </c>
      <c r="L108" s="157">
        <f>SUMIFS('PQ-Due Dates'!$L:$L,'PQ-Due Dates'!$A:$A,V_Detailed_Report!$C108,'PQ-Due Dates'!$M:$M,"&gt;="&amp;V_Detailed_Report!L$3,'PQ-Due Dates'!$M:$M,"&lt;="&amp;V_Detailed_Report!L$4)</f>
        <v>0</v>
      </c>
      <c r="M108" s="157">
        <f>SUMIFS('PQ-Due Dates'!$L:$L,'PQ-Due Dates'!$A:$A,V_Detailed_Report!$C108,'PQ-Due Dates'!$M:$M,"&gt;="&amp;V_Detailed_Report!M$3,'PQ-Due Dates'!$M:$M,"&lt;="&amp;V_Detailed_Report!M$4)</f>
        <v>0</v>
      </c>
      <c r="N108" s="157">
        <f>SUMIFS('PQ-Due Dates'!$L:$L,'PQ-Due Dates'!$A:$A,V_Detailed_Report!$C108,'PQ-Due Dates'!$M:$M,"&gt;="&amp;V_Detailed_Report!N$3,'PQ-Due Dates'!$M:$M,"&lt;="&amp;V_Detailed_Report!N$4)</f>
        <v>0</v>
      </c>
      <c r="O108" s="157">
        <f>SUMIFS('PQ-Due Dates'!$L:$L,'PQ-Due Dates'!$A:$A,V_Detailed_Report!$C108,'PQ-Due Dates'!$M:$M,"&gt;="&amp;V_Detailed_Report!O$3,'PQ-Due Dates'!$M:$M,"&lt;="&amp;V_Detailed_Report!O$4)</f>
        <v>0</v>
      </c>
      <c r="P108" s="157">
        <f>SUMIFS('PQ-Due Dates'!$L:$L,'PQ-Due Dates'!$A:$A,V_Detailed_Report!$C108,'PQ-Due Dates'!$M:$M,"&gt;="&amp;V_Detailed_Report!P$3,'PQ-Due Dates'!$M:$M,"&lt;="&amp;V_Detailed_Report!P$4)</f>
        <v>0</v>
      </c>
      <c r="Q108" s="157">
        <f>SUMIFS('PQ-Due Dates'!$L:$L,'PQ-Due Dates'!$A:$A,V_Detailed_Report!$C108,'PQ-Due Dates'!$M:$M,"&gt;="&amp;V_Detailed_Report!Q$3,'PQ-Due Dates'!$M:$M,"&lt;="&amp;V_Detailed_Report!Q$4)</f>
        <v>0</v>
      </c>
      <c r="R108" s="157">
        <f>SUMIFS('PQ-Due Dates'!$L:$L,'PQ-Due Dates'!$A:$A,V_Detailed_Report!$C108,'PQ-Due Dates'!$M:$M,"&gt;="&amp;V_Detailed_Report!R$3,'PQ-Due Dates'!$M:$M,"&lt;="&amp;V_Detailed_Report!R$4)</f>
        <v>0</v>
      </c>
      <c r="S108" s="157">
        <f>SUMIFS('PQ-Due Dates'!$L:$L,'PQ-Due Dates'!$A:$A,V_Detailed_Report!$C108,'PQ-Due Dates'!$M:$M,"&gt;="&amp;V_Detailed_Report!S$3,'PQ-Due Dates'!$M:$M,"&lt;="&amp;V_Detailed_Report!S$4)</f>
        <v>0</v>
      </c>
      <c r="T108" s="157">
        <f>SUMIFS('PQ-Due Dates'!$L:$L,'PQ-Due Dates'!$A:$A,V_Detailed_Report!$C108,'PQ-Due Dates'!$M:$M,"&gt;="&amp;V_Detailed_Report!T$3,'PQ-Due Dates'!$M:$M,"&lt;="&amp;V_Detailed_Report!T$4)</f>
        <v>0</v>
      </c>
      <c r="U108" s="157">
        <f t="shared" si="9"/>
        <v>0</v>
      </c>
      <c r="V108" s="157">
        <f t="shared" si="10"/>
        <v>398652.54</v>
      </c>
      <c r="W108" s="157">
        <f t="shared" si="11"/>
        <v>398652.54</v>
      </c>
    </row>
    <row r="109" spans="1:23" x14ac:dyDescent="0.25">
      <c r="A109" s="162" t="s">
        <v>152</v>
      </c>
      <c r="B109" s="162" t="s">
        <v>19</v>
      </c>
      <c r="C109" s="162" t="s">
        <v>377</v>
      </c>
      <c r="D109" s="162" t="str">
        <f>VLOOKUP(C109,'M_LC Summary'!A:F,6,0)</f>
        <v>SAB</v>
      </c>
      <c r="E109" s="162" t="str">
        <f>VLOOKUP(C109,'M_LC Summary'!A:C,3,0)</f>
        <v>The Fundamental Installation For Electric Work Co</v>
      </c>
      <c r="F109" s="157">
        <f>VLOOKUP(C109,'M_LC Summary'!A:K,11,0)</f>
        <v>14000000</v>
      </c>
      <c r="G109" s="157">
        <f>VLOOKUP(C109,'M_LC Summary'!A:L,12,0)</f>
        <v>10000000</v>
      </c>
      <c r="H109" s="157">
        <f t="shared" si="8"/>
        <v>4000000</v>
      </c>
      <c r="I109" s="157">
        <f>SUMIFS('PQ-Due Dates'!$L:$L,'PQ-Due Dates'!$A:$A,V_Detailed_Report!$C109,'PQ-Due Dates'!$M:$M,"&gt;="&amp;V_Detailed_Report!I$3,'PQ-Due Dates'!$M:$M,"&lt;="&amp;V_Detailed_Report!I$4)</f>
        <v>0</v>
      </c>
      <c r="J109" s="157">
        <f>SUMIFS('PQ-Due Dates'!$L:$L,'PQ-Due Dates'!$A:$A,V_Detailed_Report!$C109,'PQ-Due Dates'!$M:$M,"&gt;="&amp;V_Detailed_Report!J$3,'PQ-Due Dates'!$M:$M,"&lt;="&amp;V_Detailed_Report!J$4)</f>
        <v>0</v>
      </c>
      <c r="K109" s="157">
        <f>SUMIFS('PQ-Due Dates'!$L:$L,'PQ-Due Dates'!$A:$A,V_Detailed_Report!$C109,'PQ-Due Dates'!$M:$M,"&gt;="&amp;V_Detailed_Report!K$3,'PQ-Due Dates'!$M:$M,"&lt;="&amp;V_Detailed_Report!K$4)</f>
        <v>0</v>
      </c>
      <c r="L109" s="157">
        <f>SUMIFS('PQ-Due Dates'!$L:$L,'PQ-Due Dates'!$A:$A,V_Detailed_Report!$C109,'PQ-Due Dates'!$M:$M,"&gt;="&amp;V_Detailed_Report!L$3,'PQ-Due Dates'!$M:$M,"&lt;="&amp;V_Detailed_Report!L$4)</f>
        <v>4000000</v>
      </c>
      <c r="M109" s="157">
        <f>SUMIFS('PQ-Due Dates'!$L:$L,'PQ-Due Dates'!$A:$A,V_Detailed_Report!$C109,'PQ-Due Dates'!$M:$M,"&gt;="&amp;V_Detailed_Report!M$3,'PQ-Due Dates'!$M:$M,"&lt;="&amp;V_Detailed_Report!M$4)</f>
        <v>0</v>
      </c>
      <c r="N109" s="157">
        <f>SUMIFS('PQ-Due Dates'!$L:$L,'PQ-Due Dates'!$A:$A,V_Detailed_Report!$C109,'PQ-Due Dates'!$M:$M,"&gt;="&amp;V_Detailed_Report!N$3,'PQ-Due Dates'!$M:$M,"&lt;="&amp;V_Detailed_Report!N$4)</f>
        <v>0</v>
      </c>
      <c r="O109" s="157">
        <f>SUMIFS('PQ-Due Dates'!$L:$L,'PQ-Due Dates'!$A:$A,V_Detailed_Report!$C109,'PQ-Due Dates'!$M:$M,"&gt;="&amp;V_Detailed_Report!O$3,'PQ-Due Dates'!$M:$M,"&lt;="&amp;V_Detailed_Report!O$4)</f>
        <v>0</v>
      </c>
      <c r="P109" s="157">
        <f>SUMIFS('PQ-Due Dates'!$L:$L,'PQ-Due Dates'!$A:$A,V_Detailed_Report!$C109,'PQ-Due Dates'!$M:$M,"&gt;="&amp;V_Detailed_Report!P$3,'PQ-Due Dates'!$M:$M,"&lt;="&amp;V_Detailed_Report!P$4)</f>
        <v>0</v>
      </c>
      <c r="Q109" s="157">
        <f>SUMIFS('PQ-Due Dates'!$L:$L,'PQ-Due Dates'!$A:$A,V_Detailed_Report!$C109,'PQ-Due Dates'!$M:$M,"&gt;="&amp;V_Detailed_Report!Q$3,'PQ-Due Dates'!$M:$M,"&lt;="&amp;V_Detailed_Report!Q$4)</f>
        <v>0</v>
      </c>
      <c r="R109" s="157">
        <f>SUMIFS('PQ-Due Dates'!$L:$L,'PQ-Due Dates'!$A:$A,V_Detailed_Report!$C109,'PQ-Due Dates'!$M:$M,"&gt;="&amp;V_Detailed_Report!R$3,'PQ-Due Dates'!$M:$M,"&lt;="&amp;V_Detailed_Report!R$4)</f>
        <v>0</v>
      </c>
      <c r="S109" s="157">
        <f>SUMIFS('PQ-Due Dates'!$L:$L,'PQ-Due Dates'!$A:$A,V_Detailed_Report!$C109,'PQ-Due Dates'!$M:$M,"&gt;="&amp;V_Detailed_Report!S$3,'PQ-Due Dates'!$M:$M,"&lt;="&amp;V_Detailed_Report!S$4)</f>
        <v>0</v>
      </c>
      <c r="T109" s="157">
        <f>SUMIFS('PQ-Due Dates'!$L:$L,'PQ-Due Dates'!$A:$A,V_Detailed_Report!$C109,'PQ-Due Dates'!$M:$M,"&gt;="&amp;V_Detailed_Report!T$3,'PQ-Due Dates'!$M:$M,"&lt;="&amp;V_Detailed_Report!T$4)</f>
        <v>0</v>
      </c>
      <c r="U109" s="157">
        <f t="shared" si="9"/>
        <v>4000000</v>
      </c>
      <c r="V109" s="157">
        <f t="shared" si="10"/>
        <v>0</v>
      </c>
      <c r="W109" s="157">
        <f t="shared" si="11"/>
        <v>4000000</v>
      </c>
    </row>
    <row r="110" spans="1:23" x14ac:dyDescent="0.25">
      <c r="A110" s="162" t="s">
        <v>152</v>
      </c>
      <c r="B110" s="162" t="s">
        <v>19</v>
      </c>
      <c r="C110" s="162" t="s">
        <v>398</v>
      </c>
      <c r="D110" s="162" t="str">
        <f>VLOOKUP(C110,'M_LC Summary'!A:F,6,0)</f>
        <v>SAB</v>
      </c>
      <c r="E110" s="162" t="str">
        <f>VLOOKUP(C110,'M_LC Summary'!A:C,3,0)</f>
        <v>Ajzal United For Safety Co.Ltd.</v>
      </c>
      <c r="F110" s="157">
        <f>VLOOKUP(C110,'M_LC Summary'!A:K,11,0)</f>
        <v>175000</v>
      </c>
      <c r="G110" s="157">
        <f>VLOOKUP(C110,'M_LC Summary'!A:L,12,0)</f>
        <v>0</v>
      </c>
      <c r="H110" s="157">
        <f t="shared" si="8"/>
        <v>175000</v>
      </c>
      <c r="I110" s="157">
        <f>SUMIFS('PQ-Due Dates'!$L:$L,'PQ-Due Dates'!$A:$A,V_Detailed_Report!$C110,'PQ-Due Dates'!$M:$M,"&gt;="&amp;V_Detailed_Report!I$3,'PQ-Due Dates'!$M:$M,"&lt;="&amp;V_Detailed_Report!I$4)</f>
        <v>0</v>
      </c>
      <c r="J110" s="157">
        <f>SUMIFS('PQ-Due Dates'!$L:$L,'PQ-Due Dates'!$A:$A,V_Detailed_Report!$C110,'PQ-Due Dates'!$M:$M,"&gt;="&amp;V_Detailed_Report!J$3,'PQ-Due Dates'!$M:$M,"&lt;="&amp;V_Detailed_Report!J$4)</f>
        <v>0</v>
      </c>
      <c r="K110" s="157">
        <f>SUMIFS('PQ-Due Dates'!$L:$L,'PQ-Due Dates'!$A:$A,V_Detailed_Report!$C110,'PQ-Due Dates'!$M:$M,"&gt;="&amp;V_Detailed_Report!K$3,'PQ-Due Dates'!$M:$M,"&lt;="&amp;V_Detailed_Report!K$4)</f>
        <v>0</v>
      </c>
      <c r="L110" s="157">
        <f>SUMIFS('PQ-Due Dates'!$L:$L,'PQ-Due Dates'!$A:$A,V_Detailed_Report!$C110,'PQ-Due Dates'!$M:$M,"&gt;="&amp;V_Detailed_Report!L$3,'PQ-Due Dates'!$M:$M,"&lt;="&amp;V_Detailed_Report!L$4)</f>
        <v>0</v>
      </c>
      <c r="M110" s="157">
        <f>SUMIFS('PQ-Due Dates'!$L:$L,'PQ-Due Dates'!$A:$A,V_Detailed_Report!$C110,'PQ-Due Dates'!$M:$M,"&gt;="&amp;V_Detailed_Report!M$3,'PQ-Due Dates'!$M:$M,"&lt;="&amp;V_Detailed_Report!M$4)</f>
        <v>0</v>
      </c>
      <c r="N110" s="157">
        <f>SUMIFS('PQ-Due Dates'!$L:$L,'PQ-Due Dates'!$A:$A,V_Detailed_Report!$C110,'PQ-Due Dates'!$M:$M,"&gt;="&amp;V_Detailed_Report!N$3,'PQ-Due Dates'!$M:$M,"&lt;="&amp;V_Detailed_Report!N$4)</f>
        <v>0</v>
      </c>
      <c r="O110" s="157">
        <f>SUMIFS('PQ-Due Dates'!$L:$L,'PQ-Due Dates'!$A:$A,V_Detailed_Report!$C110,'PQ-Due Dates'!$M:$M,"&gt;="&amp;V_Detailed_Report!O$3,'PQ-Due Dates'!$M:$M,"&lt;="&amp;V_Detailed_Report!O$4)</f>
        <v>0</v>
      </c>
      <c r="P110" s="157">
        <f>SUMIFS('PQ-Due Dates'!$L:$L,'PQ-Due Dates'!$A:$A,V_Detailed_Report!$C110,'PQ-Due Dates'!$M:$M,"&gt;="&amp;V_Detailed_Report!P$3,'PQ-Due Dates'!$M:$M,"&lt;="&amp;V_Detailed_Report!P$4)</f>
        <v>0</v>
      </c>
      <c r="Q110" s="157">
        <f>SUMIFS('PQ-Due Dates'!$L:$L,'PQ-Due Dates'!$A:$A,V_Detailed_Report!$C110,'PQ-Due Dates'!$M:$M,"&gt;="&amp;V_Detailed_Report!Q$3,'PQ-Due Dates'!$M:$M,"&lt;="&amp;V_Detailed_Report!Q$4)</f>
        <v>0</v>
      </c>
      <c r="R110" s="157">
        <f>SUMIFS('PQ-Due Dates'!$L:$L,'PQ-Due Dates'!$A:$A,V_Detailed_Report!$C110,'PQ-Due Dates'!$M:$M,"&gt;="&amp;V_Detailed_Report!R$3,'PQ-Due Dates'!$M:$M,"&lt;="&amp;V_Detailed_Report!R$4)</f>
        <v>0</v>
      </c>
      <c r="S110" s="157">
        <f>SUMIFS('PQ-Due Dates'!$L:$L,'PQ-Due Dates'!$A:$A,V_Detailed_Report!$C110,'PQ-Due Dates'!$M:$M,"&gt;="&amp;V_Detailed_Report!S$3,'PQ-Due Dates'!$M:$M,"&lt;="&amp;V_Detailed_Report!S$4)</f>
        <v>0</v>
      </c>
      <c r="T110" s="157">
        <f>SUMIFS('PQ-Due Dates'!$L:$L,'PQ-Due Dates'!$A:$A,V_Detailed_Report!$C110,'PQ-Due Dates'!$M:$M,"&gt;="&amp;V_Detailed_Report!T$3,'PQ-Due Dates'!$M:$M,"&lt;="&amp;V_Detailed_Report!T$4)</f>
        <v>0</v>
      </c>
      <c r="U110" s="157">
        <f t="shared" si="9"/>
        <v>0</v>
      </c>
      <c r="V110" s="157">
        <f t="shared" si="10"/>
        <v>175000</v>
      </c>
      <c r="W110" s="157">
        <f t="shared" si="11"/>
        <v>175000</v>
      </c>
    </row>
    <row r="111" spans="1:23" x14ac:dyDescent="0.25">
      <c r="A111" s="162" t="s">
        <v>152</v>
      </c>
      <c r="B111" s="162" t="s">
        <v>19</v>
      </c>
      <c r="C111" s="162" t="s">
        <v>399</v>
      </c>
      <c r="D111" s="162" t="str">
        <f>VLOOKUP(C111,'M_LC Summary'!A:F,6,0)</f>
        <v>SAB</v>
      </c>
      <c r="E111" s="162" t="str">
        <f>VLOOKUP(C111,'M_LC Summary'!A:C,3,0)</f>
        <v>Aknan Alkhair Tranding Est</v>
      </c>
      <c r="F111" s="157">
        <f>VLOOKUP(C111,'M_LC Summary'!A:K,11,0)</f>
        <v>125000</v>
      </c>
      <c r="G111" s="157">
        <f>VLOOKUP(C111,'M_LC Summary'!A:L,12,0)</f>
        <v>0</v>
      </c>
      <c r="H111" s="157">
        <f t="shared" si="8"/>
        <v>125000</v>
      </c>
      <c r="I111" s="157">
        <f>SUMIFS('PQ-Due Dates'!$L:$L,'PQ-Due Dates'!$A:$A,V_Detailed_Report!$C111,'PQ-Due Dates'!$M:$M,"&gt;="&amp;V_Detailed_Report!I$3,'PQ-Due Dates'!$M:$M,"&lt;="&amp;V_Detailed_Report!I$4)</f>
        <v>0</v>
      </c>
      <c r="J111" s="157">
        <f>SUMIFS('PQ-Due Dates'!$L:$L,'PQ-Due Dates'!$A:$A,V_Detailed_Report!$C111,'PQ-Due Dates'!$M:$M,"&gt;="&amp;V_Detailed_Report!J$3,'PQ-Due Dates'!$M:$M,"&lt;="&amp;V_Detailed_Report!J$4)</f>
        <v>0</v>
      </c>
      <c r="K111" s="157">
        <f>SUMIFS('PQ-Due Dates'!$L:$L,'PQ-Due Dates'!$A:$A,V_Detailed_Report!$C111,'PQ-Due Dates'!$M:$M,"&gt;="&amp;V_Detailed_Report!K$3,'PQ-Due Dates'!$M:$M,"&lt;="&amp;V_Detailed_Report!K$4)</f>
        <v>0</v>
      </c>
      <c r="L111" s="157">
        <f>SUMIFS('PQ-Due Dates'!$L:$L,'PQ-Due Dates'!$A:$A,V_Detailed_Report!$C111,'PQ-Due Dates'!$M:$M,"&gt;="&amp;V_Detailed_Report!L$3,'PQ-Due Dates'!$M:$M,"&lt;="&amp;V_Detailed_Report!L$4)</f>
        <v>0</v>
      </c>
      <c r="M111" s="157">
        <f>SUMIFS('PQ-Due Dates'!$L:$L,'PQ-Due Dates'!$A:$A,V_Detailed_Report!$C111,'PQ-Due Dates'!$M:$M,"&gt;="&amp;V_Detailed_Report!M$3,'PQ-Due Dates'!$M:$M,"&lt;="&amp;V_Detailed_Report!M$4)</f>
        <v>125000</v>
      </c>
      <c r="N111" s="157">
        <f>SUMIFS('PQ-Due Dates'!$L:$L,'PQ-Due Dates'!$A:$A,V_Detailed_Report!$C111,'PQ-Due Dates'!$M:$M,"&gt;="&amp;V_Detailed_Report!N$3,'PQ-Due Dates'!$M:$M,"&lt;="&amp;V_Detailed_Report!N$4)</f>
        <v>0</v>
      </c>
      <c r="O111" s="157">
        <f>SUMIFS('PQ-Due Dates'!$L:$L,'PQ-Due Dates'!$A:$A,V_Detailed_Report!$C111,'PQ-Due Dates'!$M:$M,"&gt;="&amp;V_Detailed_Report!O$3,'PQ-Due Dates'!$M:$M,"&lt;="&amp;V_Detailed_Report!O$4)</f>
        <v>0</v>
      </c>
      <c r="P111" s="157">
        <f>SUMIFS('PQ-Due Dates'!$L:$L,'PQ-Due Dates'!$A:$A,V_Detailed_Report!$C111,'PQ-Due Dates'!$M:$M,"&gt;="&amp;V_Detailed_Report!P$3,'PQ-Due Dates'!$M:$M,"&lt;="&amp;V_Detailed_Report!P$4)</f>
        <v>0</v>
      </c>
      <c r="Q111" s="157">
        <f>SUMIFS('PQ-Due Dates'!$L:$L,'PQ-Due Dates'!$A:$A,V_Detailed_Report!$C111,'PQ-Due Dates'!$M:$M,"&gt;="&amp;V_Detailed_Report!Q$3,'PQ-Due Dates'!$M:$M,"&lt;="&amp;V_Detailed_Report!Q$4)</f>
        <v>0</v>
      </c>
      <c r="R111" s="157">
        <f>SUMIFS('PQ-Due Dates'!$L:$L,'PQ-Due Dates'!$A:$A,V_Detailed_Report!$C111,'PQ-Due Dates'!$M:$M,"&gt;="&amp;V_Detailed_Report!R$3,'PQ-Due Dates'!$M:$M,"&lt;="&amp;V_Detailed_Report!R$4)</f>
        <v>0</v>
      </c>
      <c r="S111" s="157">
        <f>SUMIFS('PQ-Due Dates'!$L:$L,'PQ-Due Dates'!$A:$A,V_Detailed_Report!$C111,'PQ-Due Dates'!$M:$M,"&gt;="&amp;V_Detailed_Report!S$3,'PQ-Due Dates'!$M:$M,"&lt;="&amp;V_Detailed_Report!S$4)</f>
        <v>0</v>
      </c>
      <c r="T111" s="157">
        <f>SUMIFS('PQ-Due Dates'!$L:$L,'PQ-Due Dates'!$A:$A,V_Detailed_Report!$C111,'PQ-Due Dates'!$M:$M,"&gt;="&amp;V_Detailed_Report!T$3,'PQ-Due Dates'!$M:$M,"&lt;="&amp;V_Detailed_Report!T$4)</f>
        <v>0</v>
      </c>
      <c r="U111" s="157">
        <f t="shared" si="9"/>
        <v>125000</v>
      </c>
      <c r="V111" s="157">
        <f t="shared" si="10"/>
        <v>0</v>
      </c>
      <c r="W111" s="157">
        <f t="shared" si="11"/>
        <v>125000</v>
      </c>
    </row>
    <row r="112" spans="1:23" x14ac:dyDescent="0.25">
      <c r="A112" s="162" t="s">
        <v>152</v>
      </c>
      <c r="B112" s="162" t="s">
        <v>19</v>
      </c>
      <c r="C112" s="162" t="s">
        <v>400</v>
      </c>
      <c r="D112" s="162" t="str">
        <f>VLOOKUP(C112,'M_LC Summary'!A:F,6,0)</f>
        <v>SAB</v>
      </c>
      <c r="E112" s="162" t="str">
        <f>VLOOKUP(C112,'M_LC Summary'!A:C,3,0)</f>
        <v>Al Maymanah For Contracting Co. Ltd.</v>
      </c>
      <c r="F112" s="157">
        <f>VLOOKUP(C112,'M_LC Summary'!A:K,11,0)</f>
        <v>500000</v>
      </c>
      <c r="G112" s="157">
        <f>VLOOKUP(C112,'M_LC Summary'!A:L,12,0)</f>
        <v>0</v>
      </c>
      <c r="H112" s="157">
        <f t="shared" si="8"/>
        <v>500000</v>
      </c>
      <c r="I112" s="157">
        <f>SUMIFS('PQ-Due Dates'!$L:$L,'PQ-Due Dates'!$A:$A,V_Detailed_Report!$C112,'PQ-Due Dates'!$M:$M,"&gt;="&amp;V_Detailed_Report!I$3,'PQ-Due Dates'!$M:$M,"&lt;="&amp;V_Detailed_Report!I$4)</f>
        <v>0</v>
      </c>
      <c r="J112" s="157">
        <f>SUMIFS('PQ-Due Dates'!$L:$L,'PQ-Due Dates'!$A:$A,V_Detailed_Report!$C112,'PQ-Due Dates'!$M:$M,"&gt;="&amp;V_Detailed_Report!J$3,'PQ-Due Dates'!$M:$M,"&lt;="&amp;V_Detailed_Report!J$4)</f>
        <v>0</v>
      </c>
      <c r="K112" s="157">
        <f>SUMIFS('PQ-Due Dates'!$L:$L,'PQ-Due Dates'!$A:$A,V_Detailed_Report!$C112,'PQ-Due Dates'!$M:$M,"&gt;="&amp;V_Detailed_Report!K$3,'PQ-Due Dates'!$M:$M,"&lt;="&amp;V_Detailed_Report!K$4)</f>
        <v>0</v>
      </c>
      <c r="L112" s="157">
        <f>SUMIFS('PQ-Due Dates'!$L:$L,'PQ-Due Dates'!$A:$A,V_Detailed_Report!$C112,'PQ-Due Dates'!$M:$M,"&gt;="&amp;V_Detailed_Report!L$3,'PQ-Due Dates'!$M:$M,"&lt;="&amp;V_Detailed_Report!L$4)</f>
        <v>500000</v>
      </c>
      <c r="M112" s="157">
        <f>SUMIFS('PQ-Due Dates'!$L:$L,'PQ-Due Dates'!$A:$A,V_Detailed_Report!$C112,'PQ-Due Dates'!$M:$M,"&gt;="&amp;V_Detailed_Report!M$3,'PQ-Due Dates'!$M:$M,"&lt;="&amp;V_Detailed_Report!M$4)</f>
        <v>0</v>
      </c>
      <c r="N112" s="157">
        <f>SUMIFS('PQ-Due Dates'!$L:$L,'PQ-Due Dates'!$A:$A,V_Detailed_Report!$C112,'PQ-Due Dates'!$M:$M,"&gt;="&amp;V_Detailed_Report!N$3,'PQ-Due Dates'!$M:$M,"&lt;="&amp;V_Detailed_Report!N$4)</f>
        <v>0</v>
      </c>
      <c r="O112" s="157">
        <f>SUMIFS('PQ-Due Dates'!$L:$L,'PQ-Due Dates'!$A:$A,V_Detailed_Report!$C112,'PQ-Due Dates'!$M:$M,"&gt;="&amp;V_Detailed_Report!O$3,'PQ-Due Dates'!$M:$M,"&lt;="&amp;V_Detailed_Report!O$4)</f>
        <v>0</v>
      </c>
      <c r="P112" s="157">
        <f>SUMIFS('PQ-Due Dates'!$L:$L,'PQ-Due Dates'!$A:$A,V_Detailed_Report!$C112,'PQ-Due Dates'!$M:$M,"&gt;="&amp;V_Detailed_Report!P$3,'PQ-Due Dates'!$M:$M,"&lt;="&amp;V_Detailed_Report!P$4)</f>
        <v>0</v>
      </c>
      <c r="Q112" s="157">
        <f>SUMIFS('PQ-Due Dates'!$L:$L,'PQ-Due Dates'!$A:$A,V_Detailed_Report!$C112,'PQ-Due Dates'!$M:$M,"&gt;="&amp;V_Detailed_Report!Q$3,'PQ-Due Dates'!$M:$M,"&lt;="&amp;V_Detailed_Report!Q$4)</f>
        <v>0</v>
      </c>
      <c r="R112" s="157">
        <f>SUMIFS('PQ-Due Dates'!$L:$L,'PQ-Due Dates'!$A:$A,V_Detailed_Report!$C112,'PQ-Due Dates'!$M:$M,"&gt;="&amp;V_Detailed_Report!R$3,'PQ-Due Dates'!$M:$M,"&lt;="&amp;V_Detailed_Report!R$4)</f>
        <v>0</v>
      </c>
      <c r="S112" s="157">
        <f>SUMIFS('PQ-Due Dates'!$L:$L,'PQ-Due Dates'!$A:$A,V_Detailed_Report!$C112,'PQ-Due Dates'!$M:$M,"&gt;="&amp;V_Detailed_Report!S$3,'PQ-Due Dates'!$M:$M,"&lt;="&amp;V_Detailed_Report!S$4)</f>
        <v>0</v>
      </c>
      <c r="T112" s="157">
        <f>SUMIFS('PQ-Due Dates'!$L:$L,'PQ-Due Dates'!$A:$A,V_Detailed_Report!$C112,'PQ-Due Dates'!$M:$M,"&gt;="&amp;V_Detailed_Report!T$3,'PQ-Due Dates'!$M:$M,"&lt;="&amp;V_Detailed_Report!T$4)</f>
        <v>0</v>
      </c>
      <c r="U112" s="157">
        <f t="shared" si="9"/>
        <v>500000</v>
      </c>
      <c r="V112" s="157">
        <f t="shared" si="10"/>
        <v>0</v>
      </c>
      <c r="W112" s="157">
        <f t="shared" si="11"/>
        <v>500000</v>
      </c>
    </row>
    <row r="113" spans="1:23" x14ac:dyDescent="0.25">
      <c r="A113" s="162" t="s">
        <v>152</v>
      </c>
      <c r="B113" s="162" t="s">
        <v>19</v>
      </c>
      <c r="C113" s="162" t="s">
        <v>401</v>
      </c>
      <c r="D113" s="162" t="str">
        <f>VLOOKUP(C113,'M_LC Summary'!A:F,6,0)</f>
        <v>SAB</v>
      </c>
      <c r="E113" s="162" t="str">
        <f>VLOOKUP(C113,'M_LC Summary'!A:C,3,0)</f>
        <v>Ali Manea Alyami Trading Est.</v>
      </c>
      <c r="F113" s="157">
        <f>VLOOKUP(C113,'M_LC Summary'!A:K,11,0)</f>
        <v>450000</v>
      </c>
      <c r="G113" s="157">
        <f>VLOOKUP(C113,'M_LC Summary'!A:L,12,0)</f>
        <v>0</v>
      </c>
      <c r="H113" s="157">
        <f t="shared" si="8"/>
        <v>450000</v>
      </c>
      <c r="I113" s="157">
        <f>SUMIFS('PQ-Due Dates'!$L:$L,'PQ-Due Dates'!$A:$A,V_Detailed_Report!$C113,'PQ-Due Dates'!$M:$M,"&gt;="&amp;V_Detailed_Report!I$3,'PQ-Due Dates'!$M:$M,"&lt;="&amp;V_Detailed_Report!I$4)</f>
        <v>0</v>
      </c>
      <c r="J113" s="157">
        <f>SUMIFS('PQ-Due Dates'!$L:$L,'PQ-Due Dates'!$A:$A,V_Detailed_Report!$C113,'PQ-Due Dates'!$M:$M,"&gt;="&amp;V_Detailed_Report!J$3,'PQ-Due Dates'!$M:$M,"&lt;="&amp;V_Detailed_Report!J$4)</f>
        <v>0</v>
      </c>
      <c r="K113" s="157">
        <f>SUMIFS('PQ-Due Dates'!$L:$L,'PQ-Due Dates'!$A:$A,V_Detailed_Report!$C113,'PQ-Due Dates'!$M:$M,"&gt;="&amp;V_Detailed_Report!K$3,'PQ-Due Dates'!$M:$M,"&lt;="&amp;V_Detailed_Report!K$4)</f>
        <v>0</v>
      </c>
      <c r="L113" s="157">
        <f>SUMIFS('PQ-Due Dates'!$L:$L,'PQ-Due Dates'!$A:$A,V_Detailed_Report!$C113,'PQ-Due Dates'!$M:$M,"&gt;="&amp;V_Detailed_Report!L$3,'PQ-Due Dates'!$M:$M,"&lt;="&amp;V_Detailed_Report!L$4)</f>
        <v>0</v>
      </c>
      <c r="M113" s="157">
        <f>SUMIFS('PQ-Due Dates'!$L:$L,'PQ-Due Dates'!$A:$A,V_Detailed_Report!$C113,'PQ-Due Dates'!$M:$M,"&gt;="&amp;V_Detailed_Report!M$3,'PQ-Due Dates'!$M:$M,"&lt;="&amp;V_Detailed_Report!M$4)</f>
        <v>0</v>
      </c>
      <c r="N113" s="157">
        <f>SUMIFS('PQ-Due Dates'!$L:$L,'PQ-Due Dates'!$A:$A,V_Detailed_Report!$C113,'PQ-Due Dates'!$M:$M,"&gt;="&amp;V_Detailed_Report!N$3,'PQ-Due Dates'!$M:$M,"&lt;="&amp;V_Detailed_Report!N$4)</f>
        <v>0</v>
      </c>
      <c r="O113" s="157">
        <f>SUMIFS('PQ-Due Dates'!$L:$L,'PQ-Due Dates'!$A:$A,V_Detailed_Report!$C113,'PQ-Due Dates'!$M:$M,"&gt;="&amp;V_Detailed_Report!O$3,'PQ-Due Dates'!$M:$M,"&lt;="&amp;V_Detailed_Report!O$4)</f>
        <v>0</v>
      </c>
      <c r="P113" s="157">
        <f>SUMIFS('PQ-Due Dates'!$L:$L,'PQ-Due Dates'!$A:$A,V_Detailed_Report!$C113,'PQ-Due Dates'!$M:$M,"&gt;="&amp;V_Detailed_Report!P$3,'PQ-Due Dates'!$M:$M,"&lt;="&amp;V_Detailed_Report!P$4)</f>
        <v>0</v>
      </c>
      <c r="Q113" s="157">
        <f>SUMIFS('PQ-Due Dates'!$L:$L,'PQ-Due Dates'!$A:$A,V_Detailed_Report!$C113,'PQ-Due Dates'!$M:$M,"&gt;="&amp;V_Detailed_Report!Q$3,'PQ-Due Dates'!$M:$M,"&lt;="&amp;V_Detailed_Report!Q$4)</f>
        <v>0</v>
      </c>
      <c r="R113" s="157">
        <f>SUMIFS('PQ-Due Dates'!$L:$L,'PQ-Due Dates'!$A:$A,V_Detailed_Report!$C113,'PQ-Due Dates'!$M:$M,"&gt;="&amp;V_Detailed_Report!R$3,'PQ-Due Dates'!$M:$M,"&lt;="&amp;V_Detailed_Report!R$4)</f>
        <v>0</v>
      </c>
      <c r="S113" s="157">
        <f>SUMIFS('PQ-Due Dates'!$L:$L,'PQ-Due Dates'!$A:$A,V_Detailed_Report!$C113,'PQ-Due Dates'!$M:$M,"&gt;="&amp;V_Detailed_Report!S$3,'PQ-Due Dates'!$M:$M,"&lt;="&amp;V_Detailed_Report!S$4)</f>
        <v>0</v>
      </c>
      <c r="T113" s="157">
        <f>SUMIFS('PQ-Due Dates'!$L:$L,'PQ-Due Dates'!$A:$A,V_Detailed_Report!$C113,'PQ-Due Dates'!$M:$M,"&gt;="&amp;V_Detailed_Report!T$3,'PQ-Due Dates'!$M:$M,"&lt;="&amp;V_Detailed_Report!T$4)</f>
        <v>0</v>
      </c>
      <c r="U113" s="157">
        <f t="shared" si="9"/>
        <v>0</v>
      </c>
      <c r="V113" s="157">
        <f t="shared" si="10"/>
        <v>450000</v>
      </c>
      <c r="W113" s="157">
        <f t="shared" si="11"/>
        <v>450000</v>
      </c>
    </row>
    <row r="114" spans="1:23" x14ac:dyDescent="0.25">
      <c r="A114" s="162" t="s">
        <v>152</v>
      </c>
      <c r="B114" s="162" t="s">
        <v>19</v>
      </c>
      <c r="C114" s="162" t="s">
        <v>402</v>
      </c>
      <c r="D114" s="162" t="str">
        <f>VLOOKUP(C114,'M_LC Summary'!A:F,6,0)</f>
        <v>SAB</v>
      </c>
      <c r="E114" s="162" t="str">
        <f>VLOOKUP(C114,'M_LC Summary'!A:C,3,0)</f>
        <v>Atiaf International Trading Company</v>
      </c>
      <c r="F114" s="157">
        <f>VLOOKUP(C114,'M_LC Summary'!A:K,11,0)</f>
        <v>150000</v>
      </c>
      <c r="G114" s="157">
        <f>VLOOKUP(C114,'M_LC Summary'!A:L,12,0)</f>
        <v>0</v>
      </c>
      <c r="H114" s="157">
        <f t="shared" si="8"/>
        <v>150000</v>
      </c>
      <c r="I114" s="157">
        <f>SUMIFS('PQ-Due Dates'!$L:$L,'PQ-Due Dates'!$A:$A,V_Detailed_Report!$C114,'PQ-Due Dates'!$M:$M,"&gt;="&amp;V_Detailed_Report!I$3,'PQ-Due Dates'!$M:$M,"&lt;="&amp;V_Detailed_Report!I$4)</f>
        <v>0</v>
      </c>
      <c r="J114" s="157">
        <f>SUMIFS('PQ-Due Dates'!$L:$L,'PQ-Due Dates'!$A:$A,V_Detailed_Report!$C114,'PQ-Due Dates'!$M:$M,"&gt;="&amp;V_Detailed_Report!J$3,'PQ-Due Dates'!$M:$M,"&lt;="&amp;V_Detailed_Report!J$4)</f>
        <v>0</v>
      </c>
      <c r="K114" s="157">
        <f>SUMIFS('PQ-Due Dates'!$L:$L,'PQ-Due Dates'!$A:$A,V_Detailed_Report!$C114,'PQ-Due Dates'!$M:$M,"&gt;="&amp;V_Detailed_Report!K$3,'PQ-Due Dates'!$M:$M,"&lt;="&amp;V_Detailed_Report!K$4)</f>
        <v>0</v>
      </c>
      <c r="L114" s="157">
        <f>SUMIFS('PQ-Due Dates'!$L:$L,'PQ-Due Dates'!$A:$A,V_Detailed_Report!$C114,'PQ-Due Dates'!$M:$M,"&gt;="&amp;V_Detailed_Report!L$3,'PQ-Due Dates'!$M:$M,"&lt;="&amp;V_Detailed_Report!L$4)</f>
        <v>0</v>
      </c>
      <c r="M114" s="157">
        <f>SUMIFS('PQ-Due Dates'!$L:$L,'PQ-Due Dates'!$A:$A,V_Detailed_Report!$C114,'PQ-Due Dates'!$M:$M,"&gt;="&amp;V_Detailed_Report!M$3,'PQ-Due Dates'!$M:$M,"&lt;="&amp;V_Detailed_Report!M$4)</f>
        <v>0</v>
      </c>
      <c r="N114" s="157">
        <f>SUMIFS('PQ-Due Dates'!$L:$L,'PQ-Due Dates'!$A:$A,V_Detailed_Report!$C114,'PQ-Due Dates'!$M:$M,"&gt;="&amp;V_Detailed_Report!N$3,'PQ-Due Dates'!$M:$M,"&lt;="&amp;V_Detailed_Report!N$4)</f>
        <v>93855.09</v>
      </c>
      <c r="O114" s="157">
        <f>SUMIFS('PQ-Due Dates'!$L:$L,'PQ-Due Dates'!$A:$A,V_Detailed_Report!$C114,'PQ-Due Dates'!$M:$M,"&gt;="&amp;V_Detailed_Report!O$3,'PQ-Due Dates'!$M:$M,"&lt;="&amp;V_Detailed_Report!O$4)</f>
        <v>0</v>
      </c>
      <c r="P114" s="157">
        <f>SUMIFS('PQ-Due Dates'!$L:$L,'PQ-Due Dates'!$A:$A,V_Detailed_Report!$C114,'PQ-Due Dates'!$M:$M,"&gt;="&amp;V_Detailed_Report!P$3,'PQ-Due Dates'!$M:$M,"&lt;="&amp;V_Detailed_Report!P$4)</f>
        <v>0</v>
      </c>
      <c r="Q114" s="157">
        <f>SUMIFS('PQ-Due Dates'!$L:$L,'PQ-Due Dates'!$A:$A,V_Detailed_Report!$C114,'PQ-Due Dates'!$M:$M,"&gt;="&amp;V_Detailed_Report!Q$3,'PQ-Due Dates'!$M:$M,"&lt;="&amp;V_Detailed_Report!Q$4)</f>
        <v>0</v>
      </c>
      <c r="R114" s="157">
        <f>SUMIFS('PQ-Due Dates'!$L:$L,'PQ-Due Dates'!$A:$A,V_Detailed_Report!$C114,'PQ-Due Dates'!$M:$M,"&gt;="&amp;V_Detailed_Report!R$3,'PQ-Due Dates'!$M:$M,"&lt;="&amp;V_Detailed_Report!R$4)</f>
        <v>0</v>
      </c>
      <c r="S114" s="157">
        <f>SUMIFS('PQ-Due Dates'!$L:$L,'PQ-Due Dates'!$A:$A,V_Detailed_Report!$C114,'PQ-Due Dates'!$M:$M,"&gt;="&amp;V_Detailed_Report!S$3,'PQ-Due Dates'!$M:$M,"&lt;="&amp;V_Detailed_Report!S$4)</f>
        <v>0</v>
      </c>
      <c r="T114" s="157">
        <f>SUMIFS('PQ-Due Dates'!$L:$L,'PQ-Due Dates'!$A:$A,V_Detailed_Report!$C114,'PQ-Due Dates'!$M:$M,"&gt;="&amp;V_Detailed_Report!T$3,'PQ-Due Dates'!$M:$M,"&lt;="&amp;V_Detailed_Report!T$4)</f>
        <v>0</v>
      </c>
      <c r="U114" s="157">
        <f t="shared" si="9"/>
        <v>93855.09</v>
      </c>
      <c r="V114" s="157">
        <f t="shared" si="10"/>
        <v>56144.91</v>
      </c>
      <c r="W114" s="157">
        <f t="shared" si="11"/>
        <v>150000</v>
      </c>
    </row>
    <row r="115" spans="1:23" x14ac:dyDescent="0.25">
      <c r="A115" s="162" t="s">
        <v>152</v>
      </c>
      <c r="B115" s="162" t="s">
        <v>19</v>
      </c>
      <c r="C115" s="162" t="s">
        <v>403</v>
      </c>
      <c r="D115" s="162" t="str">
        <f>VLOOKUP(C115,'M_LC Summary'!A:F,6,0)</f>
        <v>SAB</v>
      </c>
      <c r="E115" s="162" t="str">
        <f>VLOOKUP(C115,'M_LC Summary'!A:C,3,0)</f>
        <v>Bahra Advanced Cable Manufacture Co.</v>
      </c>
      <c r="F115" s="157">
        <f>VLOOKUP(C115,'M_LC Summary'!A:K,11,0)</f>
        <v>1000000</v>
      </c>
      <c r="G115" s="157">
        <f>VLOOKUP(C115,'M_LC Summary'!A:L,12,0)</f>
        <v>0</v>
      </c>
      <c r="H115" s="157">
        <f t="shared" si="8"/>
        <v>1000000</v>
      </c>
      <c r="I115" s="157">
        <f>SUMIFS('PQ-Due Dates'!$L:$L,'PQ-Due Dates'!$A:$A,V_Detailed_Report!$C115,'PQ-Due Dates'!$M:$M,"&gt;="&amp;V_Detailed_Report!I$3,'PQ-Due Dates'!$M:$M,"&lt;="&amp;V_Detailed_Report!I$4)</f>
        <v>0</v>
      </c>
      <c r="J115" s="157">
        <f>SUMIFS('PQ-Due Dates'!$L:$L,'PQ-Due Dates'!$A:$A,V_Detailed_Report!$C115,'PQ-Due Dates'!$M:$M,"&gt;="&amp;V_Detailed_Report!J$3,'PQ-Due Dates'!$M:$M,"&lt;="&amp;V_Detailed_Report!J$4)</f>
        <v>0</v>
      </c>
      <c r="K115" s="157">
        <f>SUMIFS('PQ-Due Dates'!$L:$L,'PQ-Due Dates'!$A:$A,V_Detailed_Report!$C115,'PQ-Due Dates'!$M:$M,"&gt;="&amp;V_Detailed_Report!K$3,'PQ-Due Dates'!$M:$M,"&lt;="&amp;V_Detailed_Report!K$4)</f>
        <v>0</v>
      </c>
      <c r="L115" s="157">
        <f>SUMIFS('PQ-Due Dates'!$L:$L,'PQ-Due Dates'!$A:$A,V_Detailed_Report!$C115,'PQ-Due Dates'!$M:$M,"&gt;="&amp;V_Detailed_Report!L$3,'PQ-Due Dates'!$M:$M,"&lt;="&amp;V_Detailed_Report!L$4)</f>
        <v>0</v>
      </c>
      <c r="M115" s="157">
        <f>SUMIFS('PQ-Due Dates'!$L:$L,'PQ-Due Dates'!$A:$A,V_Detailed_Report!$C115,'PQ-Due Dates'!$M:$M,"&gt;="&amp;V_Detailed_Report!M$3,'PQ-Due Dates'!$M:$M,"&lt;="&amp;V_Detailed_Report!M$4)</f>
        <v>0</v>
      </c>
      <c r="N115" s="157">
        <f>SUMIFS('PQ-Due Dates'!$L:$L,'PQ-Due Dates'!$A:$A,V_Detailed_Report!$C115,'PQ-Due Dates'!$M:$M,"&gt;="&amp;V_Detailed_Report!N$3,'PQ-Due Dates'!$M:$M,"&lt;="&amp;V_Detailed_Report!N$4)</f>
        <v>0</v>
      </c>
      <c r="O115" s="157">
        <f>SUMIFS('PQ-Due Dates'!$L:$L,'PQ-Due Dates'!$A:$A,V_Detailed_Report!$C115,'PQ-Due Dates'!$M:$M,"&gt;="&amp;V_Detailed_Report!O$3,'PQ-Due Dates'!$M:$M,"&lt;="&amp;V_Detailed_Report!O$4)</f>
        <v>0</v>
      </c>
      <c r="P115" s="157">
        <f>SUMIFS('PQ-Due Dates'!$L:$L,'PQ-Due Dates'!$A:$A,V_Detailed_Report!$C115,'PQ-Due Dates'!$M:$M,"&gt;="&amp;V_Detailed_Report!P$3,'PQ-Due Dates'!$M:$M,"&lt;="&amp;V_Detailed_Report!P$4)</f>
        <v>0</v>
      </c>
      <c r="Q115" s="157">
        <f>SUMIFS('PQ-Due Dates'!$L:$L,'PQ-Due Dates'!$A:$A,V_Detailed_Report!$C115,'PQ-Due Dates'!$M:$M,"&gt;="&amp;V_Detailed_Report!Q$3,'PQ-Due Dates'!$M:$M,"&lt;="&amp;V_Detailed_Report!Q$4)</f>
        <v>0</v>
      </c>
      <c r="R115" s="157">
        <f>SUMIFS('PQ-Due Dates'!$L:$L,'PQ-Due Dates'!$A:$A,V_Detailed_Report!$C115,'PQ-Due Dates'!$M:$M,"&gt;="&amp;V_Detailed_Report!R$3,'PQ-Due Dates'!$M:$M,"&lt;="&amp;V_Detailed_Report!R$4)</f>
        <v>0</v>
      </c>
      <c r="S115" s="157">
        <f>SUMIFS('PQ-Due Dates'!$L:$L,'PQ-Due Dates'!$A:$A,V_Detailed_Report!$C115,'PQ-Due Dates'!$M:$M,"&gt;="&amp;V_Detailed_Report!S$3,'PQ-Due Dates'!$M:$M,"&lt;="&amp;V_Detailed_Report!S$4)</f>
        <v>0</v>
      </c>
      <c r="T115" s="157">
        <f>SUMIFS('PQ-Due Dates'!$L:$L,'PQ-Due Dates'!$A:$A,V_Detailed_Report!$C115,'PQ-Due Dates'!$M:$M,"&gt;="&amp;V_Detailed_Report!T$3,'PQ-Due Dates'!$M:$M,"&lt;="&amp;V_Detailed_Report!T$4)</f>
        <v>0</v>
      </c>
      <c r="U115" s="157">
        <f t="shared" si="9"/>
        <v>0</v>
      </c>
      <c r="V115" s="157">
        <f t="shared" si="10"/>
        <v>1000000</v>
      </c>
      <c r="W115" s="157">
        <f t="shared" si="11"/>
        <v>1000000</v>
      </c>
    </row>
    <row r="116" spans="1:23" x14ac:dyDescent="0.25">
      <c r="A116" s="162" t="s">
        <v>152</v>
      </c>
      <c r="B116" s="162" t="s">
        <v>19</v>
      </c>
      <c r="C116" s="162" t="s">
        <v>404</v>
      </c>
      <c r="D116" s="162" t="str">
        <f>VLOOKUP(C116,'M_LC Summary'!A:F,6,0)</f>
        <v>SAB</v>
      </c>
      <c r="E116" s="162" t="str">
        <f>VLOOKUP(C116,'M_LC Summary'!A:C,3,0)</f>
        <v>Electric House Trading Company L.L.C.</v>
      </c>
      <c r="F116" s="157">
        <f>VLOOKUP(C116,'M_LC Summary'!A:K,11,0)</f>
        <v>1000000</v>
      </c>
      <c r="G116" s="157">
        <f>VLOOKUP(C116,'M_LC Summary'!A:L,12,0)</f>
        <v>0</v>
      </c>
      <c r="H116" s="157">
        <f t="shared" si="8"/>
        <v>1000000</v>
      </c>
      <c r="I116" s="157">
        <f>SUMIFS('PQ-Due Dates'!$L:$L,'PQ-Due Dates'!$A:$A,V_Detailed_Report!$C116,'PQ-Due Dates'!$M:$M,"&gt;="&amp;V_Detailed_Report!I$3,'PQ-Due Dates'!$M:$M,"&lt;="&amp;V_Detailed_Report!I$4)</f>
        <v>0</v>
      </c>
      <c r="J116" s="157">
        <f>SUMIFS('PQ-Due Dates'!$L:$L,'PQ-Due Dates'!$A:$A,V_Detailed_Report!$C116,'PQ-Due Dates'!$M:$M,"&gt;="&amp;V_Detailed_Report!J$3,'PQ-Due Dates'!$M:$M,"&lt;="&amp;V_Detailed_Report!J$4)</f>
        <v>0</v>
      </c>
      <c r="K116" s="157">
        <f>SUMIFS('PQ-Due Dates'!$L:$L,'PQ-Due Dates'!$A:$A,V_Detailed_Report!$C116,'PQ-Due Dates'!$M:$M,"&gt;="&amp;V_Detailed_Report!K$3,'PQ-Due Dates'!$M:$M,"&lt;="&amp;V_Detailed_Report!K$4)</f>
        <v>0</v>
      </c>
      <c r="L116" s="157">
        <f>SUMIFS('PQ-Due Dates'!$L:$L,'PQ-Due Dates'!$A:$A,V_Detailed_Report!$C116,'PQ-Due Dates'!$M:$M,"&gt;="&amp;V_Detailed_Report!L$3,'PQ-Due Dates'!$M:$M,"&lt;="&amp;V_Detailed_Report!L$4)</f>
        <v>0</v>
      </c>
      <c r="M116" s="157">
        <f>SUMIFS('PQ-Due Dates'!$L:$L,'PQ-Due Dates'!$A:$A,V_Detailed_Report!$C116,'PQ-Due Dates'!$M:$M,"&gt;="&amp;V_Detailed_Report!M$3,'PQ-Due Dates'!$M:$M,"&lt;="&amp;V_Detailed_Report!M$4)</f>
        <v>0</v>
      </c>
      <c r="N116" s="157">
        <f>SUMIFS('PQ-Due Dates'!$L:$L,'PQ-Due Dates'!$A:$A,V_Detailed_Report!$C116,'PQ-Due Dates'!$M:$M,"&gt;="&amp;V_Detailed_Report!N$3,'PQ-Due Dates'!$M:$M,"&lt;="&amp;V_Detailed_Report!N$4)</f>
        <v>0</v>
      </c>
      <c r="O116" s="157">
        <f>SUMIFS('PQ-Due Dates'!$L:$L,'PQ-Due Dates'!$A:$A,V_Detailed_Report!$C116,'PQ-Due Dates'!$M:$M,"&gt;="&amp;V_Detailed_Report!O$3,'PQ-Due Dates'!$M:$M,"&lt;="&amp;V_Detailed_Report!O$4)</f>
        <v>0</v>
      </c>
      <c r="P116" s="157">
        <f>SUMIFS('PQ-Due Dates'!$L:$L,'PQ-Due Dates'!$A:$A,V_Detailed_Report!$C116,'PQ-Due Dates'!$M:$M,"&gt;="&amp;V_Detailed_Report!P$3,'PQ-Due Dates'!$M:$M,"&lt;="&amp;V_Detailed_Report!P$4)</f>
        <v>0</v>
      </c>
      <c r="Q116" s="157">
        <f>SUMIFS('PQ-Due Dates'!$L:$L,'PQ-Due Dates'!$A:$A,V_Detailed_Report!$C116,'PQ-Due Dates'!$M:$M,"&gt;="&amp;V_Detailed_Report!Q$3,'PQ-Due Dates'!$M:$M,"&lt;="&amp;V_Detailed_Report!Q$4)</f>
        <v>0</v>
      </c>
      <c r="R116" s="157">
        <f>SUMIFS('PQ-Due Dates'!$L:$L,'PQ-Due Dates'!$A:$A,V_Detailed_Report!$C116,'PQ-Due Dates'!$M:$M,"&gt;="&amp;V_Detailed_Report!R$3,'PQ-Due Dates'!$M:$M,"&lt;="&amp;V_Detailed_Report!R$4)</f>
        <v>0</v>
      </c>
      <c r="S116" s="157">
        <f>SUMIFS('PQ-Due Dates'!$L:$L,'PQ-Due Dates'!$A:$A,V_Detailed_Report!$C116,'PQ-Due Dates'!$M:$M,"&gt;="&amp;V_Detailed_Report!S$3,'PQ-Due Dates'!$M:$M,"&lt;="&amp;V_Detailed_Report!S$4)</f>
        <v>0</v>
      </c>
      <c r="T116" s="157">
        <f>SUMIFS('PQ-Due Dates'!$L:$L,'PQ-Due Dates'!$A:$A,V_Detailed_Report!$C116,'PQ-Due Dates'!$M:$M,"&gt;="&amp;V_Detailed_Report!T$3,'PQ-Due Dates'!$M:$M,"&lt;="&amp;V_Detailed_Report!T$4)</f>
        <v>0</v>
      </c>
      <c r="U116" s="157">
        <f t="shared" si="9"/>
        <v>0</v>
      </c>
      <c r="V116" s="157">
        <f t="shared" si="10"/>
        <v>1000000</v>
      </c>
      <c r="W116" s="157">
        <f t="shared" si="11"/>
        <v>1000000</v>
      </c>
    </row>
    <row r="117" spans="1:23" x14ac:dyDescent="0.25">
      <c r="A117" s="162" t="s">
        <v>152</v>
      </c>
      <c r="B117" s="162" t="s">
        <v>19</v>
      </c>
      <c r="C117" s="162" t="s">
        <v>405</v>
      </c>
      <c r="D117" s="162" t="str">
        <f>VLOOKUP(C117,'M_LC Summary'!A:F,6,0)</f>
        <v>SAB</v>
      </c>
      <c r="E117" s="162" t="str">
        <f>VLOOKUP(C117,'M_LC Summary'!A:C,3,0)</f>
        <v>Elmady Solution Company</v>
      </c>
      <c r="F117" s="157">
        <f>VLOOKUP(C117,'M_LC Summary'!A:K,11,0)</f>
        <v>150000</v>
      </c>
      <c r="G117" s="157">
        <f>VLOOKUP(C117,'M_LC Summary'!A:L,12,0)</f>
        <v>0</v>
      </c>
      <c r="H117" s="157">
        <f t="shared" si="8"/>
        <v>150000</v>
      </c>
      <c r="I117" s="157">
        <f>SUMIFS('PQ-Due Dates'!$L:$L,'PQ-Due Dates'!$A:$A,V_Detailed_Report!$C117,'PQ-Due Dates'!$M:$M,"&gt;="&amp;V_Detailed_Report!I$3,'PQ-Due Dates'!$M:$M,"&lt;="&amp;V_Detailed_Report!I$4)</f>
        <v>0</v>
      </c>
      <c r="J117" s="157">
        <f>SUMIFS('PQ-Due Dates'!$L:$L,'PQ-Due Dates'!$A:$A,V_Detailed_Report!$C117,'PQ-Due Dates'!$M:$M,"&gt;="&amp;V_Detailed_Report!J$3,'PQ-Due Dates'!$M:$M,"&lt;="&amp;V_Detailed_Report!J$4)</f>
        <v>0</v>
      </c>
      <c r="K117" s="157">
        <f>SUMIFS('PQ-Due Dates'!$L:$L,'PQ-Due Dates'!$A:$A,V_Detailed_Report!$C117,'PQ-Due Dates'!$M:$M,"&gt;="&amp;V_Detailed_Report!K$3,'PQ-Due Dates'!$M:$M,"&lt;="&amp;V_Detailed_Report!K$4)</f>
        <v>0</v>
      </c>
      <c r="L117" s="157">
        <f>SUMIFS('PQ-Due Dates'!$L:$L,'PQ-Due Dates'!$A:$A,V_Detailed_Report!$C117,'PQ-Due Dates'!$M:$M,"&gt;="&amp;V_Detailed_Report!L$3,'PQ-Due Dates'!$M:$M,"&lt;="&amp;V_Detailed_Report!L$4)</f>
        <v>0</v>
      </c>
      <c r="M117" s="157">
        <f>SUMIFS('PQ-Due Dates'!$L:$L,'PQ-Due Dates'!$A:$A,V_Detailed_Report!$C117,'PQ-Due Dates'!$M:$M,"&gt;="&amp;V_Detailed_Report!M$3,'PQ-Due Dates'!$M:$M,"&lt;="&amp;V_Detailed_Report!M$4)</f>
        <v>0</v>
      </c>
      <c r="N117" s="157">
        <f>SUMIFS('PQ-Due Dates'!$L:$L,'PQ-Due Dates'!$A:$A,V_Detailed_Report!$C117,'PQ-Due Dates'!$M:$M,"&gt;="&amp;V_Detailed_Report!N$3,'PQ-Due Dates'!$M:$M,"&lt;="&amp;V_Detailed_Report!N$4)</f>
        <v>0</v>
      </c>
      <c r="O117" s="157">
        <f>SUMIFS('PQ-Due Dates'!$L:$L,'PQ-Due Dates'!$A:$A,V_Detailed_Report!$C117,'PQ-Due Dates'!$M:$M,"&gt;="&amp;V_Detailed_Report!O$3,'PQ-Due Dates'!$M:$M,"&lt;="&amp;V_Detailed_Report!O$4)</f>
        <v>0</v>
      </c>
      <c r="P117" s="157">
        <f>SUMIFS('PQ-Due Dates'!$L:$L,'PQ-Due Dates'!$A:$A,V_Detailed_Report!$C117,'PQ-Due Dates'!$M:$M,"&gt;="&amp;V_Detailed_Report!P$3,'PQ-Due Dates'!$M:$M,"&lt;="&amp;V_Detailed_Report!P$4)</f>
        <v>0</v>
      </c>
      <c r="Q117" s="157">
        <f>SUMIFS('PQ-Due Dates'!$L:$L,'PQ-Due Dates'!$A:$A,V_Detailed_Report!$C117,'PQ-Due Dates'!$M:$M,"&gt;="&amp;V_Detailed_Report!Q$3,'PQ-Due Dates'!$M:$M,"&lt;="&amp;V_Detailed_Report!Q$4)</f>
        <v>0</v>
      </c>
      <c r="R117" s="157">
        <f>SUMIFS('PQ-Due Dates'!$L:$L,'PQ-Due Dates'!$A:$A,V_Detailed_Report!$C117,'PQ-Due Dates'!$M:$M,"&gt;="&amp;V_Detailed_Report!R$3,'PQ-Due Dates'!$M:$M,"&lt;="&amp;V_Detailed_Report!R$4)</f>
        <v>0</v>
      </c>
      <c r="S117" s="157">
        <f>SUMIFS('PQ-Due Dates'!$L:$L,'PQ-Due Dates'!$A:$A,V_Detailed_Report!$C117,'PQ-Due Dates'!$M:$M,"&gt;="&amp;V_Detailed_Report!S$3,'PQ-Due Dates'!$M:$M,"&lt;="&amp;V_Detailed_Report!S$4)</f>
        <v>0</v>
      </c>
      <c r="T117" s="157">
        <f>SUMIFS('PQ-Due Dates'!$L:$L,'PQ-Due Dates'!$A:$A,V_Detailed_Report!$C117,'PQ-Due Dates'!$M:$M,"&gt;="&amp;V_Detailed_Report!T$3,'PQ-Due Dates'!$M:$M,"&lt;="&amp;V_Detailed_Report!T$4)</f>
        <v>0</v>
      </c>
      <c r="U117" s="157">
        <f t="shared" si="9"/>
        <v>0</v>
      </c>
      <c r="V117" s="157">
        <f t="shared" si="10"/>
        <v>150000</v>
      </c>
      <c r="W117" s="157">
        <f t="shared" si="11"/>
        <v>150000</v>
      </c>
    </row>
    <row r="118" spans="1:23" x14ac:dyDescent="0.25">
      <c r="A118" s="162" t="s">
        <v>152</v>
      </c>
      <c r="B118" s="162" t="s">
        <v>19</v>
      </c>
      <c r="C118" s="162" t="s">
        <v>406</v>
      </c>
      <c r="D118" s="162" t="str">
        <f>VLOOKUP(C118,'M_LC Summary'!A:F,6,0)</f>
        <v>SAB</v>
      </c>
      <c r="E118" s="162" t="str">
        <f>VLOOKUP(C118,'M_LC Summary'!A:C,3,0)</f>
        <v>Elsewedy Cables Co. Limited</v>
      </c>
      <c r="F118" s="157">
        <f>VLOOKUP(C118,'M_LC Summary'!A:K,11,0)</f>
        <v>1000000</v>
      </c>
      <c r="G118" s="157">
        <f>VLOOKUP(C118,'M_LC Summary'!A:L,12,0)</f>
        <v>0</v>
      </c>
      <c r="H118" s="157">
        <f t="shared" ref="H118:H149" si="12">F118-G118</f>
        <v>1000000</v>
      </c>
      <c r="I118" s="157">
        <f>SUMIFS('PQ-Due Dates'!$L:$L,'PQ-Due Dates'!$A:$A,V_Detailed_Report!$C118,'PQ-Due Dates'!$M:$M,"&gt;="&amp;V_Detailed_Report!I$3,'PQ-Due Dates'!$M:$M,"&lt;="&amp;V_Detailed_Report!I$4)</f>
        <v>0</v>
      </c>
      <c r="J118" s="157">
        <f>SUMIFS('PQ-Due Dates'!$L:$L,'PQ-Due Dates'!$A:$A,V_Detailed_Report!$C118,'PQ-Due Dates'!$M:$M,"&gt;="&amp;V_Detailed_Report!J$3,'PQ-Due Dates'!$M:$M,"&lt;="&amp;V_Detailed_Report!J$4)</f>
        <v>0</v>
      </c>
      <c r="K118" s="157">
        <f>SUMIFS('PQ-Due Dates'!$L:$L,'PQ-Due Dates'!$A:$A,V_Detailed_Report!$C118,'PQ-Due Dates'!$M:$M,"&gt;="&amp;V_Detailed_Report!K$3,'PQ-Due Dates'!$M:$M,"&lt;="&amp;V_Detailed_Report!K$4)</f>
        <v>0</v>
      </c>
      <c r="L118" s="157">
        <f>SUMIFS('PQ-Due Dates'!$L:$L,'PQ-Due Dates'!$A:$A,V_Detailed_Report!$C118,'PQ-Due Dates'!$M:$M,"&gt;="&amp;V_Detailed_Report!L$3,'PQ-Due Dates'!$M:$M,"&lt;="&amp;V_Detailed_Report!L$4)</f>
        <v>0</v>
      </c>
      <c r="M118" s="157">
        <f>SUMIFS('PQ-Due Dates'!$L:$L,'PQ-Due Dates'!$A:$A,V_Detailed_Report!$C118,'PQ-Due Dates'!$M:$M,"&gt;="&amp;V_Detailed_Report!M$3,'PQ-Due Dates'!$M:$M,"&lt;="&amp;V_Detailed_Report!M$4)</f>
        <v>0</v>
      </c>
      <c r="N118" s="157">
        <f>SUMIFS('PQ-Due Dates'!$L:$L,'PQ-Due Dates'!$A:$A,V_Detailed_Report!$C118,'PQ-Due Dates'!$M:$M,"&gt;="&amp;V_Detailed_Report!N$3,'PQ-Due Dates'!$M:$M,"&lt;="&amp;V_Detailed_Report!N$4)</f>
        <v>0</v>
      </c>
      <c r="O118" s="157">
        <f>SUMIFS('PQ-Due Dates'!$L:$L,'PQ-Due Dates'!$A:$A,V_Detailed_Report!$C118,'PQ-Due Dates'!$M:$M,"&gt;="&amp;V_Detailed_Report!O$3,'PQ-Due Dates'!$M:$M,"&lt;="&amp;V_Detailed_Report!O$4)</f>
        <v>0</v>
      </c>
      <c r="P118" s="157">
        <f>SUMIFS('PQ-Due Dates'!$L:$L,'PQ-Due Dates'!$A:$A,V_Detailed_Report!$C118,'PQ-Due Dates'!$M:$M,"&gt;="&amp;V_Detailed_Report!P$3,'PQ-Due Dates'!$M:$M,"&lt;="&amp;V_Detailed_Report!P$4)</f>
        <v>0</v>
      </c>
      <c r="Q118" s="157">
        <f>SUMIFS('PQ-Due Dates'!$L:$L,'PQ-Due Dates'!$A:$A,V_Detailed_Report!$C118,'PQ-Due Dates'!$M:$M,"&gt;="&amp;V_Detailed_Report!Q$3,'PQ-Due Dates'!$M:$M,"&lt;="&amp;V_Detailed_Report!Q$4)</f>
        <v>0</v>
      </c>
      <c r="R118" s="157">
        <f>SUMIFS('PQ-Due Dates'!$L:$L,'PQ-Due Dates'!$A:$A,V_Detailed_Report!$C118,'PQ-Due Dates'!$M:$M,"&gt;="&amp;V_Detailed_Report!R$3,'PQ-Due Dates'!$M:$M,"&lt;="&amp;V_Detailed_Report!R$4)</f>
        <v>0</v>
      </c>
      <c r="S118" s="157">
        <f>SUMIFS('PQ-Due Dates'!$L:$L,'PQ-Due Dates'!$A:$A,V_Detailed_Report!$C118,'PQ-Due Dates'!$M:$M,"&gt;="&amp;V_Detailed_Report!S$3,'PQ-Due Dates'!$M:$M,"&lt;="&amp;V_Detailed_Report!S$4)</f>
        <v>995984.82</v>
      </c>
      <c r="T118" s="157">
        <f>SUMIFS('PQ-Due Dates'!$L:$L,'PQ-Due Dates'!$A:$A,V_Detailed_Report!$C118,'PQ-Due Dates'!$M:$M,"&gt;="&amp;V_Detailed_Report!T$3,'PQ-Due Dates'!$M:$M,"&lt;="&amp;V_Detailed_Report!T$4)</f>
        <v>0</v>
      </c>
      <c r="U118" s="157">
        <f t="shared" ref="U118:U149" si="13">SUM(I118:T118)</f>
        <v>995984.82</v>
      </c>
      <c r="V118" s="157">
        <f t="shared" ref="V118:V149" si="14">H118-U118</f>
        <v>4015.1800000000512</v>
      </c>
      <c r="W118" s="157">
        <f t="shared" ref="W118:W149" si="15">U118+V118</f>
        <v>1000000</v>
      </c>
    </row>
    <row r="119" spans="1:23" x14ac:dyDescent="0.25">
      <c r="A119" s="162" t="s">
        <v>152</v>
      </c>
      <c r="B119" s="162" t="s">
        <v>19</v>
      </c>
      <c r="C119" s="162" t="s">
        <v>407</v>
      </c>
      <c r="D119" s="162" t="str">
        <f>VLOOKUP(C119,'M_LC Summary'!A:F,6,0)</f>
        <v>SAB</v>
      </c>
      <c r="E119" s="162" t="str">
        <f>VLOOKUP(C119,'M_LC Summary'!A:C,3,0)</f>
        <v>Gulf Grilles Company</v>
      </c>
      <c r="F119" s="157">
        <f>VLOOKUP(C119,'M_LC Summary'!A:K,11,0)</f>
        <v>500000</v>
      </c>
      <c r="G119" s="157">
        <f>VLOOKUP(C119,'M_LC Summary'!A:L,12,0)</f>
        <v>0</v>
      </c>
      <c r="H119" s="157">
        <f t="shared" si="12"/>
        <v>500000</v>
      </c>
      <c r="I119" s="157">
        <f>SUMIFS('PQ-Due Dates'!$L:$L,'PQ-Due Dates'!$A:$A,V_Detailed_Report!$C119,'PQ-Due Dates'!$M:$M,"&gt;="&amp;V_Detailed_Report!I$3,'PQ-Due Dates'!$M:$M,"&lt;="&amp;V_Detailed_Report!I$4)</f>
        <v>0</v>
      </c>
      <c r="J119" s="157">
        <f>SUMIFS('PQ-Due Dates'!$L:$L,'PQ-Due Dates'!$A:$A,V_Detailed_Report!$C119,'PQ-Due Dates'!$M:$M,"&gt;="&amp;V_Detailed_Report!J$3,'PQ-Due Dates'!$M:$M,"&lt;="&amp;V_Detailed_Report!J$4)</f>
        <v>0</v>
      </c>
      <c r="K119" s="157">
        <f>SUMIFS('PQ-Due Dates'!$L:$L,'PQ-Due Dates'!$A:$A,V_Detailed_Report!$C119,'PQ-Due Dates'!$M:$M,"&gt;="&amp;V_Detailed_Report!K$3,'PQ-Due Dates'!$M:$M,"&lt;="&amp;V_Detailed_Report!K$4)</f>
        <v>0</v>
      </c>
      <c r="L119" s="157">
        <f>SUMIFS('PQ-Due Dates'!$L:$L,'PQ-Due Dates'!$A:$A,V_Detailed_Report!$C119,'PQ-Due Dates'!$M:$M,"&gt;="&amp;V_Detailed_Report!L$3,'PQ-Due Dates'!$M:$M,"&lt;="&amp;V_Detailed_Report!L$4)</f>
        <v>0</v>
      </c>
      <c r="M119" s="157">
        <f>SUMIFS('PQ-Due Dates'!$L:$L,'PQ-Due Dates'!$A:$A,V_Detailed_Report!$C119,'PQ-Due Dates'!$M:$M,"&gt;="&amp;V_Detailed_Report!M$3,'PQ-Due Dates'!$M:$M,"&lt;="&amp;V_Detailed_Report!M$4)</f>
        <v>0</v>
      </c>
      <c r="N119" s="157">
        <f>SUMIFS('PQ-Due Dates'!$L:$L,'PQ-Due Dates'!$A:$A,V_Detailed_Report!$C119,'PQ-Due Dates'!$M:$M,"&gt;="&amp;V_Detailed_Report!N$3,'PQ-Due Dates'!$M:$M,"&lt;="&amp;V_Detailed_Report!N$4)</f>
        <v>0</v>
      </c>
      <c r="O119" s="157">
        <f>SUMIFS('PQ-Due Dates'!$L:$L,'PQ-Due Dates'!$A:$A,V_Detailed_Report!$C119,'PQ-Due Dates'!$M:$M,"&gt;="&amp;V_Detailed_Report!O$3,'PQ-Due Dates'!$M:$M,"&lt;="&amp;V_Detailed_Report!O$4)</f>
        <v>0</v>
      </c>
      <c r="P119" s="157">
        <f>SUMIFS('PQ-Due Dates'!$L:$L,'PQ-Due Dates'!$A:$A,V_Detailed_Report!$C119,'PQ-Due Dates'!$M:$M,"&gt;="&amp;V_Detailed_Report!P$3,'PQ-Due Dates'!$M:$M,"&lt;="&amp;V_Detailed_Report!P$4)</f>
        <v>0</v>
      </c>
      <c r="Q119" s="157">
        <f>SUMIFS('PQ-Due Dates'!$L:$L,'PQ-Due Dates'!$A:$A,V_Detailed_Report!$C119,'PQ-Due Dates'!$M:$M,"&gt;="&amp;V_Detailed_Report!Q$3,'PQ-Due Dates'!$M:$M,"&lt;="&amp;V_Detailed_Report!Q$4)</f>
        <v>0</v>
      </c>
      <c r="R119" s="157">
        <f>SUMIFS('PQ-Due Dates'!$L:$L,'PQ-Due Dates'!$A:$A,V_Detailed_Report!$C119,'PQ-Due Dates'!$M:$M,"&gt;="&amp;V_Detailed_Report!R$3,'PQ-Due Dates'!$M:$M,"&lt;="&amp;V_Detailed_Report!R$4)</f>
        <v>0</v>
      </c>
      <c r="S119" s="157">
        <f>SUMIFS('PQ-Due Dates'!$L:$L,'PQ-Due Dates'!$A:$A,V_Detailed_Report!$C119,'PQ-Due Dates'!$M:$M,"&gt;="&amp;V_Detailed_Report!S$3,'PQ-Due Dates'!$M:$M,"&lt;="&amp;V_Detailed_Report!S$4)</f>
        <v>0</v>
      </c>
      <c r="T119" s="157">
        <f>SUMIFS('PQ-Due Dates'!$L:$L,'PQ-Due Dates'!$A:$A,V_Detailed_Report!$C119,'PQ-Due Dates'!$M:$M,"&gt;="&amp;V_Detailed_Report!T$3,'PQ-Due Dates'!$M:$M,"&lt;="&amp;V_Detailed_Report!T$4)</f>
        <v>0</v>
      </c>
      <c r="U119" s="157">
        <f t="shared" si="13"/>
        <v>0</v>
      </c>
      <c r="V119" s="157">
        <f t="shared" si="14"/>
        <v>500000</v>
      </c>
      <c r="W119" s="157">
        <f t="shared" si="15"/>
        <v>500000</v>
      </c>
    </row>
    <row r="120" spans="1:23" x14ac:dyDescent="0.25">
      <c r="A120" s="162" t="s">
        <v>152</v>
      </c>
      <c r="B120" s="162" t="s">
        <v>19</v>
      </c>
      <c r="C120" s="162" t="s">
        <v>408</v>
      </c>
      <c r="D120" s="162" t="str">
        <f>VLOOKUP(C120,'M_LC Summary'!A:F,6,0)</f>
        <v>SAB</v>
      </c>
      <c r="E120" s="162" t="str">
        <f>VLOOKUP(C120,'M_LC Summary'!A:C,3,0)</f>
        <v>Ideal Caliber Company</v>
      </c>
      <c r="F120" s="157">
        <f>VLOOKUP(C120,'M_LC Summary'!A:K,11,0)</f>
        <v>150000</v>
      </c>
      <c r="G120" s="157">
        <f>VLOOKUP(C120,'M_LC Summary'!A:L,12,0)</f>
        <v>0</v>
      </c>
      <c r="H120" s="157">
        <f t="shared" si="12"/>
        <v>150000</v>
      </c>
      <c r="I120" s="157">
        <f>SUMIFS('PQ-Due Dates'!$L:$L,'PQ-Due Dates'!$A:$A,V_Detailed_Report!$C120,'PQ-Due Dates'!$M:$M,"&gt;="&amp;V_Detailed_Report!I$3,'PQ-Due Dates'!$M:$M,"&lt;="&amp;V_Detailed_Report!I$4)</f>
        <v>0</v>
      </c>
      <c r="J120" s="157">
        <f>SUMIFS('PQ-Due Dates'!$L:$L,'PQ-Due Dates'!$A:$A,V_Detailed_Report!$C120,'PQ-Due Dates'!$M:$M,"&gt;="&amp;V_Detailed_Report!J$3,'PQ-Due Dates'!$M:$M,"&lt;="&amp;V_Detailed_Report!J$4)</f>
        <v>0</v>
      </c>
      <c r="K120" s="157">
        <f>SUMIFS('PQ-Due Dates'!$L:$L,'PQ-Due Dates'!$A:$A,V_Detailed_Report!$C120,'PQ-Due Dates'!$M:$M,"&gt;="&amp;V_Detailed_Report!K$3,'PQ-Due Dates'!$M:$M,"&lt;="&amp;V_Detailed_Report!K$4)</f>
        <v>0</v>
      </c>
      <c r="L120" s="157">
        <f>SUMIFS('PQ-Due Dates'!$L:$L,'PQ-Due Dates'!$A:$A,V_Detailed_Report!$C120,'PQ-Due Dates'!$M:$M,"&gt;="&amp;V_Detailed_Report!L$3,'PQ-Due Dates'!$M:$M,"&lt;="&amp;V_Detailed_Report!L$4)</f>
        <v>150000</v>
      </c>
      <c r="M120" s="157">
        <f>SUMIFS('PQ-Due Dates'!$L:$L,'PQ-Due Dates'!$A:$A,V_Detailed_Report!$C120,'PQ-Due Dates'!$M:$M,"&gt;="&amp;V_Detailed_Report!M$3,'PQ-Due Dates'!$M:$M,"&lt;="&amp;V_Detailed_Report!M$4)</f>
        <v>0</v>
      </c>
      <c r="N120" s="157">
        <f>SUMIFS('PQ-Due Dates'!$L:$L,'PQ-Due Dates'!$A:$A,V_Detailed_Report!$C120,'PQ-Due Dates'!$M:$M,"&gt;="&amp;V_Detailed_Report!N$3,'PQ-Due Dates'!$M:$M,"&lt;="&amp;V_Detailed_Report!N$4)</f>
        <v>0</v>
      </c>
      <c r="O120" s="157">
        <f>SUMIFS('PQ-Due Dates'!$L:$L,'PQ-Due Dates'!$A:$A,V_Detailed_Report!$C120,'PQ-Due Dates'!$M:$M,"&gt;="&amp;V_Detailed_Report!O$3,'PQ-Due Dates'!$M:$M,"&lt;="&amp;V_Detailed_Report!O$4)</f>
        <v>0</v>
      </c>
      <c r="P120" s="157">
        <f>SUMIFS('PQ-Due Dates'!$L:$L,'PQ-Due Dates'!$A:$A,V_Detailed_Report!$C120,'PQ-Due Dates'!$M:$M,"&gt;="&amp;V_Detailed_Report!P$3,'PQ-Due Dates'!$M:$M,"&lt;="&amp;V_Detailed_Report!P$4)</f>
        <v>0</v>
      </c>
      <c r="Q120" s="157">
        <f>SUMIFS('PQ-Due Dates'!$L:$L,'PQ-Due Dates'!$A:$A,V_Detailed_Report!$C120,'PQ-Due Dates'!$M:$M,"&gt;="&amp;V_Detailed_Report!Q$3,'PQ-Due Dates'!$M:$M,"&lt;="&amp;V_Detailed_Report!Q$4)</f>
        <v>0</v>
      </c>
      <c r="R120" s="157">
        <f>SUMIFS('PQ-Due Dates'!$L:$L,'PQ-Due Dates'!$A:$A,V_Detailed_Report!$C120,'PQ-Due Dates'!$M:$M,"&gt;="&amp;V_Detailed_Report!R$3,'PQ-Due Dates'!$M:$M,"&lt;="&amp;V_Detailed_Report!R$4)</f>
        <v>0</v>
      </c>
      <c r="S120" s="157">
        <f>SUMIFS('PQ-Due Dates'!$L:$L,'PQ-Due Dates'!$A:$A,V_Detailed_Report!$C120,'PQ-Due Dates'!$M:$M,"&gt;="&amp;V_Detailed_Report!S$3,'PQ-Due Dates'!$M:$M,"&lt;="&amp;V_Detailed_Report!S$4)</f>
        <v>0</v>
      </c>
      <c r="T120" s="157">
        <f>SUMIFS('PQ-Due Dates'!$L:$L,'PQ-Due Dates'!$A:$A,V_Detailed_Report!$C120,'PQ-Due Dates'!$M:$M,"&gt;="&amp;V_Detailed_Report!T$3,'PQ-Due Dates'!$M:$M,"&lt;="&amp;V_Detailed_Report!T$4)</f>
        <v>0</v>
      </c>
      <c r="U120" s="157">
        <f t="shared" si="13"/>
        <v>150000</v>
      </c>
      <c r="V120" s="157">
        <f t="shared" si="14"/>
        <v>0</v>
      </c>
      <c r="W120" s="157">
        <f t="shared" si="15"/>
        <v>150000</v>
      </c>
    </row>
    <row r="121" spans="1:23" x14ac:dyDescent="0.25">
      <c r="A121" s="162" t="s">
        <v>152</v>
      </c>
      <c r="B121" s="162" t="s">
        <v>19</v>
      </c>
      <c r="C121" s="162" t="s">
        <v>409</v>
      </c>
      <c r="D121" s="162" t="str">
        <f>VLOOKUP(C121,'M_LC Summary'!A:F,6,0)</f>
        <v>SAB</v>
      </c>
      <c r="E121" s="162" t="str">
        <f>VLOOKUP(C121,'M_LC Summary'!A:C,3,0)</f>
        <v>Johnson Controls Arabia Ltd.</v>
      </c>
      <c r="F121" s="157">
        <f>VLOOKUP(C121,'M_LC Summary'!A:K,11,0)</f>
        <v>1000000</v>
      </c>
      <c r="G121" s="157">
        <f>VLOOKUP(C121,'M_LC Summary'!A:L,12,0)</f>
        <v>0</v>
      </c>
      <c r="H121" s="157">
        <f t="shared" si="12"/>
        <v>1000000</v>
      </c>
      <c r="I121" s="157">
        <f>SUMIFS('PQ-Due Dates'!$L:$L,'PQ-Due Dates'!$A:$A,V_Detailed_Report!$C121,'PQ-Due Dates'!$M:$M,"&gt;="&amp;V_Detailed_Report!I$3,'PQ-Due Dates'!$M:$M,"&lt;="&amp;V_Detailed_Report!I$4)</f>
        <v>0</v>
      </c>
      <c r="J121" s="157">
        <f>SUMIFS('PQ-Due Dates'!$L:$L,'PQ-Due Dates'!$A:$A,V_Detailed_Report!$C121,'PQ-Due Dates'!$M:$M,"&gt;="&amp;V_Detailed_Report!J$3,'PQ-Due Dates'!$M:$M,"&lt;="&amp;V_Detailed_Report!J$4)</f>
        <v>0</v>
      </c>
      <c r="K121" s="157">
        <f>SUMIFS('PQ-Due Dates'!$L:$L,'PQ-Due Dates'!$A:$A,V_Detailed_Report!$C121,'PQ-Due Dates'!$M:$M,"&gt;="&amp;V_Detailed_Report!K$3,'PQ-Due Dates'!$M:$M,"&lt;="&amp;V_Detailed_Report!K$4)</f>
        <v>0</v>
      </c>
      <c r="L121" s="157">
        <f>SUMIFS('PQ-Due Dates'!$L:$L,'PQ-Due Dates'!$A:$A,V_Detailed_Report!$C121,'PQ-Due Dates'!$M:$M,"&gt;="&amp;V_Detailed_Report!L$3,'PQ-Due Dates'!$M:$M,"&lt;="&amp;V_Detailed_Report!L$4)</f>
        <v>0</v>
      </c>
      <c r="M121" s="157">
        <f>SUMIFS('PQ-Due Dates'!$L:$L,'PQ-Due Dates'!$A:$A,V_Detailed_Report!$C121,'PQ-Due Dates'!$M:$M,"&gt;="&amp;V_Detailed_Report!M$3,'PQ-Due Dates'!$M:$M,"&lt;="&amp;V_Detailed_Report!M$4)</f>
        <v>0</v>
      </c>
      <c r="N121" s="157">
        <f>SUMIFS('PQ-Due Dates'!$L:$L,'PQ-Due Dates'!$A:$A,V_Detailed_Report!$C121,'PQ-Due Dates'!$M:$M,"&gt;="&amp;V_Detailed_Report!N$3,'PQ-Due Dates'!$M:$M,"&lt;="&amp;V_Detailed_Report!N$4)</f>
        <v>0</v>
      </c>
      <c r="O121" s="157">
        <f>SUMIFS('PQ-Due Dates'!$L:$L,'PQ-Due Dates'!$A:$A,V_Detailed_Report!$C121,'PQ-Due Dates'!$M:$M,"&gt;="&amp;V_Detailed_Report!O$3,'PQ-Due Dates'!$M:$M,"&lt;="&amp;V_Detailed_Report!O$4)</f>
        <v>0</v>
      </c>
      <c r="P121" s="157">
        <f>SUMIFS('PQ-Due Dates'!$L:$L,'PQ-Due Dates'!$A:$A,V_Detailed_Report!$C121,'PQ-Due Dates'!$M:$M,"&gt;="&amp;V_Detailed_Report!P$3,'PQ-Due Dates'!$M:$M,"&lt;="&amp;V_Detailed_Report!P$4)</f>
        <v>0</v>
      </c>
      <c r="Q121" s="157">
        <f>SUMIFS('PQ-Due Dates'!$L:$L,'PQ-Due Dates'!$A:$A,V_Detailed_Report!$C121,'PQ-Due Dates'!$M:$M,"&gt;="&amp;V_Detailed_Report!Q$3,'PQ-Due Dates'!$M:$M,"&lt;="&amp;V_Detailed_Report!Q$4)</f>
        <v>0</v>
      </c>
      <c r="R121" s="157">
        <f>SUMIFS('PQ-Due Dates'!$L:$L,'PQ-Due Dates'!$A:$A,V_Detailed_Report!$C121,'PQ-Due Dates'!$M:$M,"&gt;="&amp;V_Detailed_Report!R$3,'PQ-Due Dates'!$M:$M,"&lt;="&amp;V_Detailed_Report!R$4)</f>
        <v>0</v>
      </c>
      <c r="S121" s="157">
        <f>SUMIFS('PQ-Due Dates'!$L:$L,'PQ-Due Dates'!$A:$A,V_Detailed_Report!$C121,'PQ-Due Dates'!$M:$M,"&gt;="&amp;V_Detailed_Report!S$3,'PQ-Due Dates'!$M:$M,"&lt;="&amp;V_Detailed_Report!S$4)</f>
        <v>0</v>
      </c>
      <c r="T121" s="157">
        <f>SUMIFS('PQ-Due Dates'!$L:$L,'PQ-Due Dates'!$A:$A,V_Detailed_Report!$C121,'PQ-Due Dates'!$M:$M,"&gt;="&amp;V_Detailed_Report!T$3,'PQ-Due Dates'!$M:$M,"&lt;="&amp;V_Detailed_Report!T$4)</f>
        <v>0</v>
      </c>
      <c r="U121" s="157">
        <f t="shared" si="13"/>
        <v>0</v>
      </c>
      <c r="V121" s="157">
        <f t="shared" si="14"/>
        <v>1000000</v>
      </c>
      <c r="W121" s="157">
        <f t="shared" si="15"/>
        <v>1000000</v>
      </c>
    </row>
    <row r="122" spans="1:23" x14ac:dyDescent="0.25">
      <c r="A122" s="162" t="s">
        <v>152</v>
      </c>
      <c r="B122" s="162" t="s">
        <v>19</v>
      </c>
      <c r="C122" s="162" t="s">
        <v>410</v>
      </c>
      <c r="D122" s="162" t="str">
        <f>VLOOKUP(C122,'M_LC Summary'!A:F,6,0)</f>
        <v>SAB</v>
      </c>
      <c r="E122" s="162" t="str">
        <f>VLOOKUP(C122,'M_LC Summary'!A:C,3,0)</f>
        <v>Khereiji Showrooms Co.</v>
      </c>
      <c r="F122" s="157">
        <f>VLOOKUP(C122,'M_LC Summary'!A:K,11,0)</f>
        <v>300000.73</v>
      </c>
      <c r="G122" s="157">
        <f>VLOOKUP(C122,'M_LC Summary'!A:L,12,0)</f>
        <v>0</v>
      </c>
      <c r="H122" s="157">
        <f t="shared" si="12"/>
        <v>300000.73</v>
      </c>
      <c r="I122" s="157">
        <f>SUMIFS('PQ-Due Dates'!$L:$L,'PQ-Due Dates'!$A:$A,V_Detailed_Report!$C122,'PQ-Due Dates'!$M:$M,"&gt;="&amp;V_Detailed_Report!I$3,'PQ-Due Dates'!$M:$M,"&lt;="&amp;V_Detailed_Report!I$4)</f>
        <v>0</v>
      </c>
      <c r="J122" s="157">
        <f>SUMIFS('PQ-Due Dates'!$L:$L,'PQ-Due Dates'!$A:$A,V_Detailed_Report!$C122,'PQ-Due Dates'!$M:$M,"&gt;="&amp;V_Detailed_Report!J$3,'PQ-Due Dates'!$M:$M,"&lt;="&amp;V_Detailed_Report!J$4)</f>
        <v>0</v>
      </c>
      <c r="K122" s="157">
        <f>SUMIFS('PQ-Due Dates'!$L:$L,'PQ-Due Dates'!$A:$A,V_Detailed_Report!$C122,'PQ-Due Dates'!$M:$M,"&gt;="&amp;V_Detailed_Report!K$3,'PQ-Due Dates'!$M:$M,"&lt;="&amp;V_Detailed_Report!K$4)</f>
        <v>0</v>
      </c>
      <c r="L122" s="157">
        <f>SUMIFS('PQ-Due Dates'!$L:$L,'PQ-Due Dates'!$A:$A,V_Detailed_Report!$C122,'PQ-Due Dates'!$M:$M,"&gt;="&amp;V_Detailed_Report!L$3,'PQ-Due Dates'!$M:$M,"&lt;="&amp;V_Detailed_Report!L$4)</f>
        <v>0</v>
      </c>
      <c r="M122" s="157">
        <f>SUMIFS('PQ-Due Dates'!$L:$L,'PQ-Due Dates'!$A:$A,V_Detailed_Report!$C122,'PQ-Due Dates'!$M:$M,"&gt;="&amp;V_Detailed_Report!M$3,'PQ-Due Dates'!$M:$M,"&lt;="&amp;V_Detailed_Report!M$4)</f>
        <v>0</v>
      </c>
      <c r="N122" s="157">
        <f>SUMIFS('PQ-Due Dates'!$L:$L,'PQ-Due Dates'!$A:$A,V_Detailed_Report!$C122,'PQ-Due Dates'!$M:$M,"&gt;="&amp;V_Detailed_Report!N$3,'PQ-Due Dates'!$M:$M,"&lt;="&amp;V_Detailed_Report!N$4)</f>
        <v>0</v>
      </c>
      <c r="O122" s="157">
        <f>SUMIFS('PQ-Due Dates'!$L:$L,'PQ-Due Dates'!$A:$A,V_Detailed_Report!$C122,'PQ-Due Dates'!$M:$M,"&gt;="&amp;V_Detailed_Report!O$3,'PQ-Due Dates'!$M:$M,"&lt;="&amp;V_Detailed_Report!O$4)</f>
        <v>0</v>
      </c>
      <c r="P122" s="157">
        <f>SUMIFS('PQ-Due Dates'!$L:$L,'PQ-Due Dates'!$A:$A,V_Detailed_Report!$C122,'PQ-Due Dates'!$M:$M,"&gt;="&amp;V_Detailed_Report!P$3,'PQ-Due Dates'!$M:$M,"&lt;="&amp;V_Detailed_Report!P$4)</f>
        <v>0</v>
      </c>
      <c r="Q122" s="157">
        <f>SUMIFS('PQ-Due Dates'!$L:$L,'PQ-Due Dates'!$A:$A,V_Detailed_Report!$C122,'PQ-Due Dates'!$M:$M,"&gt;="&amp;V_Detailed_Report!Q$3,'PQ-Due Dates'!$M:$M,"&lt;="&amp;V_Detailed_Report!Q$4)</f>
        <v>0</v>
      </c>
      <c r="R122" s="157">
        <f>SUMIFS('PQ-Due Dates'!$L:$L,'PQ-Due Dates'!$A:$A,V_Detailed_Report!$C122,'PQ-Due Dates'!$M:$M,"&gt;="&amp;V_Detailed_Report!R$3,'PQ-Due Dates'!$M:$M,"&lt;="&amp;V_Detailed_Report!R$4)</f>
        <v>0</v>
      </c>
      <c r="S122" s="157">
        <f>SUMIFS('PQ-Due Dates'!$L:$L,'PQ-Due Dates'!$A:$A,V_Detailed_Report!$C122,'PQ-Due Dates'!$M:$M,"&gt;="&amp;V_Detailed_Report!S$3,'PQ-Due Dates'!$M:$M,"&lt;="&amp;V_Detailed_Report!S$4)</f>
        <v>299758.8</v>
      </c>
      <c r="T122" s="157">
        <f>SUMIFS('PQ-Due Dates'!$L:$L,'PQ-Due Dates'!$A:$A,V_Detailed_Report!$C122,'PQ-Due Dates'!$M:$M,"&gt;="&amp;V_Detailed_Report!T$3,'PQ-Due Dates'!$M:$M,"&lt;="&amp;V_Detailed_Report!T$4)</f>
        <v>0</v>
      </c>
      <c r="U122" s="157">
        <f t="shared" si="13"/>
        <v>299758.8</v>
      </c>
      <c r="V122" s="157">
        <f t="shared" si="14"/>
        <v>241.92999999999302</v>
      </c>
      <c r="W122" s="157">
        <f t="shared" si="15"/>
        <v>300000.73</v>
      </c>
    </row>
    <row r="123" spans="1:23" x14ac:dyDescent="0.25">
      <c r="A123" s="162" t="s">
        <v>152</v>
      </c>
      <c r="B123" s="162" t="s">
        <v>19</v>
      </c>
      <c r="C123" s="162" t="s">
        <v>411</v>
      </c>
      <c r="D123" s="162" t="str">
        <f>VLOOKUP(C123,'M_LC Summary'!A:F,6,0)</f>
        <v>SAB</v>
      </c>
      <c r="E123" s="162" t="str">
        <f>VLOOKUP(C123,'M_LC Summary'!A:C,3,0)</f>
        <v>Masdar Technical Supplies Co.</v>
      </c>
      <c r="F123" s="157">
        <f>VLOOKUP(C123,'M_LC Summary'!A:K,11,0)</f>
        <v>200000</v>
      </c>
      <c r="G123" s="157">
        <f>VLOOKUP(C123,'M_LC Summary'!A:L,12,0)</f>
        <v>0</v>
      </c>
      <c r="H123" s="157">
        <f t="shared" si="12"/>
        <v>200000</v>
      </c>
      <c r="I123" s="157">
        <f>SUMIFS('PQ-Due Dates'!$L:$L,'PQ-Due Dates'!$A:$A,V_Detailed_Report!$C123,'PQ-Due Dates'!$M:$M,"&gt;="&amp;V_Detailed_Report!I$3,'PQ-Due Dates'!$M:$M,"&lt;="&amp;V_Detailed_Report!I$4)</f>
        <v>0</v>
      </c>
      <c r="J123" s="157">
        <f>SUMIFS('PQ-Due Dates'!$L:$L,'PQ-Due Dates'!$A:$A,V_Detailed_Report!$C123,'PQ-Due Dates'!$M:$M,"&gt;="&amp;V_Detailed_Report!J$3,'PQ-Due Dates'!$M:$M,"&lt;="&amp;V_Detailed_Report!J$4)</f>
        <v>0</v>
      </c>
      <c r="K123" s="157">
        <f>SUMIFS('PQ-Due Dates'!$L:$L,'PQ-Due Dates'!$A:$A,V_Detailed_Report!$C123,'PQ-Due Dates'!$M:$M,"&gt;="&amp;V_Detailed_Report!K$3,'PQ-Due Dates'!$M:$M,"&lt;="&amp;V_Detailed_Report!K$4)</f>
        <v>0</v>
      </c>
      <c r="L123" s="157">
        <f>SUMIFS('PQ-Due Dates'!$L:$L,'PQ-Due Dates'!$A:$A,V_Detailed_Report!$C123,'PQ-Due Dates'!$M:$M,"&gt;="&amp;V_Detailed_Report!L$3,'PQ-Due Dates'!$M:$M,"&lt;="&amp;V_Detailed_Report!L$4)</f>
        <v>0</v>
      </c>
      <c r="M123" s="157">
        <f>SUMIFS('PQ-Due Dates'!$L:$L,'PQ-Due Dates'!$A:$A,V_Detailed_Report!$C123,'PQ-Due Dates'!$M:$M,"&gt;="&amp;V_Detailed_Report!M$3,'PQ-Due Dates'!$M:$M,"&lt;="&amp;V_Detailed_Report!M$4)</f>
        <v>0</v>
      </c>
      <c r="N123" s="157">
        <f>SUMIFS('PQ-Due Dates'!$L:$L,'PQ-Due Dates'!$A:$A,V_Detailed_Report!$C123,'PQ-Due Dates'!$M:$M,"&gt;="&amp;V_Detailed_Report!N$3,'PQ-Due Dates'!$M:$M,"&lt;="&amp;V_Detailed_Report!N$4)</f>
        <v>0</v>
      </c>
      <c r="O123" s="157">
        <f>SUMIFS('PQ-Due Dates'!$L:$L,'PQ-Due Dates'!$A:$A,V_Detailed_Report!$C123,'PQ-Due Dates'!$M:$M,"&gt;="&amp;V_Detailed_Report!O$3,'PQ-Due Dates'!$M:$M,"&lt;="&amp;V_Detailed_Report!O$4)</f>
        <v>0</v>
      </c>
      <c r="P123" s="157">
        <f>SUMIFS('PQ-Due Dates'!$L:$L,'PQ-Due Dates'!$A:$A,V_Detailed_Report!$C123,'PQ-Due Dates'!$M:$M,"&gt;="&amp;V_Detailed_Report!P$3,'PQ-Due Dates'!$M:$M,"&lt;="&amp;V_Detailed_Report!P$4)</f>
        <v>200000</v>
      </c>
      <c r="Q123" s="157">
        <f>SUMIFS('PQ-Due Dates'!$L:$L,'PQ-Due Dates'!$A:$A,V_Detailed_Report!$C123,'PQ-Due Dates'!$M:$M,"&gt;="&amp;V_Detailed_Report!Q$3,'PQ-Due Dates'!$M:$M,"&lt;="&amp;V_Detailed_Report!Q$4)</f>
        <v>0</v>
      </c>
      <c r="R123" s="157">
        <f>SUMIFS('PQ-Due Dates'!$L:$L,'PQ-Due Dates'!$A:$A,V_Detailed_Report!$C123,'PQ-Due Dates'!$M:$M,"&gt;="&amp;V_Detailed_Report!R$3,'PQ-Due Dates'!$M:$M,"&lt;="&amp;V_Detailed_Report!R$4)</f>
        <v>0</v>
      </c>
      <c r="S123" s="157">
        <f>SUMIFS('PQ-Due Dates'!$L:$L,'PQ-Due Dates'!$A:$A,V_Detailed_Report!$C123,'PQ-Due Dates'!$M:$M,"&gt;="&amp;V_Detailed_Report!S$3,'PQ-Due Dates'!$M:$M,"&lt;="&amp;V_Detailed_Report!S$4)</f>
        <v>0</v>
      </c>
      <c r="T123" s="157">
        <f>SUMIFS('PQ-Due Dates'!$L:$L,'PQ-Due Dates'!$A:$A,V_Detailed_Report!$C123,'PQ-Due Dates'!$M:$M,"&gt;="&amp;V_Detailed_Report!T$3,'PQ-Due Dates'!$M:$M,"&lt;="&amp;V_Detailed_Report!T$4)</f>
        <v>0</v>
      </c>
      <c r="U123" s="157">
        <f t="shared" si="13"/>
        <v>200000</v>
      </c>
      <c r="V123" s="157">
        <f t="shared" si="14"/>
        <v>0</v>
      </c>
      <c r="W123" s="157">
        <f t="shared" si="15"/>
        <v>200000</v>
      </c>
    </row>
    <row r="124" spans="1:23" x14ac:dyDescent="0.25">
      <c r="A124" s="162" t="s">
        <v>152</v>
      </c>
      <c r="B124" s="162" t="s">
        <v>19</v>
      </c>
      <c r="C124" s="162" t="s">
        <v>412</v>
      </c>
      <c r="D124" s="162" t="str">
        <f>VLOOKUP(C124,'M_LC Summary'!A:F,6,0)</f>
        <v>SAB</v>
      </c>
      <c r="E124" s="162" t="str">
        <f>VLOOKUP(C124,'M_LC Summary'!A:C,3,0)</f>
        <v>Mohamad Saeed Afifi Trading Est.</v>
      </c>
      <c r="F124" s="157">
        <f>VLOOKUP(C124,'M_LC Summary'!A:K,11,0)</f>
        <v>450000</v>
      </c>
      <c r="G124" s="157">
        <f>VLOOKUP(C124,'M_LC Summary'!A:L,12,0)</f>
        <v>0</v>
      </c>
      <c r="H124" s="157">
        <f t="shared" si="12"/>
        <v>450000</v>
      </c>
      <c r="I124" s="157">
        <f>SUMIFS('PQ-Due Dates'!$L:$L,'PQ-Due Dates'!$A:$A,V_Detailed_Report!$C124,'PQ-Due Dates'!$M:$M,"&gt;="&amp;V_Detailed_Report!I$3,'PQ-Due Dates'!$M:$M,"&lt;="&amp;V_Detailed_Report!I$4)</f>
        <v>0</v>
      </c>
      <c r="J124" s="157">
        <f>SUMIFS('PQ-Due Dates'!$L:$L,'PQ-Due Dates'!$A:$A,V_Detailed_Report!$C124,'PQ-Due Dates'!$M:$M,"&gt;="&amp;V_Detailed_Report!J$3,'PQ-Due Dates'!$M:$M,"&lt;="&amp;V_Detailed_Report!J$4)</f>
        <v>0</v>
      </c>
      <c r="K124" s="157">
        <f>SUMIFS('PQ-Due Dates'!$L:$L,'PQ-Due Dates'!$A:$A,V_Detailed_Report!$C124,'PQ-Due Dates'!$M:$M,"&gt;="&amp;V_Detailed_Report!K$3,'PQ-Due Dates'!$M:$M,"&lt;="&amp;V_Detailed_Report!K$4)</f>
        <v>0</v>
      </c>
      <c r="L124" s="157">
        <f>SUMIFS('PQ-Due Dates'!$L:$L,'PQ-Due Dates'!$A:$A,V_Detailed_Report!$C124,'PQ-Due Dates'!$M:$M,"&gt;="&amp;V_Detailed_Report!L$3,'PQ-Due Dates'!$M:$M,"&lt;="&amp;V_Detailed_Report!L$4)</f>
        <v>0</v>
      </c>
      <c r="M124" s="157">
        <f>SUMIFS('PQ-Due Dates'!$L:$L,'PQ-Due Dates'!$A:$A,V_Detailed_Report!$C124,'PQ-Due Dates'!$M:$M,"&gt;="&amp;V_Detailed_Report!M$3,'PQ-Due Dates'!$M:$M,"&lt;="&amp;V_Detailed_Report!M$4)</f>
        <v>312768.11</v>
      </c>
      <c r="N124" s="157">
        <f>SUMIFS('PQ-Due Dates'!$L:$L,'PQ-Due Dates'!$A:$A,V_Detailed_Report!$C124,'PQ-Due Dates'!$M:$M,"&gt;="&amp;V_Detailed_Report!N$3,'PQ-Due Dates'!$M:$M,"&lt;="&amp;V_Detailed_Report!N$4)</f>
        <v>0</v>
      </c>
      <c r="O124" s="157">
        <f>SUMIFS('PQ-Due Dates'!$L:$L,'PQ-Due Dates'!$A:$A,V_Detailed_Report!$C124,'PQ-Due Dates'!$M:$M,"&gt;="&amp;V_Detailed_Report!O$3,'PQ-Due Dates'!$M:$M,"&lt;="&amp;V_Detailed_Report!O$4)</f>
        <v>0</v>
      </c>
      <c r="P124" s="157">
        <f>SUMIFS('PQ-Due Dates'!$L:$L,'PQ-Due Dates'!$A:$A,V_Detailed_Report!$C124,'PQ-Due Dates'!$M:$M,"&gt;="&amp;V_Detailed_Report!P$3,'PQ-Due Dates'!$M:$M,"&lt;="&amp;V_Detailed_Report!P$4)</f>
        <v>0</v>
      </c>
      <c r="Q124" s="157">
        <f>SUMIFS('PQ-Due Dates'!$L:$L,'PQ-Due Dates'!$A:$A,V_Detailed_Report!$C124,'PQ-Due Dates'!$M:$M,"&gt;="&amp;V_Detailed_Report!Q$3,'PQ-Due Dates'!$M:$M,"&lt;="&amp;V_Detailed_Report!Q$4)</f>
        <v>0</v>
      </c>
      <c r="R124" s="157">
        <f>SUMIFS('PQ-Due Dates'!$L:$L,'PQ-Due Dates'!$A:$A,V_Detailed_Report!$C124,'PQ-Due Dates'!$M:$M,"&gt;="&amp;V_Detailed_Report!R$3,'PQ-Due Dates'!$M:$M,"&lt;="&amp;V_Detailed_Report!R$4)</f>
        <v>0</v>
      </c>
      <c r="S124" s="157">
        <f>SUMIFS('PQ-Due Dates'!$L:$L,'PQ-Due Dates'!$A:$A,V_Detailed_Report!$C124,'PQ-Due Dates'!$M:$M,"&gt;="&amp;V_Detailed_Report!S$3,'PQ-Due Dates'!$M:$M,"&lt;="&amp;V_Detailed_Report!S$4)</f>
        <v>0</v>
      </c>
      <c r="T124" s="157">
        <f>SUMIFS('PQ-Due Dates'!$L:$L,'PQ-Due Dates'!$A:$A,V_Detailed_Report!$C124,'PQ-Due Dates'!$M:$M,"&gt;="&amp;V_Detailed_Report!T$3,'PQ-Due Dates'!$M:$M,"&lt;="&amp;V_Detailed_Report!T$4)</f>
        <v>0</v>
      </c>
      <c r="U124" s="157">
        <f t="shared" si="13"/>
        <v>312768.11</v>
      </c>
      <c r="V124" s="157">
        <f t="shared" si="14"/>
        <v>137231.89000000001</v>
      </c>
      <c r="W124" s="157">
        <f t="shared" si="15"/>
        <v>450000</v>
      </c>
    </row>
    <row r="125" spans="1:23" x14ac:dyDescent="0.25">
      <c r="A125" s="162" t="s">
        <v>152</v>
      </c>
      <c r="B125" s="162" t="s">
        <v>19</v>
      </c>
      <c r="C125" s="162" t="s">
        <v>413</v>
      </c>
      <c r="D125" s="162" t="str">
        <f>VLOOKUP(C125,'M_LC Summary'!A:F,6,0)</f>
        <v>SAB</v>
      </c>
      <c r="E125" s="162" t="str">
        <f>VLOOKUP(C125,'M_LC Summary'!A:C,3,0)</f>
        <v>National Fire Fighting Manufacturing Fzco Br.</v>
      </c>
      <c r="F125" s="157">
        <f>VLOOKUP(C125,'M_LC Summary'!A:K,11,0)</f>
        <v>500000</v>
      </c>
      <c r="G125" s="157">
        <f>VLOOKUP(C125,'M_LC Summary'!A:L,12,0)</f>
        <v>0</v>
      </c>
      <c r="H125" s="157">
        <f t="shared" si="12"/>
        <v>500000</v>
      </c>
      <c r="I125" s="157">
        <f>SUMIFS('PQ-Due Dates'!$L:$L,'PQ-Due Dates'!$A:$A,V_Detailed_Report!$C125,'PQ-Due Dates'!$M:$M,"&gt;="&amp;V_Detailed_Report!I$3,'PQ-Due Dates'!$M:$M,"&lt;="&amp;V_Detailed_Report!I$4)</f>
        <v>0</v>
      </c>
      <c r="J125" s="157">
        <f>SUMIFS('PQ-Due Dates'!$L:$L,'PQ-Due Dates'!$A:$A,V_Detailed_Report!$C125,'PQ-Due Dates'!$M:$M,"&gt;="&amp;V_Detailed_Report!J$3,'PQ-Due Dates'!$M:$M,"&lt;="&amp;V_Detailed_Report!J$4)</f>
        <v>0</v>
      </c>
      <c r="K125" s="157">
        <f>SUMIFS('PQ-Due Dates'!$L:$L,'PQ-Due Dates'!$A:$A,V_Detailed_Report!$C125,'PQ-Due Dates'!$M:$M,"&gt;="&amp;V_Detailed_Report!K$3,'PQ-Due Dates'!$M:$M,"&lt;="&amp;V_Detailed_Report!K$4)</f>
        <v>0</v>
      </c>
      <c r="L125" s="157">
        <f>SUMIFS('PQ-Due Dates'!$L:$L,'PQ-Due Dates'!$A:$A,V_Detailed_Report!$C125,'PQ-Due Dates'!$M:$M,"&gt;="&amp;V_Detailed_Report!L$3,'PQ-Due Dates'!$M:$M,"&lt;="&amp;V_Detailed_Report!L$4)</f>
        <v>500000</v>
      </c>
      <c r="M125" s="157">
        <f>SUMIFS('PQ-Due Dates'!$L:$L,'PQ-Due Dates'!$A:$A,V_Detailed_Report!$C125,'PQ-Due Dates'!$M:$M,"&gt;="&amp;V_Detailed_Report!M$3,'PQ-Due Dates'!$M:$M,"&lt;="&amp;V_Detailed_Report!M$4)</f>
        <v>0</v>
      </c>
      <c r="N125" s="157">
        <f>SUMIFS('PQ-Due Dates'!$L:$L,'PQ-Due Dates'!$A:$A,V_Detailed_Report!$C125,'PQ-Due Dates'!$M:$M,"&gt;="&amp;V_Detailed_Report!N$3,'PQ-Due Dates'!$M:$M,"&lt;="&amp;V_Detailed_Report!N$4)</f>
        <v>0</v>
      </c>
      <c r="O125" s="157">
        <f>SUMIFS('PQ-Due Dates'!$L:$L,'PQ-Due Dates'!$A:$A,V_Detailed_Report!$C125,'PQ-Due Dates'!$M:$M,"&gt;="&amp;V_Detailed_Report!O$3,'PQ-Due Dates'!$M:$M,"&lt;="&amp;V_Detailed_Report!O$4)</f>
        <v>0</v>
      </c>
      <c r="P125" s="157">
        <f>SUMIFS('PQ-Due Dates'!$L:$L,'PQ-Due Dates'!$A:$A,V_Detailed_Report!$C125,'PQ-Due Dates'!$M:$M,"&gt;="&amp;V_Detailed_Report!P$3,'PQ-Due Dates'!$M:$M,"&lt;="&amp;V_Detailed_Report!P$4)</f>
        <v>0</v>
      </c>
      <c r="Q125" s="157">
        <f>SUMIFS('PQ-Due Dates'!$L:$L,'PQ-Due Dates'!$A:$A,V_Detailed_Report!$C125,'PQ-Due Dates'!$M:$M,"&gt;="&amp;V_Detailed_Report!Q$3,'PQ-Due Dates'!$M:$M,"&lt;="&amp;V_Detailed_Report!Q$4)</f>
        <v>0</v>
      </c>
      <c r="R125" s="157">
        <f>SUMIFS('PQ-Due Dates'!$L:$L,'PQ-Due Dates'!$A:$A,V_Detailed_Report!$C125,'PQ-Due Dates'!$M:$M,"&gt;="&amp;V_Detailed_Report!R$3,'PQ-Due Dates'!$M:$M,"&lt;="&amp;V_Detailed_Report!R$4)</f>
        <v>0</v>
      </c>
      <c r="S125" s="157">
        <f>SUMIFS('PQ-Due Dates'!$L:$L,'PQ-Due Dates'!$A:$A,V_Detailed_Report!$C125,'PQ-Due Dates'!$M:$M,"&gt;="&amp;V_Detailed_Report!S$3,'PQ-Due Dates'!$M:$M,"&lt;="&amp;V_Detailed_Report!S$4)</f>
        <v>0</v>
      </c>
      <c r="T125" s="157">
        <f>SUMIFS('PQ-Due Dates'!$L:$L,'PQ-Due Dates'!$A:$A,V_Detailed_Report!$C125,'PQ-Due Dates'!$M:$M,"&gt;="&amp;V_Detailed_Report!T$3,'PQ-Due Dates'!$M:$M,"&lt;="&amp;V_Detailed_Report!T$4)</f>
        <v>0</v>
      </c>
      <c r="U125" s="157">
        <f t="shared" si="13"/>
        <v>500000</v>
      </c>
      <c r="V125" s="157">
        <f t="shared" si="14"/>
        <v>0</v>
      </c>
      <c r="W125" s="157">
        <f t="shared" si="15"/>
        <v>500000</v>
      </c>
    </row>
    <row r="126" spans="1:23" x14ac:dyDescent="0.25">
      <c r="A126" s="162" t="s">
        <v>152</v>
      </c>
      <c r="B126" s="162" t="s">
        <v>19</v>
      </c>
      <c r="C126" s="162" t="s">
        <v>414</v>
      </c>
      <c r="D126" s="162" t="str">
        <f>VLOOKUP(C126,'M_LC Summary'!A:F,6,0)</f>
        <v>SAB</v>
      </c>
      <c r="E126" s="162" t="str">
        <f>VLOOKUP(C126,'M_LC Summary'!A:C,3,0)</f>
        <v>National Marketing Est. Co. Ltd</v>
      </c>
      <c r="F126" s="157">
        <f>VLOOKUP(C126,'M_LC Summary'!A:K,11,0)</f>
        <v>275000</v>
      </c>
      <c r="G126" s="157">
        <f>VLOOKUP(C126,'M_LC Summary'!A:L,12,0)</f>
        <v>0</v>
      </c>
      <c r="H126" s="157">
        <f t="shared" si="12"/>
        <v>275000</v>
      </c>
      <c r="I126" s="157">
        <f>SUMIFS('PQ-Due Dates'!$L:$L,'PQ-Due Dates'!$A:$A,V_Detailed_Report!$C126,'PQ-Due Dates'!$M:$M,"&gt;="&amp;V_Detailed_Report!I$3,'PQ-Due Dates'!$M:$M,"&lt;="&amp;V_Detailed_Report!I$4)</f>
        <v>0</v>
      </c>
      <c r="J126" s="157">
        <f>SUMIFS('PQ-Due Dates'!$L:$L,'PQ-Due Dates'!$A:$A,V_Detailed_Report!$C126,'PQ-Due Dates'!$M:$M,"&gt;="&amp;V_Detailed_Report!J$3,'PQ-Due Dates'!$M:$M,"&lt;="&amp;V_Detailed_Report!J$4)</f>
        <v>0</v>
      </c>
      <c r="K126" s="157">
        <f>SUMIFS('PQ-Due Dates'!$L:$L,'PQ-Due Dates'!$A:$A,V_Detailed_Report!$C126,'PQ-Due Dates'!$M:$M,"&gt;="&amp;V_Detailed_Report!K$3,'PQ-Due Dates'!$M:$M,"&lt;="&amp;V_Detailed_Report!K$4)</f>
        <v>0</v>
      </c>
      <c r="L126" s="157">
        <f>SUMIFS('PQ-Due Dates'!$L:$L,'PQ-Due Dates'!$A:$A,V_Detailed_Report!$C126,'PQ-Due Dates'!$M:$M,"&gt;="&amp;V_Detailed_Report!L$3,'PQ-Due Dates'!$M:$M,"&lt;="&amp;V_Detailed_Report!L$4)</f>
        <v>0</v>
      </c>
      <c r="M126" s="157">
        <f>SUMIFS('PQ-Due Dates'!$L:$L,'PQ-Due Dates'!$A:$A,V_Detailed_Report!$C126,'PQ-Due Dates'!$M:$M,"&gt;="&amp;V_Detailed_Report!M$3,'PQ-Due Dates'!$M:$M,"&lt;="&amp;V_Detailed_Report!M$4)</f>
        <v>0</v>
      </c>
      <c r="N126" s="157">
        <f>SUMIFS('PQ-Due Dates'!$L:$L,'PQ-Due Dates'!$A:$A,V_Detailed_Report!$C126,'PQ-Due Dates'!$M:$M,"&gt;="&amp;V_Detailed_Report!N$3,'PQ-Due Dates'!$M:$M,"&lt;="&amp;V_Detailed_Report!N$4)</f>
        <v>0</v>
      </c>
      <c r="O126" s="157">
        <f>SUMIFS('PQ-Due Dates'!$L:$L,'PQ-Due Dates'!$A:$A,V_Detailed_Report!$C126,'PQ-Due Dates'!$M:$M,"&gt;="&amp;V_Detailed_Report!O$3,'PQ-Due Dates'!$M:$M,"&lt;="&amp;V_Detailed_Report!O$4)</f>
        <v>0</v>
      </c>
      <c r="P126" s="157">
        <f>SUMIFS('PQ-Due Dates'!$L:$L,'PQ-Due Dates'!$A:$A,V_Detailed_Report!$C126,'PQ-Due Dates'!$M:$M,"&gt;="&amp;V_Detailed_Report!P$3,'PQ-Due Dates'!$M:$M,"&lt;="&amp;V_Detailed_Report!P$4)</f>
        <v>0</v>
      </c>
      <c r="Q126" s="157">
        <f>SUMIFS('PQ-Due Dates'!$L:$L,'PQ-Due Dates'!$A:$A,V_Detailed_Report!$C126,'PQ-Due Dates'!$M:$M,"&gt;="&amp;V_Detailed_Report!Q$3,'PQ-Due Dates'!$M:$M,"&lt;="&amp;V_Detailed_Report!Q$4)</f>
        <v>0</v>
      </c>
      <c r="R126" s="157">
        <f>SUMIFS('PQ-Due Dates'!$L:$L,'PQ-Due Dates'!$A:$A,V_Detailed_Report!$C126,'PQ-Due Dates'!$M:$M,"&gt;="&amp;V_Detailed_Report!R$3,'PQ-Due Dates'!$M:$M,"&lt;="&amp;V_Detailed_Report!R$4)</f>
        <v>0</v>
      </c>
      <c r="S126" s="157">
        <f>SUMIFS('PQ-Due Dates'!$L:$L,'PQ-Due Dates'!$A:$A,V_Detailed_Report!$C126,'PQ-Due Dates'!$M:$M,"&gt;="&amp;V_Detailed_Report!S$3,'PQ-Due Dates'!$M:$M,"&lt;="&amp;V_Detailed_Report!S$4)</f>
        <v>0</v>
      </c>
      <c r="T126" s="157">
        <f>SUMIFS('PQ-Due Dates'!$L:$L,'PQ-Due Dates'!$A:$A,V_Detailed_Report!$C126,'PQ-Due Dates'!$M:$M,"&gt;="&amp;V_Detailed_Report!T$3,'PQ-Due Dates'!$M:$M,"&lt;="&amp;V_Detailed_Report!T$4)</f>
        <v>0</v>
      </c>
      <c r="U126" s="157">
        <f t="shared" si="13"/>
        <v>0</v>
      </c>
      <c r="V126" s="157">
        <f t="shared" si="14"/>
        <v>275000</v>
      </c>
      <c r="W126" s="157">
        <f t="shared" si="15"/>
        <v>275000</v>
      </c>
    </row>
    <row r="127" spans="1:23" x14ac:dyDescent="0.25">
      <c r="A127" s="162" t="s">
        <v>152</v>
      </c>
      <c r="B127" s="162" t="s">
        <v>19</v>
      </c>
      <c r="C127" s="162" t="s">
        <v>415</v>
      </c>
      <c r="D127" s="162" t="str">
        <f>VLOOKUP(C127,'M_LC Summary'!A:F,6,0)</f>
        <v>SAB</v>
      </c>
      <c r="E127" s="162" t="str">
        <f>VLOOKUP(C127,'M_LC Summary'!A:C,3,0)</f>
        <v>Power Center Company For Industries Llc</v>
      </c>
      <c r="F127" s="157">
        <f>VLOOKUP(C127,'M_LC Summary'!A:K,11,0)</f>
        <v>900000</v>
      </c>
      <c r="G127" s="157">
        <f>VLOOKUP(C127,'M_LC Summary'!A:L,12,0)</f>
        <v>0</v>
      </c>
      <c r="H127" s="157">
        <f t="shared" si="12"/>
        <v>900000</v>
      </c>
      <c r="I127" s="157">
        <f>SUMIFS('PQ-Due Dates'!$L:$L,'PQ-Due Dates'!$A:$A,V_Detailed_Report!$C127,'PQ-Due Dates'!$M:$M,"&gt;="&amp;V_Detailed_Report!I$3,'PQ-Due Dates'!$M:$M,"&lt;="&amp;V_Detailed_Report!I$4)</f>
        <v>0</v>
      </c>
      <c r="J127" s="157">
        <f>SUMIFS('PQ-Due Dates'!$L:$L,'PQ-Due Dates'!$A:$A,V_Detailed_Report!$C127,'PQ-Due Dates'!$M:$M,"&gt;="&amp;V_Detailed_Report!J$3,'PQ-Due Dates'!$M:$M,"&lt;="&amp;V_Detailed_Report!J$4)</f>
        <v>0</v>
      </c>
      <c r="K127" s="157">
        <f>SUMIFS('PQ-Due Dates'!$L:$L,'PQ-Due Dates'!$A:$A,V_Detailed_Report!$C127,'PQ-Due Dates'!$M:$M,"&gt;="&amp;V_Detailed_Report!K$3,'PQ-Due Dates'!$M:$M,"&lt;="&amp;V_Detailed_Report!K$4)</f>
        <v>0</v>
      </c>
      <c r="L127" s="157">
        <f>SUMIFS('PQ-Due Dates'!$L:$L,'PQ-Due Dates'!$A:$A,V_Detailed_Report!$C127,'PQ-Due Dates'!$M:$M,"&gt;="&amp;V_Detailed_Report!L$3,'PQ-Due Dates'!$M:$M,"&lt;="&amp;V_Detailed_Report!L$4)</f>
        <v>0</v>
      </c>
      <c r="M127" s="157">
        <f>SUMIFS('PQ-Due Dates'!$L:$L,'PQ-Due Dates'!$A:$A,V_Detailed_Report!$C127,'PQ-Due Dates'!$M:$M,"&gt;="&amp;V_Detailed_Report!M$3,'PQ-Due Dates'!$M:$M,"&lt;="&amp;V_Detailed_Report!M$4)</f>
        <v>0</v>
      </c>
      <c r="N127" s="157">
        <f>SUMIFS('PQ-Due Dates'!$L:$L,'PQ-Due Dates'!$A:$A,V_Detailed_Report!$C127,'PQ-Due Dates'!$M:$M,"&gt;="&amp;V_Detailed_Report!N$3,'PQ-Due Dates'!$M:$M,"&lt;="&amp;V_Detailed_Report!N$4)</f>
        <v>0</v>
      </c>
      <c r="O127" s="157">
        <f>SUMIFS('PQ-Due Dates'!$L:$L,'PQ-Due Dates'!$A:$A,V_Detailed_Report!$C127,'PQ-Due Dates'!$M:$M,"&gt;="&amp;V_Detailed_Report!O$3,'PQ-Due Dates'!$M:$M,"&lt;="&amp;V_Detailed_Report!O$4)</f>
        <v>0</v>
      </c>
      <c r="P127" s="157">
        <f>SUMIFS('PQ-Due Dates'!$L:$L,'PQ-Due Dates'!$A:$A,V_Detailed_Report!$C127,'PQ-Due Dates'!$M:$M,"&gt;="&amp;V_Detailed_Report!P$3,'PQ-Due Dates'!$M:$M,"&lt;="&amp;V_Detailed_Report!P$4)</f>
        <v>0</v>
      </c>
      <c r="Q127" s="157">
        <f>SUMIFS('PQ-Due Dates'!$L:$L,'PQ-Due Dates'!$A:$A,V_Detailed_Report!$C127,'PQ-Due Dates'!$M:$M,"&gt;="&amp;V_Detailed_Report!Q$3,'PQ-Due Dates'!$M:$M,"&lt;="&amp;V_Detailed_Report!Q$4)</f>
        <v>0</v>
      </c>
      <c r="R127" s="157">
        <f>SUMIFS('PQ-Due Dates'!$L:$L,'PQ-Due Dates'!$A:$A,V_Detailed_Report!$C127,'PQ-Due Dates'!$M:$M,"&gt;="&amp;V_Detailed_Report!R$3,'PQ-Due Dates'!$M:$M,"&lt;="&amp;V_Detailed_Report!R$4)</f>
        <v>0</v>
      </c>
      <c r="S127" s="157">
        <f>SUMIFS('PQ-Due Dates'!$L:$L,'PQ-Due Dates'!$A:$A,V_Detailed_Report!$C127,'PQ-Due Dates'!$M:$M,"&gt;="&amp;V_Detailed_Report!S$3,'PQ-Due Dates'!$M:$M,"&lt;="&amp;V_Detailed_Report!S$4)</f>
        <v>0</v>
      </c>
      <c r="T127" s="157">
        <f>SUMIFS('PQ-Due Dates'!$L:$L,'PQ-Due Dates'!$A:$A,V_Detailed_Report!$C127,'PQ-Due Dates'!$M:$M,"&gt;="&amp;V_Detailed_Report!T$3,'PQ-Due Dates'!$M:$M,"&lt;="&amp;V_Detailed_Report!T$4)</f>
        <v>0</v>
      </c>
      <c r="U127" s="157">
        <f t="shared" si="13"/>
        <v>0</v>
      </c>
      <c r="V127" s="157">
        <f t="shared" si="14"/>
        <v>900000</v>
      </c>
      <c r="W127" s="157">
        <f t="shared" si="15"/>
        <v>900000</v>
      </c>
    </row>
    <row r="128" spans="1:23" x14ac:dyDescent="0.25">
      <c r="A128" s="162" t="s">
        <v>152</v>
      </c>
      <c r="B128" s="162" t="s">
        <v>19</v>
      </c>
      <c r="C128" s="162" t="s">
        <v>416</v>
      </c>
      <c r="D128" s="162" t="str">
        <f>VLOOKUP(C128,'M_LC Summary'!A:F,6,0)</f>
        <v>SAB</v>
      </c>
      <c r="E128" s="162" t="str">
        <f>VLOOKUP(C128,'M_LC Summary'!A:C,3,0)</f>
        <v>Saudi Electric Supply Company</v>
      </c>
      <c r="F128" s="157">
        <f>VLOOKUP(C128,'M_LC Summary'!A:K,11,0)</f>
        <v>1000000</v>
      </c>
      <c r="G128" s="157">
        <f>VLOOKUP(C128,'M_LC Summary'!A:L,12,0)</f>
        <v>0</v>
      </c>
      <c r="H128" s="157">
        <f t="shared" si="12"/>
        <v>1000000</v>
      </c>
      <c r="I128" s="157">
        <f>SUMIFS('PQ-Due Dates'!$L:$L,'PQ-Due Dates'!$A:$A,V_Detailed_Report!$C128,'PQ-Due Dates'!$M:$M,"&gt;="&amp;V_Detailed_Report!I$3,'PQ-Due Dates'!$M:$M,"&lt;="&amp;V_Detailed_Report!I$4)</f>
        <v>0</v>
      </c>
      <c r="J128" s="157">
        <f>SUMIFS('PQ-Due Dates'!$L:$L,'PQ-Due Dates'!$A:$A,V_Detailed_Report!$C128,'PQ-Due Dates'!$M:$M,"&gt;="&amp;V_Detailed_Report!J$3,'PQ-Due Dates'!$M:$M,"&lt;="&amp;V_Detailed_Report!J$4)</f>
        <v>0</v>
      </c>
      <c r="K128" s="157">
        <f>SUMIFS('PQ-Due Dates'!$L:$L,'PQ-Due Dates'!$A:$A,V_Detailed_Report!$C128,'PQ-Due Dates'!$M:$M,"&gt;="&amp;V_Detailed_Report!K$3,'PQ-Due Dates'!$M:$M,"&lt;="&amp;V_Detailed_Report!K$4)</f>
        <v>0</v>
      </c>
      <c r="L128" s="157">
        <f>SUMIFS('PQ-Due Dates'!$L:$L,'PQ-Due Dates'!$A:$A,V_Detailed_Report!$C128,'PQ-Due Dates'!$M:$M,"&gt;="&amp;V_Detailed_Report!L$3,'PQ-Due Dates'!$M:$M,"&lt;="&amp;V_Detailed_Report!L$4)</f>
        <v>0</v>
      </c>
      <c r="M128" s="157">
        <f>SUMIFS('PQ-Due Dates'!$L:$L,'PQ-Due Dates'!$A:$A,V_Detailed_Report!$C128,'PQ-Due Dates'!$M:$M,"&gt;="&amp;V_Detailed_Report!M$3,'PQ-Due Dates'!$M:$M,"&lt;="&amp;V_Detailed_Report!M$4)</f>
        <v>1000000</v>
      </c>
      <c r="N128" s="157">
        <f>SUMIFS('PQ-Due Dates'!$L:$L,'PQ-Due Dates'!$A:$A,V_Detailed_Report!$C128,'PQ-Due Dates'!$M:$M,"&gt;="&amp;V_Detailed_Report!N$3,'PQ-Due Dates'!$M:$M,"&lt;="&amp;V_Detailed_Report!N$4)</f>
        <v>0</v>
      </c>
      <c r="O128" s="157">
        <f>SUMIFS('PQ-Due Dates'!$L:$L,'PQ-Due Dates'!$A:$A,V_Detailed_Report!$C128,'PQ-Due Dates'!$M:$M,"&gt;="&amp;V_Detailed_Report!O$3,'PQ-Due Dates'!$M:$M,"&lt;="&amp;V_Detailed_Report!O$4)</f>
        <v>0</v>
      </c>
      <c r="P128" s="157">
        <f>SUMIFS('PQ-Due Dates'!$L:$L,'PQ-Due Dates'!$A:$A,V_Detailed_Report!$C128,'PQ-Due Dates'!$M:$M,"&gt;="&amp;V_Detailed_Report!P$3,'PQ-Due Dates'!$M:$M,"&lt;="&amp;V_Detailed_Report!P$4)</f>
        <v>0</v>
      </c>
      <c r="Q128" s="157">
        <f>SUMIFS('PQ-Due Dates'!$L:$L,'PQ-Due Dates'!$A:$A,V_Detailed_Report!$C128,'PQ-Due Dates'!$M:$M,"&gt;="&amp;V_Detailed_Report!Q$3,'PQ-Due Dates'!$M:$M,"&lt;="&amp;V_Detailed_Report!Q$4)</f>
        <v>0</v>
      </c>
      <c r="R128" s="157">
        <f>SUMIFS('PQ-Due Dates'!$L:$L,'PQ-Due Dates'!$A:$A,V_Detailed_Report!$C128,'PQ-Due Dates'!$M:$M,"&gt;="&amp;V_Detailed_Report!R$3,'PQ-Due Dates'!$M:$M,"&lt;="&amp;V_Detailed_Report!R$4)</f>
        <v>0</v>
      </c>
      <c r="S128" s="157">
        <f>SUMIFS('PQ-Due Dates'!$L:$L,'PQ-Due Dates'!$A:$A,V_Detailed_Report!$C128,'PQ-Due Dates'!$M:$M,"&gt;="&amp;V_Detailed_Report!S$3,'PQ-Due Dates'!$M:$M,"&lt;="&amp;V_Detailed_Report!S$4)</f>
        <v>0</v>
      </c>
      <c r="T128" s="157">
        <f>SUMIFS('PQ-Due Dates'!$L:$L,'PQ-Due Dates'!$A:$A,V_Detailed_Report!$C128,'PQ-Due Dates'!$M:$M,"&gt;="&amp;V_Detailed_Report!T$3,'PQ-Due Dates'!$M:$M,"&lt;="&amp;V_Detailed_Report!T$4)</f>
        <v>0</v>
      </c>
      <c r="U128" s="157">
        <f t="shared" si="13"/>
        <v>1000000</v>
      </c>
      <c r="V128" s="157">
        <f t="shared" si="14"/>
        <v>0</v>
      </c>
      <c r="W128" s="157">
        <f t="shared" si="15"/>
        <v>1000000</v>
      </c>
    </row>
    <row r="129" spans="1:23" x14ac:dyDescent="0.25">
      <c r="A129" s="162" t="s">
        <v>152</v>
      </c>
      <c r="B129" s="162" t="s">
        <v>19</v>
      </c>
      <c r="C129" s="162" t="s">
        <v>424</v>
      </c>
      <c r="D129" s="162" t="str">
        <f>VLOOKUP(C129,'M_LC Summary'!A:F,6,0)</f>
        <v>SAB</v>
      </c>
      <c r="E129" s="162" t="str">
        <f>VLOOKUP(C129,'M_LC Summary'!A:C,3,0)</f>
        <v>Mushal Khalf Hijri For Contracting</v>
      </c>
      <c r="F129" s="157">
        <f>VLOOKUP(C129,'M_LC Summary'!A:K,11,0)</f>
        <v>175000</v>
      </c>
      <c r="G129" s="157">
        <f>VLOOKUP(C129,'M_LC Summary'!A:L,12,0)</f>
        <v>0</v>
      </c>
      <c r="H129" s="157">
        <f t="shared" si="12"/>
        <v>175000</v>
      </c>
      <c r="I129" s="157">
        <f>SUMIFS('PQ-Due Dates'!$L:$L,'PQ-Due Dates'!$A:$A,V_Detailed_Report!$C129,'PQ-Due Dates'!$M:$M,"&gt;="&amp;V_Detailed_Report!I$3,'PQ-Due Dates'!$M:$M,"&lt;="&amp;V_Detailed_Report!I$4)</f>
        <v>0</v>
      </c>
      <c r="J129" s="157">
        <f>SUMIFS('PQ-Due Dates'!$L:$L,'PQ-Due Dates'!$A:$A,V_Detailed_Report!$C129,'PQ-Due Dates'!$M:$M,"&gt;="&amp;V_Detailed_Report!J$3,'PQ-Due Dates'!$M:$M,"&lt;="&amp;V_Detailed_Report!J$4)</f>
        <v>0</v>
      </c>
      <c r="K129" s="157">
        <f>SUMIFS('PQ-Due Dates'!$L:$L,'PQ-Due Dates'!$A:$A,V_Detailed_Report!$C129,'PQ-Due Dates'!$M:$M,"&gt;="&amp;V_Detailed_Report!K$3,'PQ-Due Dates'!$M:$M,"&lt;="&amp;V_Detailed_Report!K$4)</f>
        <v>0</v>
      </c>
      <c r="L129" s="157">
        <f>SUMIFS('PQ-Due Dates'!$L:$L,'PQ-Due Dates'!$A:$A,V_Detailed_Report!$C129,'PQ-Due Dates'!$M:$M,"&gt;="&amp;V_Detailed_Report!L$3,'PQ-Due Dates'!$M:$M,"&lt;="&amp;V_Detailed_Report!L$4)</f>
        <v>0</v>
      </c>
      <c r="M129" s="157">
        <f>SUMIFS('PQ-Due Dates'!$L:$L,'PQ-Due Dates'!$A:$A,V_Detailed_Report!$C129,'PQ-Due Dates'!$M:$M,"&gt;="&amp;V_Detailed_Report!M$3,'PQ-Due Dates'!$M:$M,"&lt;="&amp;V_Detailed_Report!M$4)</f>
        <v>0</v>
      </c>
      <c r="N129" s="157">
        <f>SUMIFS('PQ-Due Dates'!$L:$L,'PQ-Due Dates'!$A:$A,V_Detailed_Report!$C129,'PQ-Due Dates'!$M:$M,"&gt;="&amp;V_Detailed_Report!N$3,'PQ-Due Dates'!$M:$M,"&lt;="&amp;V_Detailed_Report!N$4)</f>
        <v>0</v>
      </c>
      <c r="O129" s="157">
        <f>SUMIFS('PQ-Due Dates'!$L:$L,'PQ-Due Dates'!$A:$A,V_Detailed_Report!$C129,'PQ-Due Dates'!$M:$M,"&gt;="&amp;V_Detailed_Report!O$3,'PQ-Due Dates'!$M:$M,"&lt;="&amp;V_Detailed_Report!O$4)</f>
        <v>0</v>
      </c>
      <c r="P129" s="157">
        <f>SUMIFS('PQ-Due Dates'!$L:$L,'PQ-Due Dates'!$A:$A,V_Detailed_Report!$C129,'PQ-Due Dates'!$M:$M,"&gt;="&amp;V_Detailed_Report!P$3,'PQ-Due Dates'!$M:$M,"&lt;="&amp;V_Detailed_Report!P$4)</f>
        <v>0</v>
      </c>
      <c r="Q129" s="157">
        <f>SUMIFS('PQ-Due Dates'!$L:$L,'PQ-Due Dates'!$A:$A,V_Detailed_Report!$C129,'PQ-Due Dates'!$M:$M,"&gt;="&amp;V_Detailed_Report!Q$3,'PQ-Due Dates'!$M:$M,"&lt;="&amp;V_Detailed_Report!Q$4)</f>
        <v>0</v>
      </c>
      <c r="R129" s="157">
        <f>SUMIFS('PQ-Due Dates'!$L:$L,'PQ-Due Dates'!$A:$A,V_Detailed_Report!$C129,'PQ-Due Dates'!$M:$M,"&gt;="&amp;V_Detailed_Report!R$3,'PQ-Due Dates'!$M:$M,"&lt;="&amp;V_Detailed_Report!R$4)</f>
        <v>0</v>
      </c>
      <c r="S129" s="157">
        <f>SUMIFS('PQ-Due Dates'!$L:$L,'PQ-Due Dates'!$A:$A,V_Detailed_Report!$C129,'PQ-Due Dates'!$M:$M,"&gt;="&amp;V_Detailed_Report!S$3,'PQ-Due Dates'!$M:$M,"&lt;="&amp;V_Detailed_Report!S$4)</f>
        <v>0</v>
      </c>
      <c r="T129" s="157">
        <f>SUMIFS('PQ-Due Dates'!$L:$L,'PQ-Due Dates'!$A:$A,V_Detailed_Report!$C129,'PQ-Due Dates'!$M:$M,"&gt;="&amp;V_Detailed_Report!T$3,'PQ-Due Dates'!$M:$M,"&lt;="&amp;V_Detailed_Report!T$4)</f>
        <v>0</v>
      </c>
      <c r="U129" s="157">
        <f t="shared" si="13"/>
        <v>0</v>
      </c>
      <c r="V129" s="157">
        <f t="shared" si="14"/>
        <v>175000</v>
      </c>
      <c r="W129" s="157">
        <f t="shared" si="15"/>
        <v>175000</v>
      </c>
    </row>
    <row r="130" spans="1:23" x14ac:dyDescent="0.25">
      <c r="A130" s="162" t="s">
        <v>152</v>
      </c>
      <c r="B130" s="162" t="s">
        <v>19</v>
      </c>
      <c r="C130" s="162" t="s">
        <v>508</v>
      </c>
      <c r="D130" s="162" t="str">
        <f>VLOOKUP(C130,'M_LC Summary'!A:F,6,0)</f>
        <v>SAB</v>
      </c>
      <c r="E130" s="162" t="str">
        <f>VLOOKUP(C130,'M_LC Summary'!A:C,3,0)</f>
        <v>AFAQ AL MALAZ TRADING CO.LTD.</v>
      </c>
      <c r="F130" s="157">
        <f>VLOOKUP(C130,'M_LC Summary'!A:K,11,0)</f>
        <v>200000</v>
      </c>
      <c r="G130" s="157">
        <f>VLOOKUP(C130,'M_LC Summary'!A:L,12,0)</f>
        <v>0</v>
      </c>
      <c r="H130" s="157">
        <f t="shared" si="12"/>
        <v>200000</v>
      </c>
      <c r="I130" s="157">
        <f>SUMIFS('PQ-Due Dates'!$L:$L,'PQ-Due Dates'!$A:$A,V_Detailed_Report!$C130,'PQ-Due Dates'!$M:$M,"&gt;="&amp;V_Detailed_Report!I$3,'PQ-Due Dates'!$M:$M,"&lt;="&amp;V_Detailed_Report!I$4)</f>
        <v>0</v>
      </c>
      <c r="J130" s="157">
        <f>SUMIFS('PQ-Due Dates'!$L:$L,'PQ-Due Dates'!$A:$A,V_Detailed_Report!$C130,'PQ-Due Dates'!$M:$M,"&gt;="&amp;V_Detailed_Report!J$3,'PQ-Due Dates'!$M:$M,"&lt;="&amp;V_Detailed_Report!J$4)</f>
        <v>0</v>
      </c>
      <c r="K130" s="157">
        <f>SUMIFS('PQ-Due Dates'!$L:$L,'PQ-Due Dates'!$A:$A,V_Detailed_Report!$C130,'PQ-Due Dates'!$M:$M,"&gt;="&amp;V_Detailed_Report!K$3,'PQ-Due Dates'!$M:$M,"&lt;="&amp;V_Detailed_Report!K$4)</f>
        <v>0</v>
      </c>
      <c r="L130" s="157">
        <f>SUMIFS('PQ-Due Dates'!$L:$L,'PQ-Due Dates'!$A:$A,V_Detailed_Report!$C130,'PQ-Due Dates'!$M:$M,"&gt;="&amp;V_Detailed_Report!L$3,'PQ-Due Dates'!$M:$M,"&lt;="&amp;V_Detailed_Report!L$4)</f>
        <v>0</v>
      </c>
      <c r="M130" s="157">
        <f>SUMIFS('PQ-Due Dates'!$L:$L,'PQ-Due Dates'!$A:$A,V_Detailed_Report!$C130,'PQ-Due Dates'!$M:$M,"&gt;="&amp;V_Detailed_Report!M$3,'PQ-Due Dates'!$M:$M,"&lt;="&amp;V_Detailed_Report!M$4)</f>
        <v>0</v>
      </c>
      <c r="N130" s="157">
        <f>SUMIFS('PQ-Due Dates'!$L:$L,'PQ-Due Dates'!$A:$A,V_Detailed_Report!$C130,'PQ-Due Dates'!$M:$M,"&gt;="&amp;V_Detailed_Report!N$3,'PQ-Due Dates'!$M:$M,"&lt;="&amp;V_Detailed_Report!N$4)</f>
        <v>0</v>
      </c>
      <c r="O130" s="157">
        <f>SUMIFS('PQ-Due Dates'!$L:$L,'PQ-Due Dates'!$A:$A,V_Detailed_Report!$C130,'PQ-Due Dates'!$M:$M,"&gt;="&amp;V_Detailed_Report!O$3,'PQ-Due Dates'!$M:$M,"&lt;="&amp;V_Detailed_Report!O$4)</f>
        <v>0</v>
      </c>
      <c r="P130" s="157">
        <f>SUMIFS('PQ-Due Dates'!$L:$L,'PQ-Due Dates'!$A:$A,V_Detailed_Report!$C130,'PQ-Due Dates'!$M:$M,"&gt;="&amp;V_Detailed_Report!P$3,'PQ-Due Dates'!$M:$M,"&lt;="&amp;V_Detailed_Report!P$4)</f>
        <v>0</v>
      </c>
      <c r="Q130" s="157">
        <f>SUMIFS('PQ-Due Dates'!$L:$L,'PQ-Due Dates'!$A:$A,V_Detailed_Report!$C130,'PQ-Due Dates'!$M:$M,"&gt;="&amp;V_Detailed_Report!Q$3,'PQ-Due Dates'!$M:$M,"&lt;="&amp;V_Detailed_Report!Q$4)</f>
        <v>0</v>
      </c>
      <c r="R130" s="157">
        <f>SUMIFS('PQ-Due Dates'!$L:$L,'PQ-Due Dates'!$A:$A,V_Detailed_Report!$C130,'PQ-Due Dates'!$M:$M,"&gt;="&amp;V_Detailed_Report!R$3,'PQ-Due Dates'!$M:$M,"&lt;="&amp;V_Detailed_Report!R$4)</f>
        <v>0</v>
      </c>
      <c r="S130" s="157">
        <f>SUMIFS('PQ-Due Dates'!$L:$L,'PQ-Due Dates'!$A:$A,V_Detailed_Report!$C130,'PQ-Due Dates'!$M:$M,"&gt;="&amp;V_Detailed_Report!S$3,'PQ-Due Dates'!$M:$M,"&lt;="&amp;V_Detailed_Report!S$4)</f>
        <v>0</v>
      </c>
      <c r="T130" s="157">
        <f>SUMIFS('PQ-Due Dates'!$L:$L,'PQ-Due Dates'!$A:$A,V_Detailed_Report!$C130,'PQ-Due Dates'!$M:$M,"&gt;="&amp;V_Detailed_Report!T$3,'PQ-Due Dates'!$M:$M,"&lt;="&amp;V_Detailed_Report!T$4)</f>
        <v>0</v>
      </c>
      <c r="U130" s="157">
        <f t="shared" si="13"/>
        <v>0</v>
      </c>
      <c r="V130" s="157">
        <f t="shared" si="14"/>
        <v>200000</v>
      </c>
      <c r="W130" s="157">
        <f t="shared" si="15"/>
        <v>200000</v>
      </c>
    </row>
    <row r="131" spans="1:23" x14ac:dyDescent="0.25">
      <c r="A131" s="162" t="s">
        <v>152</v>
      </c>
      <c r="B131" s="162" t="s">
        <v>19</v>
      </c>
      <c r="C131" s="162" t="s">
        <v>509</v>
      </c>
      <c r="D131" s="162" t="str">
        <f>VLOOKUP(C131,'M_LC Summary'!A:F,6,0)</f>
        <v>SAB</v>
      </c>
      <c r="E131" s="162" t="str">
        <f>VLOOKUP(C131,'M_LC Summary'!A:C,3,0)</f>
        <v>ALGHAMDI COMPANY FOR SANITARY WARES</v>
      </c>
      <c r="F131" s="157">
        <f>VLOOKUP(C131,'M_LC Summary'!A:K,11,0)</f>
        <v>350000</v>
      </c>
      <c r="G131" s="157">
        <f>VLOOKUP(C131,'M_LC Summary'!A:L,12,0)</f>
        <v>0</v>
      </c>
      <c r="H131" s="157">
        <f t="shared" si="12"/>
        <v>350000</v>
      </c>
      <c r="I131" s="157">
        <f>SUMIFS('PQ-Due Dates'!$L:$L,'PQ-Due Dates'!$A:$A,V_Detailed_Report!$C131,'PQ-Due Dates'!$M:$M,"&gt;="&amp;V_Detailed_Report!I$3,'PQ-Due Dates'!$M:$M,"&lt;="&amp;V_Detailed_Report!I$4)</f>
        <v>0</v>
      </c>
      <c r="J131" s="157">
        <f>SUMIFS('PQ-Due Dates'!$L:$L,'PQ-Due Dates'!$A:$A,V_Detailed_Report!$C131,'PQ-Due Dates'!$M:$M,"&gt;="&amp;V_Detailed_Report!J$3,'PQ-Due Dates'!$M:$M,"&lt;="&amp;V_Detailed_Report!J$4)</f>
        <v>0</v>
      </c>
      <c r="K131" s="157">
        <f>SUMIFS('PQ-Due Dates'!$L:$L,'PQ-Due Dates'!$A:$A,V_Detailed_Report!$C131,'PQ-Due Dates'!$M:$M,"&gt;="&amp;V_Detailed_Report!K$3,'PQ-Due Dates'!$M:$M,"&lt;="&amp;V_Detailed_Report!K$4)</f>
        <v>0</v>
      </c>
      <c r="L131" s="157">
        <f>SUMIFS('PQ-Due Dates'!$L:$L,'PQ-Due Dates'!$A:$A,V_Detailed_Report!$C131,'PQ-Due Dates'!$M:$M,"&gt;="&amp;V_Detailed_Report!L$3,'PQ-Due Dates'!$M:$M,"&lt;="&amp;V_Detailed_Report!L$4)</f>
        <v>0</v>
      </c>
      <c r="M131" s="157">
        <f>SUMIFS('PQ-Due Dates'!$L:$L,'PQ-Due Dates'!$A:$A,V_Detailed_Report!$C131,'PQ-Due Dates'!$M:$M,"&gt;="&amp;V_Detailed_Report!M$3,'PQ-Due Dates'!$M:$M,"&lt;="&amp;V_Detailed_Report!M$4)</f>
        <v>0</v>
      </c>
      <c r="N131" s="157">
        <f>SUMIFS('PQ-Due Dates'!$L:$L,'PQ-Due Dates'!$A:$A,V_Detailed_Report!$C131,'PQ-Due Dates'!$M:$M,"&gt;="&amp;V_Detailed_Report!N$3,'PQ-Due Dates'!$M:$M,"&lt;="&amp;V_Detailed_Report!N$4)</f>
        <v>0</v>
      </c>
      <c r="O131" s="157">
        <f>SUMIFS('PQ-Due Dates'!$L:$L,'PQ-Due Dates'!$A:$A,V_Detailed_Report!$C131,'PQ-Due Dates'!$M:$M,"&gt;="&amp;V_Detailed_Report!O$3,'PQ-Due Dates'!$M:$M,"&lt;="&amp;V_Detailed_Report!O$4)</f>
        <v>0</v>
      </c>
      <c r="P131" s="157">
        <f>SUMIFS('PQ-Due Dates'!$L:$L,'PQ-Due Dates'!$A:$A,V_Detailed_Report!$C131,'PQ-Due Dates'!$M:$M,"&gt;="&amp;V_Detailed_Report!P$3,'PQ-Due Dates'!$M:$M,"&lt;="&amp;V_Detailed_Report!P$4)</f>
        <v>0</v>
      </c>
      <c r="Q131" s="157">
        <f>SUMIFS('PQ-Due Dates'!$L:$L,'PQ-Due Dates'!$A:$A,V_Detailed_Report!$C131,'PQ-Due Dates'!$M:$M,"&gt;="&amp;V_Detailed_Report!Q$3,'PQ-Due Dates'!$M:$M,"&lt;="&amp;V_Detailed_Report!Q$4)</f>
        <v>0</v>
      </c>
      <c r="R131" s="157">
        <f>SUMIFS('PQ-Due Dates'!$L:$L,'PQ-Due Dates'!$A:$A,V_Detailed_Report!$C131,'PQ-Due Dates'!$M:$M,"&gt;="&amp;V_Detailed_Report!R$3,'PQ-Due Dates'!$M:$M,"&lt;="&amp;V_Detailed_Report!R$4)</f>
        <v>0</v>
      </c>
      <c r="S131" s="157">
        <f>SUMIFS('PQ-Due Dates'!$L:$L,'PQ-Due Dates'!$A:$A,V_Detailed_Report!$C131,'PQ-Due Dates'!$M:$M,"&gt;="&amp;V_Detailed_Report!S$3,'PQ-Due Dates'!$M:$M,"&lt;="&amp;V_Detailed_Report!S$4)</f>
        <v>0</v>
      </c>
      <c r="T131" s="157">
        <f>SUMIFS('PQ-Due Dates'!$L:$L,'PQ-Due Dates'!$A:$A,V_Detailed_Report!$C131,'PQ-Due Dates'!$M:$M,"&gt;="&amp;V_Detailed_Report!T$3,'PQ-Due Dates'!$M:$M,"&lt;="&amp;V_Detailed_Report!T$4)</f>
        <v>0</v>
      </c>
      <c r="U131" s="157">
        <f t="shared" si="13"/>
        <v>0</v>
      </c>
      <c r="V131" s="157">
        <f t="shared" si="14"/>
        <v>350000</v>
      </c>
      <c r="W131" s="157">
        <f t="shared" si="15"/>
        <v>350000</v>
      </c>
    </row>
    <row r="132" spans="1:23" x14ac:dyDescent="0.25">
      <c r="A132" s="162" t="s">
        <v>152</v>
      </c>
      <c r="B132" s="162" t="s">
        <v>19</v>
      </c>
      <c r="C132" s="162" t="s">
        <v>510</v>
      </c>
      <c r="D132" s="162" t="str">
        <f>VLOOKUP(C132,'M_LC Summary'!A:F,6,0)</f>
        <v>SAB</v>
      </c>
      <c r="E132" s="162" t="str">
        <f>VLOOKUP(C132,'M_LC Summary'!A:C,3,0)</f>
        <v>ALI MANEA ALYAMI TRADING EST.</v>
      </c>
      <c r="F132" s="157">
        <f>VLOOKUP(C132,'M_LC Summary'!A:K,11,0)</f>
        <v>200000</v>
      </c>
      <c r="G132" s="157">
        <f>VLOOKUP(C132,'M_LC Summary'!A:L,12,0)</f>
        <v>0</v>
      </c>
      <c r="H132" s="157">
        <f t="shared" si="12"/>
        <v>200000</v>
      </c>
      <c r="I132" s="157">
        <f>SUMIFS('PQ-Due Dates'!$L:$L,'PQ-Due Dates'!$A:$A,V_Detailed_Report!$C132,'PQ-Due Dates'!$M:$M,"&gt;="&amp;V_Detailed_Report!I$3,'PQ-Due Dates'!$M:$M,"&lt;="&amp;V_Detailed_Report!I$4)</f>
        <v>0</v>
      </c>
      <c r="J132" s="157">
        <f>SUMIFS('PQ-Due Dates'!$L:$L,'PQ-Due Dates'!$A:$A,V_Detailed_Report!$C132,'PQ-Due Dates'!$M:$M,"&gt;="&amp;V_Detailed_Report!J$3,'PQ-Due Dates'!$M:$M,"&lt;="&amp;V_Detailed_Report!J$4)</f>
        <v>0</v>
      </c>
      <c r="K132" s="157">
        <f>SUMIFS('PQ-Due Dates'!$L:$L,'PQ-Due Dates'!$A:$A,V_Detailed_Report!$C132,'PQ-Due Dates'!$M:$M,"&gt;="&amp;V_Detailed_Report!K$3,'PQ-Due Dates'!$M:$M,"&lt;="&amp;V_Detailed_Report!K$4)</f>
        <v>0</v>
      </c>
      <c r="L132" s="157">
        <f>SUMIFS('PQ-Due Dates'!$L:$L,'PQ-Due Dates'!$A:$A,V_Detailed_Report!$C132,'PQ-Due Dates'!$M:$M,"&gt;="&amp;V_Detailed_Report!L$3,'PQ-Due Dates'!$M:$M,"&lt;="&amp;V_Detailed_Report!L$4)</f>
        <v>0</v>
      </c>
      <c r="M132" s="157">
        <f>SUMIFS('PQ-Due Dates'!$L:$L,'PQ-Due Dates'!$A:$A,V_Detailed_Report!$C132,'PQ-Due Dates'!$M:$M,"&gt;="&amp;V_Detailed_Report!M$3,'PQ-Due Dates'!$M:$M,"&lt;="&amp;V_Detailed_Report!M$4)</f>
        <v>0</v>
      </c>
      <c r="N132" s="157">
        <f>SUMIFS('PQ-Due Dates'!$L:$L,'PQ-Due Dates'!$A:$A,V_Detailed_Report!$C132,'PQ-Due Dates'!$M:$M,"&gt;="&amp;V_Detailed_Report!N$3,'PQ-Due Dates'!$M:$M,"&lt;="&amp;V_Detailed_Report!N$4)</f>
        <v>0</v>
      </c>
      <c r="O132" s="157">
        <f>SUMIFS('PQ-Due Dates'!$L:$L,'PQ-Due Dates'!$A:$A,V_Detailed_Report!$C132,'PQ-Due Dates'!$M:$M,"&gt;="&amp;V_Detailed_Report!O$3,'PQ-Due Dates'!$M:$M,"&lt;="&amp;V_Detailed_Report!O$4)</f>
        <v>0</v>
      </c>
      <c r="P132" s="157">
        <f>SUMIFS('PQ-Due Dates'!$L:$L,'PQ-Due Dates'!$A:$A,V_Detailed_Report!$C132,'PQ-Due Dates'!$M:$M,"&gt;="&amp;V_Detailed_Report!P$3,'PQ-Due Dates'!$M:$M,"&lt;="&amp;V_Detailed_Report!P$4)</f>
        <v>0</v>
      </c>
      <c r="Q132" s="157">
        <f>SUMIFS('PQ-Due Dates'!$L:$L,'PQ-Due Dates'!$A:$A,V_Detailed_Report!$C132,'PQ-Due Dates'!$M:$M,"&gt;="&amp;V_Detailed_Report!Q$3,'PQ-Due Dates'!$M:$M,"&lt;="&amp;V_Detailed_Report!Q$4)</f>
        <v>0</v>
      </c>
      <c r="R132" s="157">
        <f>SUMIFS('PQ-Due Dates'!$L:$L,'PQ-Due Dates'!$A:$A,V_Detailed_Report!$C132,'PQ-Due Dates'!$M:$M,"&gt;="&amp;V_Detailed_Report!R$3,'PQ-Due Dates'!$M:$M,"&lt;="&amp;V_Detailed_Report!R$4)</f>
        <v>0</v>
      </c>
      <c r="S132" s="157">
        <f>SUMIFS('PQ-Due Dates'!$L:$L,'PQ-Due Dates'!$A:$A,V_Detailed_Report!$C132,'PQ-Due Dates'!$M:$M,"&gt;="&amp;V_Detailed_Report!S$3,'PQ-Due Dates'!$M:$M,"&lt;="&amp;V_Detailed_Report!S$4)</f>
        <v>0</v>
      </c>
      <c r="T132" s="157">
        <f>SUMIFS('PQ-Due Dates'!$L:$L,'PQ-Due Dates'!$A:$A,V_Detailed_Report!$C132,'PQ-Due Dates'!$M:$M,"&gt;="&amp;V_Detailed_Report!T$3,'PQ-Due Dates'!$M:$M,"&lt;="&amp;V_Detailed_Report!T$4)</f>
        <v>0</v>
      </c>
      <c r="U132" s="157">
        <f t="shared" si="13"/>
        <v>0</v>
      </c>
      <c r="V132" s="157">
        <f t="shared" si="14"/>
        <v>200000</v>
      </c>
      <c r="W132" s="157">
        <f t="shared" si="15"/>
        <v>200000</v>
      </c>
    </row>
    <row r="133" spans="1:23" x14ac:dyDescent="0.25">
      <c r="A133" s="162" t="s">
        <v>152</v>
      </c>
      <c r="B133" s="162" t="s">
        <v>19</v>
      </c>
      <c r="C133" s="162" t="s">
        <v>511</v>
      </c>
      <c r="D133" s="162" t="str">
        <f>VLOOKUP(C133,'M_LC Summary'!A:F,6,0)</f>
        <v>SAB</v>
      </c>
      <c r="E133" s="162" t="str">
        <f>VLOOKUP(C133,'M_LC Summary'!A:C,3,0)</f>
        <v>Al-Sayed Center A/C for Materials Company</v>
      </c>
      <c r="F133" s="157">
        <f>VLOOKUP(C133,'M_LC Summary'!A:K,11,0)</f>
        <v>200000</v>
      </c>
      <c r="G133" s="157">
        <f>VLOOKUP(C133,'M_LC Summary'!A:L,12,0)</f>
        <v>0</v>
      </c>
      <c r="H133" s="157">
        <f t="shared" si="12"/>
        <v>200000</v>
      </c>
      <c r="I133" s="157">
        <f>SUMIFS('PQ-Due Dates'!$L:$L,'PQ-Due Dates'!$A:$A,V_Detailed_Report!$C133,'PQ-Due Dates'!$M:$M,"&gt;="&amp;V_Detailed_Report!I$3,'PQ-Due Dates'!$M:$M,"&lt;="&amp;V_Detailed_Report!I$4)</f>
        <v>0</v>
      </c>
      <c r="J133" s="157">
        <f>SUMIFS('PQ-Due Dates'!$L:$L,'PQ-Due Dates'!$A:$A,V_Detailed_Report!$C133,'PQ-Due Dates'!$M:$M,"&gt;="&amp;V_Detailed_Report!J$3,'PQ-Due Dates'!$M:$M,"&lt;="&amp;V_Detailed_Report!J$4)</f>
        <v>0</v>
      </c>
      <c r="K133" s="157">
        <f>SUMIFS('PQ-Due Dates'!$L:$L,'PQ-Due Dates'!$A:$A,V_Detailed_Report!$C133,'PQ-Due Dates'!$M:$M,"&gt;="&amp;V_Detailed_Report!K$3,'PQ-Due Dates'!$M:$M,"&lt;="&amp;V_Detailed_Report!K$4)</f>
        <v>0</v>
      </c>
      <c r="L133" s="157">
        <f>SUMIFS('PQ-Due Dates'!$L:$L,'PQ-Due Dates'!$A:$A,V_Detailed_Report!$C133,'PQ-Due Dates'!$M:$M,"&gt;="&amp;V_Detailed_Report!L$3,'PQ-Due Dates'!$M:$M,"&lt;="&amp;V_Detailed_Report!L$4)</f>
        <v>0</v>
      </c>
      <c r="M133" s="157">
        <f>SUMIFS('PQ-Due Dates'!$L:$L,'PQ-Due Dates'!$A:$A,V_Detailed_Report!$C133,'PQ-Due Dates'!$M:$M,"&gt;="&amp;V_Detailed_Report!M$3,'PQ-Due Dates'!$M:$M,"&lt;="&amp;V_Detailed_Report!M$4)</f>
        <v>0</v>
      </c>
      <c r="N133" s="157">
        <f>SUMIFS('PQ-Due Dates'!$L:$L,'PQ-Due Dates'!$A:$A,V_Detailed_Report!$C133,'PQ-Due Dates'!$M:$M,"&gt;="&amp;V_Detailed_Report!N$3,'PQ-Due Dates'!$M:$M,"&lt;="&amp;V_Detailed_Report!N$4)</f>
        <v>0</v>
      </c>
      <c r="O133" s="157">
        <f>SUMIFS('PQ-Due Dates'!$L:$L,'PQ-Due Dates'!$A:$A,V_Detailed_Report!$C133,'PQ-Due Dates'!$M:$M,"&gt;="&amp;V_Detailed_Report!O$3,'PQ-Due Dates'!$M:$M,"&lt;="&amp;V_Detailed_Report!O$4)</f>
        <v>0</v>
      </c>
      <c r="P133" s="157">
        <f>SUMIFS('PQ-Due Dates'!$L:$L,'PQ-Due Dates'!$A:$A,V_Detailed_Report!$C133,'PQ-Due Dates'!$M:$M,"&gt;="&amp;V_Detailed_Report!P$3,'PQ-Due Dates'!$M:$M,"&lt;="&amp;V_Detailed_Report!P$4)</f>
        <v>0</v>
      </c>
      <c r="Q133" s="157">
        <f>SUMIFS('PQ-Due Dates'!$L:$L,'PQ-Due Dates'!$A:$A,V_Detailed_Report!$C133,'PQ-Due Dates'!$M:$M,"&gt;="&amp;V_Detailed_Report!Q$3,'PQ-Due Dates'!$M:$M,"&lt;="&amp;V_Detailed_Report!Q$4)</f>
        <v>0</v>
      </c>
      <c r="R133" s="157">
        <f>SUMIFS('PQ-Due Dates'!$L:$L,'PQ-Due Dates'!$A:$A,V_Detailed_Report!$C133,'PQ-Due Dates'!$M:$M,"&gt;="&amp;V_Detailed_Report!R$3,'PQ-Due Dates'!$M:$M,"&lt;="&amp;V_Detailed_Report!R$4)</f>
        <v>0</v>
      </c>
      <c r="S133" s="157">
        <f>SUMIFS('PQ-Due Dates'!$L:$L,'PQ-Due Dates'!$A:$A,V_Detailed_Report!$C133,'PQ-Due Dates'!$M:$M,"&gt;="&amp;V_Detailed_Report!S$3,'PQ-Due Dates'!$M:$M,"&lt;="&amp;V_Detailed_Report!S$4)</f>
        <v>0</v>
      </c>
      <c r="T133" s="157">
        <f>SUMIFS('PQ-Due Dates'!$L:$L,'PQ-Due Dates'!$A:$A,V_Detailed_Report!$C133,'PQ-Due Dates'!$M:$M,"&gt;="&amp;V_Detailed_Report!T$3,'PQ-Due Dates'!$M:$M,"&lt;="&amp;V_Detailed_Report!T$4)</f>
        <v>0</v>
      </c>
      <c r="U133" s="157">
        <f t="shared" si="13"/>
        <v>0</v>
      </c>
      <c r="V133" s="157">
        <f t="shared" si="14"/>
        <v>200000</v>
      </c>
      <c r="W133" s="157">
        <f t="shared" si="15"/>
        <v>200000</v>
      </c>
    </row>
    <row r="134" spans="1:23" x14ac:dyDescent="0.25">
      <c r="A134" s="162" t="s">
        <v>152</v>
      </c>
      <c r="B134" s="162" t="s">
        <v>19</v>
      </c>
      <c r="C134" s="162" t="s">
        <v>512</v>
      </c>
      <c r="D134" s="162" t="str">
        <f>VLOOKUP(C134,'M_LC Summary'!A:F,6,0)</f>
        <v>SAB</v>
      </c>
      <c r="E134" s="162" t="str">
        <f>VLOOKUP(C134,'M_LC Summary'!A:C,3,0)</f>
        <v>Arabian International Company For Contracting</v>
      </c>
      <c r="F134" s="157">
        <f>VLOOKUP(C134,'M_LC Summary'!A:K,11,0)</f>
        <v>500000</v>
      </c>
      <c r="G134" s="157">
        <f>VLOOKUP(C134,'M_LC Summary'!A:L,12,0)</f>
        <v>0</v>
      </c>
      <c r="H134" s="157">
        <f t="shared" si="12"/>
        <v>500000</v>
      </c>
      <c r="I134" s="157">
        <f>SUMIFS('PQ-Due Dates'!$L:$L,'PQ-Due Dates'!$A:$A,V_Detailed_Report!$C134,'PQ-Due Dates'!$M:$M,"&gt;="&amp;V_Detailed_Report!I$3,'PQ-Due Dates'!$M:$M,"&lt;="&amp;V_Detailed_Report!I$4)</f>
        <v>0</v>
      </c>
      <c r="J134" s="157">
        <f>SUMIFS('PQ-Due Dates'!$L:$L,'PQ-Due Dates'!$A:$A,V_Detailed_Report!$C134,'PQ-Due Dates'!$M:$M,"&gt;="&amp;V_Detailed_Report!J$3,'PQ-Due Dates'!$M:$M,"&lt;="&amp;V_Detailed_Report!J$4)</f>
        <v>0</v>
      </c>
      <c r="K134" s="157">
        <f>SUMIFS('PQ-Due Dates'!$L:$L,'PQ-Due Dates'!$A:$A,V_Detailed_Report!$C134,'PQ-Due Dates'!$M:$M,"&gt;="&amp;V_Detailed_Report!K$3,'PQ-Due Dates'!$M:$M,"&lt;="&amp;V_Detailed_Report!K$4)</f>
        <v>0</v>
      </c>
      <c r="L134" s="157">
        <f>SUMIFS('PQ-Due Dates'!$L:$L,'PQ-Due Dates'!$A:$A,V_Detailed_Report!$C134,'PQ-Due Dates'!$M:$M,"&gt;="&amp;V_Detailed_Report!L$3,'PQ-Due Dates'!$M:$M,"&lt;="&amp;V_Detailed_Report!L$4)</f>
        <v>0</v>
      </c>
      <c r="M134" s="157">
        <f>SUMIFS('PQ-Due Dates'!$L:$L,'PQ-Due Dates'!$A:$A,V_Detailed_Report!$C134,'PQ-Due Dates'!$M:$M,"&gt;="&amp;V_Detailed_Report!M$3,'PQ-Due Dates'!$M:$M,"&lt;="&amp;V_Detailed_Report!M$4)</f>
        <v>0</v>
      </c>
      <c r="N134" s="157">
        <f>SUMIFS('PQ-Due Dates'!$L:$L,'PQ-Due Dates'!$A:$A,V_Detailed_Report!$C134,'PQ-Due Dates'!$M:$M,"&gt;="&amp;V_Detailed_Report!N$3,'PQ-Due Dates'!$M:$M,"&lt;="&amp;V_Detailed_Report!N$4)</f>
        <v>0</v>
      </c>
      <c r="O134" s="157">
        <f>SUMIFS('PQ-Due Dates'!$L:$L,'PQ-Due Dates'!$A:$A,V_Detailed_Report!$C134,'PQ-Due Dates'!$M:$M,"&gt;="&amp;V_Detailed_Report!O$3,'PQ-Due Dates'!$M:$M,"&lt;="&amp;V_Detailed_Report!O$4)</f>
        <v>0</v>
      </c>
      <c r="P134" s="157">
        <f>SUMIFS('PQ-Due Dates'!$L:$L,'PQ-Due Dates'!$A:$A,V_Detailed_Report!$C134,'PQ-Due Dates'!$M:$M,"&gt;="&amp;V_Detailed_Report!P$3,'PQ-Due Dates'!$M:$M,"&lt;="&amp;V_Detailed_Report!P$4)</f>
        <v>0</v>
      </c>
      <c r="Q134" s="157">
        <f>SUMIFS('PQ-Due Dates'!$L:$L,'PQ-Due Dates'!$A:$A,V_Detailed_Report!$C134,'PQ-Due Dates'!$M:$M,"&gt;="&amp;V_Detailed_Report!Q$3,'PQ-Due Dates'!$M:$M,"&lt;="&amp;V_Detailed_Report!Q$4)</f>
        <v>0</v>
      </c>
      <c r="R134" s="157">
        <f>SUMIFS('PQ-Due Dates'!$L:$L,'PQ-Due Dates'!$A:$A,V_Detailed_Report!$C134,'PQ-Due Dates'!$M:$M,"&gt;="&amp;V_Detailed_Report!R$3,'PQ-Due Dates'!$M:$M,"&lt;="&amp;V_Detailed_Report!R$4)</f>
        <v>0</v>
      </c>
      <c r="S134" s="157">
        <f>SUMIFS('PQ-Due Dates'!$L:$L,'PQ-Due Dates'!$A:$A,V_Detailed_Report!$C134,'PQ-Due Dates'!$M:$M,"&gt;="&amp;V_Detailed_Report!S$3,'PQ-Due Dates'!$M:$M,"&lt;="&amp;V_Detailed_Report!S$4)</f>
        <v>0</v>
      </c>
      <c r="T134" s="157">
        <f>SUMIFS('PQ-Due Dates'!$L:$L,'PQ-Due Dates'!$A:$A,V_Detailed_Report!$C134,'PQ-Due Dates'!$M:$M,"&gt;="&amp;V_Detailed_Report!T$3,'PQ-Due Dates'!$M:$M,"&lt;="&amp;V_Detailed_Report!T$4)</f>
        <v>0</v>
      </c>
      <c r="U134" s="157">
        <f t="shared" si="13"/>
        <v>0</v>
      </c>
      <c r="V134" s="157">
        <f t="shared" si="14"/>
        <v>500000</v>
      </c>
      <c r="W134" s="157">
        <f t="shared" si="15"/>
        <v>500000</v>
      </c>
    </row>
    <row r="135" spans="1:23" x14ac:dyDescent="0.25">
      <c r="A135" s="162" t="s">
        <v>152</v>
      </c>
      <c r="B135" s="162" t="s">
        <v>19</v>
      </c>
      <c r="C135" s="162" t="s">
        <v>513</v>
      </c>
      <c r="D135" s="162" t="str">
        <f>VLOOKUP(C135,'M_LC Summary'!A:F,6,0)</f>
        <v>SAB</v>
      </c>
      <c r="E135" s="162" t="str">
        <f>VLOOKUP(C135,'M_LC Summary'!A:C,3,0)</f>
        <v>DAIKIN AIR CONDITIONING SAUDI ARABIA LLC</v>
      </c>
      <c r="F135" s="157">
        <f>VLOOKUP(C135,'M_LC Summary'!A:K,11,0)</f>
        <v>1000000</v>
      </c>
      <c r="G135" s="157">
        <f>VLOOKUP(C135,'M_LC Summary'!A:L,12,0)</f>
        <v>0</v>
      </c>
      <c r="H135" s="157">
        <f t="shared" si="12"/>
        <v>1000000</v>
      </c>
      <c r="I135" s="157">
        <f>SUMIFS('PQ-Due Dates'!$L:$L,'PQ-Due Dates'!$A:$A,V_Detailed_Report!$C135,'PQ-Due Dates'!$M:$M,"&gt;="&amp;V_Detailed_Report!I$3,'PQ-Due Dates'!$M:$M,"&lt;="&amp;V_Detailed_Report!I$4)</f>
        <v>0</v>
      </c>
      <c r="J135" s="157">
        <f>SUMIFS('PQ-Due Dates'!$L:$L,'PQ-Due Dates'!$A:$A,V_Detailed_Report!$C135,'PQ-Due Dates'!$M:$M,"&gt;="&amp;V_Detailed_Report!J$3,'PQ-Due Dates'!$M:$M,"&lt;="&amp;V_Detailed_Report!J$4)</f>
        <v>0</v>
      </c>
      <c r="K135" s="157">
        <f>SUMIFS('PQ-Due Dates'!$L:$L,'PQ-Due Dates'!$A:$A,V_Detailed_Report!$C135,'PQ-Due Dates'!$M:$M,"&gt;="&amp;V_Detailed_Report!K$3,'PQ-Due Dates'!$M:$M,"&lt;="&amp;V_Detailed_Report!K$4)</f>
        <v>0</v>
      </c>
      <c r="L135" s="157">
        <f>SUMIFS('PQ-Due Dates'!$L:$L,'PQ-Due Dates'!$A:$A,V_Detailed_Report!$C135,'PQ-Due Dates'!$M:$M,"&gt;="&amp;V_Detailed_Report!L$3,'PQ-Due Dates'!$M:$M,"&lt;="&amp;V_Detailed_Report!L$4)</f>
        <v>0</v>
      </c>
      <c r="M135" s="157">
        <f>SUMIFS('PQ-Due Dates'!$L:$L,'PQ-Due Dates'!$A:$A,V_Detailed_Report!$C135,'PQ-Due Dates'!$M:$M,"&gt;="&amp;V_Detailed_Report!M$3,'PQ-Due Dates'!$M:$M,"&lt;="&amp;V_Detailed_Report!M$4)</f>
        <v>0</v>
      </c>
      <c r="N135" s="157">
        <f>SUMIFS('PQ-Due Dates'!$L:$L,'PQ-Due Dates'!$A:$A,V_Detailed_Report!$C135,'PQ-Due Dates'!$M:$M,"&gt;="&amp;V_Detailed_Report!N$3,'PQ-Due Dates'!$M:$M,"&lt;="&amp;V_Detailed_Report!N$4)</f>
        <v>0</v>
      </c>
      <c r="O135" s="157">
        <f>SUMIFS('PQ-Due Dates'!$L:$L,'PQ-Due Dates'!$A:$A,V_Detailed_Report!$C135,'PQ-Due Dates'!$M:$M,"&gt;="&amp;V_Detailed_Report!O$3,'PQ-Due Dates'!$M:$M,"&lt;="&amp;V_Detailed_Report!O$4)</f>
        <v>0</v>
      </c>
      <c r="P135" s="157">
        <f>SUMIFS('PQ-Due Dates'!$L:$L,'PQ-Due Dates'!$A:$A,V_Detailed_Report!$C135,'PQ-Due Dates'!$M:$M,"&gt;="&amp;V_Detailed_Report!P$3,'PQ-Due Dates'!$M:$M,"&lt;="&amp;V_Detailed_Report!P$4)</f>
        <v>0</v>
      </c>
      <c r="Q135" s="157">
        <f>SUMIFS('PQ-Due Dates'!$L:$L,'PQ-Due Dates'!$A:$A,V_Detailed_Report!$C135,'PQ-Due Dates'!$M:$M,"&gt;="&amp;V_Detailed_Report!Q$3,'PQ-Due Dates'!$M:$M,"&lt;="&amp;V_Detailed_Report!Q$4)</f>
        <v>0</v>
      </c>
      <c r="R135" s="157">
        <f>SUMIFS('PQ-Due Dates'!$L:$L,'PQ-Due Dates'!$A:$A,V_Detailed_Report!$C135,'PQ-Due Dates'!$M:$M,"&gt;="&amp;V_Detailed_Report!R$3,'PQ-Due Dates'!$M:$M,"&lt;="&amp;V_Detailed_Report!R$4)</f>
        <v>0</v>
      </c>
      <c r="S135" s="157">
        <f>SUMIFS('PQ-Due Dates'!$L:$L,'PQ-Due Dates'!$A:$A,V_Detailed_Report!$C135,'PQ-Due Dates'!$M:$M,"&gt;="&amp;V_Detailed_Report!S$3,'PQ-Due Dates'!$M:$M,"&lt;="&amp;V_Detailed_Report!S$4)</f>
        <v>0</v>
      </c>
      <c r="T135" s="157">
        <f>SUMIFS('PQ-Due Dates'!$L:$L,'PQ-Due Dates'!$A:$A,V_Detailed_Report!$C135,'PQ-Due Dates'!$M:$M,"&gt;="&amp;V_Detailed_Report!T$3,'PQ-Due Dates'!$M:$M,"&lt;="&amp;V_Detailed_Report!T$4)</f>
        <v>0</v>
      </c>
      <c r="U135" s="157">
        <f t="shared" si="13"/>
        <v>0</v>
      </c>
      <c r="V135" s="157">
        <f t="shared" si="14"/>
        <v>1000000</v>
      </c>
      <c r="W135" s="157">
        <f t="shared" si="15"/>
        <v>1000000</v>
      </c>
    </row>
    <row r="136" spans="1:23" x14ac:dyDescent="0.25">
      <c r="A136" s="162" t="s">
        <v>152</v>
      </c>
      <c r="B136" s="162" t="s">
        <v>19</v>
      </c>
      <c r="C136" s="162" t="s">
        <v>514</v>
      </c>
      <c r="D136" s="162" t="str">
        <f>VLOOKUP(C136,'M_LC Summary'!A:F,6,0)</f>
        <v>SAB</v>
      </c>
      <c r="E136" s="162" t="str">
        <f>VLOOKUP(C136,'M_LC Summary'!A:C,3,0)</f>
        <v>ELECTRIC HOUSE TRADING COMPANY LLC</v>
      </c>
      <c r="F136" s="157">
        <f>VLOOKUP(C136,'M_LC Summary'!A:K,11,0)</f>
        <v>1000000</v>
      </c>
      <c r="G136" s="157">
        <f>VLOOKUP(C136,'M_LC Summary'!A:L,12,0)</f>
        <v>0</v>
      </c>
      <c r="H136" s="157">
        <f t="shared" si="12"/>
        <v>1000000</v>
      </c>
      <c r="I136" s="157">
        <f>SUMIFS('PQ-Due Dates'!$L:$L,'PQ-Due Dates'!$A:$A,V_Detailed_Report!$C136,'PQ-Due Dates'!$M:$M,"&gt;="&amp;V_Detailed_Report!I$3,'PQ-Due Dates'!$M:$M,"&lt;="&amp;V_Detailed_Report!I$4)</f>
        <v>0</v>
      </c>
      <c r="J136" s="157">
        <f>SUMIFS('PQ-Due Dates'!$L:$L,'PQ-Due Dates'!$A:$A,V_Detailed_Report!$C136,'PQ-Due Dates'!$M:$M,"&gt;="&amp;V_Detailed_Report!J$3,'PQ-Due Dates'!$M:$M,"&lt;="&amp;V_Detailed_Report!J$4)</f>
        <v>0</v>
      </c>
      <c r="K136" s="157">
        <f>SUMIFS('PQ-Due Dates'!$L:$L,'PQ-Due Dates'!$A:$A,V_Detailed_Report!$C136,'PQ-Due Dates'!$M:$M,"&gt;="&amp;V_Detailed_Report!K$3,'PQ-Due Dates'!$M:$M,"&lt;="&amp;V_Detailed_Report!K$4)</f>
        <v>0</v>
      </c>
      <c r="L136" s="157">
        <f>SUMIFS('PQ-Due Dates'!$L:$L,'PQ-Due Dates'!$A:$A,V_Detailed_Report!$C136,'PQ-Due Dates'!$M:$M,"&gt;="&amp;V_Detailed_Report!L$3,'PQ-Due Dates'!$M:$M,"&lt;="&amp;V_Detailed_Report!L$4)</f>
        <v>0</v>
      </c>
      <c r="M136" s="157">
        <f>SUMIFS('PQ-Due Dates'!$L:$L,'PQ-Due Dates'!$A:$A,V_Detailed_Report!$C136,'PQ-Due Dates'!$M:$M,"&gt;="&amp;V_Detailed_Report!M$3,'PQ-Due Dates'!$M:$M,"&lt;="&amp;V_Detailed_Report!M$4)</f>
        <v>0</v>
      </c>
      <c r="N136" s="157">
        <f>SUMIFS('PQ-Due Dates'!$L:$L,'PQ-Due Dates'!$A:$A,V_Detailed_Report!$C136,'PQ-Due Dates'!$M:$M,"&gt;="&amp;V_Detailed_Report!N$3,'PQ-Due Dates'!$M:$M,"&lt;="&amp;V_Detailed_Report!N$4)</f>
        <v>0</v>
      </c>
      <c r="O136" s="157">
        <f>SUMIFS('PQ-Due Dates'!$L:$L,'PQ-Due Dates'!$A:$A,V_Detailed_Report!$C136,'PQ-Due Dates'!$M:$M,"&gt;="&amp;V_Detailed_Report!O$3,'PQ-Due Dates'!$M:$M,"&lt;="&amp;V_Detailed_Report!O$4)</f>
        <v>0</v>
      </c>
      <c r="P136" s="157">
        <f>SUMIFS('PQ-Due Dates'!$L:$L,'PQ-Due Dates'!$A:$A,V_Detailed_Report!$C136,'PQ-Due Dates'!$M:$M,"&gt;="&amp;V_Detailed_Report!P$3,'PQ-Due Dates'!$M:$M,"&lt;="&amp;V_Detailed_Report!P$4)</f>
        <v>0</v>
      </c>
      <c r="Q136" s="157">
        <f>SUMIFS('PQ-Due Dates'!$L:$L,'PQ-Due Dates'!$A:$A,V_Detailed_Report!$C136,'PQ-Due Dates'!$M:$M,"&gt;="&amp;V_Detailed_Report!Q$3,'PQ-Due Dates'!$M:$M,"&lt;="&amp;V_Detailed_Report!Q$4)</f>
        <v>0</v>
      </c>
      <c r="R136" s="157">
        <f>SUMIFS('PQ-Due Dates'!$L:$L,'PQ-Due Dates'!$A:$A,V_Detailed_Report!$C136,'PQ-Due Dates'!$M:$M,"&gt;="&amp;V_Detailed_Report!R$3,'PQ-Due Dates'!$M:$M,"&lt;="&amp;V_Detailed_Report!R$4)</f>
        <v>0</v>
      </c>
      <c r="S136" s="157">
        <f>SUMIFS('PQ-Due Dates'!$L:$L,'PQ-Due Dates'!$A:$A,V_Detailed_Report!$C136,'PQ-Due Dates'!$M:$M,"&gt;="&amp;V_Detailed_Report!S$3,'PQ-Due Dates'!$M:$M,"&lt;="&amp;V_Detailed_Report!S$4)</f>
        <v>0</v>
      </c>
      <c r="T136" s="157">
        <f>SUMIFS('PQ-Due Dates'!$L:$L,'PQ-Due Dates'!$A:$A,V_Detailed_Report!$C136,'PQ-Due Dates'!$M:$M,"&gt;="&amp;V_Detailed_Report!T$3,'PQ-Due Dates'!$M:$M,"&lt;="&amp;V_Detailed_Report!T$4)</f>
        <v>0</v>
      </c>
      <c r="U136" s="157">
        <f t="shared" si="13"/>
        <v>0</v>
      </c>
      <c r="V136" s="157">
        <f t="shared" si="14"/>
        <v>1000000</v>
      </c>
      <c r="W136" s="157">
        <f t="shared" si="15"/>
        <v>1000000</v>
      </c>
    </row>
    <row r="137" spans="1:23" x14ac:dyDescent="0.25">
      <c r="A137" s="162" t="s">
        <v>152</v>
      </c>
      <c r="B137" s="162" t="s">
        <v>19</v>
      </c>
      <c r="C137" s="162" t="s">
        <v>515</v>
      </c>
      <c r="D137" s="162" t="str">
        <f>VLOOKUP(C137,'M_LC Summary'!A:F,6,0)</f>
        <v>SAB</v>
      </c>
      <c r="E137" s="162" t="str">
        <f>VLOOKUP(C137,'M_LC Summary'!A:C,3,0)</f>
        <v>ELSEWEDY CABLES CO. LIMITED</v>
      </c>
      <c r="F137" s="157">
        <f>VLOOKUP(C137,'M_LC Summary'!A:K,11,0)</f>
        <v>1000000</v>
      </c>
      <c r="G137" s="157">
        <f>VLOOKUP(C137,'M_LC Summary'!A:L,12,0)</f>
        <v>0</v>
      </c>
      <c r="H137" s="157">
        <f t="shared" si="12"/>
        <v>1000000</v>
      </c>
      <c r="I137" s="157">
        <f>SUMIFS('PQ-Due Dates'!$L:$L,'PQ-Due Dates'!$A:$A,V_Detailed_Report!$C137,'PQ-Due Dates'!$M:$M,"&gt;="&amp;V_Detailed_Report!I$3,'PQ-Due Dates'!$M:$M,"&lt;="&amp;V_Detailed_Report!I$4)</f>
        <v>0</v>
      </c>
      <c r="J137" s="157">
        <f>SUMIFS('PQ-Due Dates'!$L:$L,'PQ-Due Dates'!$A:$A,V_Detailed_Report!$C137,'PQ-Due Dates'!$M:$M,"&gt;="&amp;V_Detailed_Report!J$3,'PQ-Due Dates'!$M:$M,"&lt;="&amp;V_Detailed_Report!J$4)</f>
        <v>0</v>
      </c>
      <c r="K137" s="157">
        <f>SUMIFS('PQ-Due Dates'!$L:$L,'PQ-Due Dates'!$A:$A,V_Detailed_Report!$C137,'PQ-Due Dates'!$M:$M,"&gt;="&amp;V_Detailed_Report!K$3,'PQ-Due Dates'!$M:$M,"&lt;="&amp;V_Detailed_Report!K$4)</f>
        <v>0</v>
      </c>
      <c r="L137" s="157">
        <f>SUMIFS('PQ-Due Dates'!$L:$L,'PQ-Due Dates'!$A:$A,V_Detailed_Report!$C137,'PQ-Due Dates'!$M:$M,"&gt;="&amp;V_Detailed_Report!L$3,'PQ-Due Dates'!$M:$M,"&lt;="&amp;V_Detailed_Report!L$4)</f>
        <v>0</v>
      </c>
      <c r="M137" s="157">
        <f>SUMIFS('PQ-Due Dates'!$L:$L,'PQ-Due Dates'!$A:$A,V_Detailed_Report!$C137,'PQ-Due Dates'!$M:$M,"&gt;="&amp;V_Detailed_Report!M$3,'PQ-Due Dates'!$M:$M,"&lt;="&amp;V_Detailed_Report!M$4)</f>
        <v>0</v>
      </c>
      <c r="N137" s="157">
        <f>SUMIFS('PQ-Due Dates'!$L:$L,'PQ-Due Dates'!$A:$A,V_Detailed_Report!$C137,'PQ-Due Dates'!$M:$M,"&gt;="&amp;V_Detailed_Report!N$3,'PQ-Due Dates'!$M:$M,"&lt;="&amp;V_Detailed_Report!N$4)</f>
        <v>0</v>
      </c>
      <c r="O137" s="157">
        <f>SUMIFS('PQ-Due Dates'!$L:$L,'PQ-Due Dates'!$A:$A,V_Detailed_Report!$C137,'PQ-Due Dates'!$M:$M,"&gt;="&amp;V_Detailed_Report!O$3,'PQ-Due Dates'!$M:$M,"&lt;="&amp;V_Detailed_Report!O$4)</f>
        <v>0</v>
      </c>
      <c r="P137" s="157">
        <f>SUMIFS('PQ-Due Dates'!$L:$L,'PQ-Due Dates'!$A:$A,V_Detailed_Report!$C137,'PQ-Due Dates'!$M:$M,"&gt;="&amp;V_Detailed_Report!P$3,'PQ-Due Dates'!$M:$M,"&lt;="&amp;V_Detailed_Report!P$4)</f>
        <v>0</v>
      </c>
      <c r="Q137" s="157">
        <f>SUMIFS('PQ-Due Dates'!$L:$L,'PQ-Due Dates'!$A:$A,V_Detailed_Report!$C137,'PQ-Due Dates'!$M:$M,"&gt;="&amp;V_Detailed_Report!Q$3,'PQ-Due Dates'!$M:$M,"&lt;="&amp;V_Detailed_Report!Q$4)</f>
        <v>0</v>
      </c>
      <c r="R137" s="157">
        <f>SUMIFS('PQ-Due Dates'!$L:$L,'PQ-Due Dates'!$A:$A,V_Detailed_Report!$C137,'PQ-Due Dates'!$M:$M,"&gt;="&amp;V_Detailed_Report!R$3,'PQ-Due Dates'!$M:$M,"&lt;="&amp;V_Detailed_Report!R$4)</f>
        <v>0</v>
      </c>
      <c r="S137" s="157">
        <f>SUMIFS('PQ-Due Dates'!$L:$L,'PQ-Due Dates'!$A:$A,V_Detailed_Report!$C137,'PQ-Due Dates'!$M:$M,"&gt;="&amp;V_Detailed_Report!S$3,'PQ-Due Dates'!$M:$M,"&lt;="&amp;V_Detailed_Report!S$4)</f>
        <v>0</v>
      </c>
      <c r="T137" s="157">
        <f>SUMIFS('PQ-Due Dates'!$L:$L,'PQ-Due Dates'!$A:$A,V_Detailed_Report!$C137,'PQ-Due Dates'!$M:$M,"&gt;="&amp;V_Detailed_Report!T$3,'PQ-Due Dates'!$M:$M,"&lt;="&amp;V_Detailed_Report!T$4)</f>
        <v>0</v>
      </c>
      <c r="U137" s="157">
        <f t="shared" si="13"/>
        <v>0</v>
      </c>
      <c r="V137" s="157">
        <f t="shared" si="14"/>
        <v>1000000</v>
      </c>
      <c r="W137" s="157">
        <f t="shared" si="15"/>
        <v>1000000</v>
      </c>
    </row>
    <row r="138" spans="1:23" x14ac:dyDescent="0.25">
      <c r="A138" s="162" t="s">
        <v>152</v>
      </c>
      <c r="B138" s="162" t="s">
        <v>19</v>
      </c>
      <c r="C138" s="162" t="s">
        <v>516</v>
      </c>
      <c r="D138" s="162" t="str">
        <f>VLOOKUP(C138,'M_LC Summary'!A:F,6,0)</f>
        <v>SAB</v>
      </c>
      <c r="E138" s="162" t="str">
        <f>VLOOKUP(C138,'M_LC Summary'!A:C,3,0)</f>
        <v>Establishment Marjane El- Shammal for watertransport and distribution</v>
      </c>
      <c r="F138" s="157">
        <f>VLOOKUP(C138,'M_LC Summary'!A:K,11,0)</f>
        <v>200000</v>
      </c>
      <c r="G138" s="157">
        <f>VLOOKUP(C138,'M_LC Summary'!A:L,12,0)</f>
        <v>0</v>
      </c>
      <c r="H138" s="157">
        <f t="shared" si="12"/>
        <v>200000</v>
      </c>
      <c r="I138" s="157">
        <f>SUMIFS('PQ-Due Dates'!$L:$L,'PQ-Due Dates'!$A:$A,V_Detailed_Report!$C138,'PQ-Due Dates'!$M:$M,"&gt;="&amp;V_Detailed_Report!I$3,'PQ-Due Dates'!$M:$M,"&lt;="&amp;V_Detailed_Report!I$4)</f>
        <v>0</v>
      </c>
      <c r="J138" s="157">
        <f>SUMIFS('PQ-Due Dates'!$L:$L,'PQ-Due Dates'!$A:$A,V_Detailed_Report!$C138,'PQ-Due Dates'!$M:$M,"&gt;="&amp;V_Detailed_Report!J$3,'PQ-Due Dates'!$M:$M,"&lt;="&amp;V_Detailed_Report!J$4)</f>
        <v>0</v>
      </c>
      <c r="K138" s="157">
        <f>SUMIFS('PQ-Due Dates'!$L:$L,'PQ-Due Dates'!$A:$A,V_Detailed_Report!$C138,'PQ-Due Dates'!$M:$M,"&gt;="&amp;V_Detailed_Report!K$3,'PQ-Due Dates'!$M:$M,"&lt;="&amp;V_Detailed_Report!K$4)</f>
        <v>0</v>
      </c>
      <c r="L138" s="157">
        <f>SUMIFS('PQ-Due Dates'!$L:$L,'PQ-Due Dates'!$A:$A,V_Detailed_Report!$C138,'PQ-Due Dates'!$M:$M,"&gt;="&amp;V_Detailed_Report!L$3,'PQ-Due Dates'!$M:$M,"&lt;="&amp;V_Detailed_Report!L$4)</f>
        <v>0</v>
      </c>
      <c r="M138" s="157">
        <f>SUMIFS('PQ-Due Dates'!$L:$L,'PQ-Due Dates'!$A:$A,V_Detailed_Report!$C138,'PQ-Due Dates'!$M:$M,"&gt;="&amp;V_Detailed_Report!M$3,'PQ-Due Dates'!$M:$M,"&lt;="&amp;V_Detailed_Report!M$4)</f>
        <v>0</v>
      </c>
      <c r="N138" s="157">
        <f>SUMIFS('PQ-Due Dates'!$L:$L,'PQ-Due Dates'!$A:$A,V_Detailed_Report!$C138,'PQ-Due Dates'!$M:$M,"&gt;="&amp;V_Detailed_Report!N$3,'PQ-Due Dates'!$M:$M,"&lt;="&amp;V_Detailed_Report!N$4)</f>
        <v>0</v>
      </c>
      <c r="O138" s="157">
        <f>SUMIFS('PQ-Due Dates'!$L:$L,'PQ-Due Dates'!$A:$A,V_Detailed_Report!$C138,'PQ-Due Dates'!$M:$M,"&gt;="&amp;V_Detailed_Report!O$3,'PQ-Due Dates'!$M:$M,"&lt;="&amp;V_Detailed_Report!O$4)</f>
        <v>0</v>
      </c>
      <c r="P138" s="157">
        <f>SUMIFS('PQ-Due Dates'!$L:$L,'PQ-Due Dates'!$A:$A,V_Detailed_Report!$C138,'PQ-Due Dates'!$M:$M,"&gt;="&amp;V_Detailed_Report!P$3,'PQ-Due Dates'!$M:$M,"&lt;="&amp;V_Detailed_Report!P$4)</f>
        <v>0</v>
      </c>
      <c r="Q138" s="157">
        <f>SUMIFS('PQ-Due Dates'!$L:$L,'PQ-Due Dates'!$A:$A,V_Detailed_Report!$C138,'PQ-Due Dates'!$M:$M,"&gt;="&amp;V_Detailed_Report!Q$3,'PQ-Due Dates'!$M:$M,"&lt;="&amp;V_Detailed_Report!Q$4)</f>
        <v>0</v>
      </c>
      <c r="R138" s="157">
        <f>SUMIFS('PQ-Due Dates'!$L:$L,'PQ-Due Dates'!$A:$A,V_Detailed_Report!$C138,'PQ-Due Dates'!$M:$M,"&gt;="&amp;V_Detailed_Report!R$3,'PQ-Due Dates'!$M:$M,"&lt;="&amp;V_Detailed_Report!R$4)</f>
        <v>0</v>
      </c>
      <c r="S138" s="157">
        <f>SUMIFS('PQ-Due Dates'!$L:$L,'PQ-Due Dates'!$A:$A,V_Detailed_Report!$C138,'PQ-Due Dates'!$M:$M,"&gt;="&amp;V_Detailed_Report!S$3,'PQ-Due Dates'!$M:$M,"&lt;="&amp;V_Detailed_Report!S$4)</f>
        <v>0</v>
      </c>
      <c r="T138" s="157">
        <f>SUMIFS('PQ-Due Dates'!$L:$L,'PQ-Due Dates'!$A:$A,V_Detailed_Report!$C138,'PQ-Due Dates'!$M:$M,"&gt;="&amp;V_Detailed_Report!T$3,'PQ-Due Dates'!$M:$M,"&lt;="&amp;V_Detailed_Report!T$4)</f>
        <v>0</v>
      </c>
      <c r="U138" s="157">
        <f t="shared" si="13"/>
        <v>0</v>
      </c>
      <c r="V138" s="157">
        <f t="shared" si="14"/>
        <v>200000</v>
      </c>
      <c r="W138" s="157">
        <f t="shared" si="15"/>
        <v>200000</v>
      </c>
    </row>
    <row r="139" spans="1:23" x14ac:dyDescent="0.25">
      <c r="A139" s="162" t="s">
        <v>152</v>
      </c>
      <c r="B139" s="162" t="s">
        <v>19</v>
      </c>
      <c r="C139" s="162" t="s">
        <v>517</v>
      </c>
      <c r="D139" s="162" t="str">
        <f>VLOOKUP(C139,'M_LC Summary'!A:F,6,0)</f>
        <v>SAB</v>
      </c>
      <c r="E139" s="162" t="str">
        <f>VLOOKUP(C139,'M_LC Summary'!A:C,3,0)</f>
        <v>GALAXY TECHOLOGY CO.</v>
      </c>
      <c r="F139" s="157">
        <f>VLOOKUP(C139,'M_LC Summary'!A:K,11,0)</f>
        <v>300000.01</v>
      </c>
      <c r="G139" s="157">
        <f>VLOOKUP(C139,'M_LC Summary'!A:L,12,0)</f>
        <v>0</v>
      </c>
      <c r="H139" s="157">
        <f t="shared" si="12"/>
        <v>300000.01</v>
      </c>
      <c r="I139" s="157">
        <f>SUMIFS('PQ-Due Dates'!$L:$L,'PQ-Due Dates'!$A:$A,V_Detailed_Report!$C139,'PQ-Due Dates'!$M:$M,"&gt;="&amp;V_Detailed_Report!I$3,'PQ-Due Dates'!$M:$M,"&lt;="&amp;V_Detailed_Report!I$4)</f>
        <v>0</v>
      </c>
      <c r="J139" s="157">
        <f>SUMIFS('PQ-Due Dates'!$L:$L,'PQ-Due Dates'!$A:$A,V_Detailed_Report!$C139,'PQ-Due Dates'!$M:$M,"&gt;="&amp;V_Detailed_Report!J$3,'PQ-Due Dates'!$M:$M,"&lt;="&amp;V_Detailed_Report!J$4)</f>
        <v>0</v>
      </c>
      <c r="K139" s="157">
        <f>SUMIFS('PQ-Due Dates'!$L:$L,'PQ-Due Dates'!$A:$A,V_Detailed_Report!$C139,'PQ-Due Dates'!$M:$M,"&gt;="&amp;V_Detailed_Report!K$3,'PQ-Due Dates'!$M:$M,"&lt;="&amp;V_Detailed_Report!K$4)</f>
        <v>0</v>
      </c>
      <c r="L139" s="157">
        <f>SUMIFS('PQ-Due Dates'!$L:$L,'PQ-Due Dates'!$A:$A,V_Detailed_Report!$C139,'PQ-Due Dates'!$M:$M,"&gt;="&amp;V_Detailed_Report!L$3,'PQ-Due Dates'!$M:$M,"&lt;="&amp;V_Detailed_Report!L$4)</f>
        <v>0</v>
      </c>
      <c r="M139" s="157">
        <f>SUMIFS('PQ-Due Dates'!$L:$L,'PQ-Due Dates'!$A:$A,V_Detailed_Report!$C139,'PQ-Due Dates'!$M:$M,"&gt;="&amp;V_Detailed_Report!M$3,'PQ-Due Dates'!$M:$M,"&lt;="&amp;V_Detailed_Report!M$4)</f>
        <v>0</v>
      </c>
      <c r="N139" s="157">
        <f>SUMIFS('PQ-Due Dates'!$L:$L,'PQ-Due Dates'!$A:$A,V_Detailed_Report!$C139,'PQ-Due Dates'!$M:$M,"&gt;="&amp;V_Detailed_Report!N$3,'PQ-Due Dates'!$M:$M,"&lt;="&amp;V_Detailed_Report!N$4)</f>
        <v>0</v>
      </c>
      <c r="O139" s="157">
        <f>SUMIFS('PQ-Due Dates'!$L:$L,'PQ-Due Dates'!$A:$A,V_Detailed_Report!$C139,'PQ-Due Dates'!$M:$M,"&gt;="&amp;V_Detailed_Report!O$3,'PQ-Due Dates'!$M:$M,"&lt;="&amp;V_Detailed_Report!O$4)</f>
        <v>0</v>
      </c>
      <c r="P139" s="157">
        <f>SUMIFS('PQ-Due Dates'!$L:$L,'PQ-Due Dates'!$A:$A,V_Detailed_Report!$C139,'PQ-Due Dates'!$M:$M,"&gt;="&amp;V_Detailed_Report!P$3,'PQ-Due Dates'!$M:$M,"&lt;="&amp;V_Detailed_Report!P$4)</f>
        <v>0</v>
      </c>
      <c r="Q139" s="157">
        <f>SUMIFS('PQ-Due Dates'!$L:$L,'PQ-Due Dates'!$A:$A,V_Detailed_Report!$C139,'PQ-Due Dates'!$M:$M,"&gt;="&amp;V_Detailed_Report!Q$3,'PQ-Due Dates'!$M:$M,"&lt;="&amp;V_Detailed_Report!Q$4)</f>
        <v>0</v>
      </c>
      <c r="R139" s="157">
        <f>SUMIFS('PQ-Due Dates'!$L:$L,'PQ-Due Dates'!$A:$A,V_Detailed_Report!$C139,'PQ-Due Dates'!$M:$M,"&gt;="&amp;V_Detailed_Report!R$3,'PQ-Due Dates'!$M:$M,"&lt;="&amp;V_Detailed_Report!R$4)</f>
        <v>0</v>
      </c>
      <c r="S139" s="157">
        <f>SUMIFS('PQ-Due Dates'!$L:$L,'PQ-Due Dates'!$A:$A,V_Detailed_Report!$C139,'PQ-Due Dates'!$M:$M,"&gt;="&amp;V_Detailed_Report!S$3,'PQ-Due Dates'!$M:$M,"&lt;="&amp;V_Detailed_Report!S$4)</f>
        <v>0</v>
      </c>
      <c r="T139" s="157">
        <f>SUMIFS('PQ-Due Dates'!$L:$L,'PQ-Due Dates'!$A:$A,V_Detailed_Report!$C139,'PQ-Due Dates'!$M:$M,"&gt;="&amp;V_Detailed_Report!T$3,'PQ-Due Dates'!$M:$M,"&lt;="&amp;V_Detailed_Report!T$4)</f>
        <v>0</v>
      </c>
      <c r="U139" s="157">
        <f t="shared" si="13"/>
        <v>0</v>
      </c>
      <c r="V139" s="157">
        <f t="shared" si="14"/>
        <v>300000.01</v>
      </c>
      <c r="W139" s="157">
        <f t="shared" si="15"/>
        <v>300000.01</v>
      </c>
    </row>
    <row r="140" spans="1:23" x14ac:dyDescent="0.25">
      <c r="A140" s="162" t="s">
        <v>152</v>
      </c>
      <c r="B140" s="162" t="s">
        <v>19</v>
      </c>
      <c r="C140" s="162" t="s">
        <v>518</v>
      </c>
      <c r="D140" s="162" t="str">
        <f>VLOOKUP(C140,'M_LC Summary'!A:F,6,0)</f>
        <v>SAB</v>
      </c>
      <c r="E140" s="162" t="str">
        <f>VLOOKUP(C140,'M_LC Summary'!A:C,3,0)</f>
        <v>Gulf Grilles Company</v>
      </c>
      <c r="F140" s="157">
        <f>VLOOKUP(C140,'M_LC Summary'!A:K,11,0)</f>
        <v>400000</v>
      </c>
      <c r="G140" s="157">
        <f>VLOOKUP(C140,'M_LC Summary'!A:L,12,0)</f>
        <v>0</v>
      </c>
      <c r="H140" s="157">
        <f t="shared" si="12"/>
        <v>400000</v>
      </c>
      <c r="I140" s="157">
        <f>SUMIFS('PQ-Due Dates'!$L:$L,'PQ-Due Dates'!$A:$A,V_Detailed_Report!$C140,'PQ-Due Dates'!$M:$M,"&gt;="&amp;V_Detailed_Report!I$3,'PQ-Due Dates'!$M:$M,"&lt;="&amp;V_Detailed_Report!I$4)</f>
        <v>0</v>
      </c>
      <c r="J140" s="157">
        <f>SUMIFS('PQ-Due Dates'!$L:$L,'PQ-Due Dates'!$A:$A,V_Detailed_Report!$C140,'PQ-Due Dates'!$M:$M,"&gt;="&amp;V_Detailed_Report!J$3,'PQ-Due Dates'!$M:$M,"&lt;="&amp;V_Detailed_Report!J$4)</f>
        <v>0</v>
      </c>
      <c r="K140" s="157">
        <f>SUMIFS('PQ-Due Dates'!$L:$L,'PQ-Due Dates'!$A:$A,V_Detailed_Report!$C140,'PQ-Due Dates'!$M:$M,"&gt;="&amp;V_Detailed_Report!K$3,'PQ-Due Dates'!$M:$M,"&lt;="&amp;V_Detailed_Report!K$4)</f>
        <v>0</v>
      </c>
      <c r="L140" s="157">
        <f>SUMIFS('PQ-Due Dates'!$L:$L,'PQ-Due Dates'!$A:$A,V_Detailed_Report!$C140,'PQ-Due Dates'!$M:$M,"&gt;="&amp;V_Detailed_Report!L$3,'PQ-Due Dates'!$M:$M,"&lt;="&amp;V_Detailed_Report!L$4)</f>
        <v>0</v>
      </c>
      <c r="M140" s="157">
        <f>SUMIFS('PQ-Due Dates'!$L:$L,'PQ-Due Dates'!$A:$A,V_Detailed_Report!$C140,'PQ-Due Dates'!$M:$M,"&gt;="&amp;V_Detailed_Report!M$3,'PQ-Due Dates'!$M:$M,"&lt;="&amp;V_Detailed_Report!M$4)</f>
        <v>0</v>
      </c>
      <c r="N140" s="157">
        <f>SUMIFS('PQ-Due Dates'!$L:$L,'PQ-Due Dates'!$A:$A,V_Detailed_Report!$C140,'PQ-Due Dates'!$M:$M,"&gt;="&amp;V_Detailed_Report!N$3,'PQ-Due Dates'!$M:$M,"&lt;="&amp;V_Detailed_Report!N$4)</f>
        <v>0</v>
      </c>
      <c r="O140" s="157">
        <f>SUMIFS('PQ-Due Dates'!$L:$L,'PQ-Due Dates'!$A:$A,V_Detailed_Report!$C140,'PQ-Due Dates'!$M:$M,"&gt;="&amp;V_Detailed_Report!O$3,'PQ-Due Dates'!$M:$M,"&lt;="&amp;V_Detailed_Report!O$4)</f>
        <v>0</v>
      </c>
      <c r="P140" s="157">
        <f>SUMIFS('PQ-Due Dates'!$L:$L,'PQ-Due Dates'!$A:$A,V_Detailed_Report!$C140,'PQ-Due Dates'!$M:$M,"&gt;="&amp;V_Detailed_Report!P$3,'PQ-Due Dates'!$M:$M,"&lt;="&amp;V_Detailed_Report!P$4)</f>
        <v>0</v>
      </c>
      <c r="Q140" s="157">
        <f>SUMIFS('PQ-Due Dates'!$L:$L,'PQ-Due Dates'!$A:$A,V_Detailed_Report!$C140,'PQ-Due Dates'!$M:$M,"&gt;="&amp;V_Detailed_Report!Q$3,'PQ-Due Dates'!$M:$M,"&lt;="&amp;V_Detailed_Report!Q$4)</f>
        <v>0</v>
      </c>
      <c r="R140" s="157">
        <f>SUMIFS('PQ-Due Dates'!$L:$L,'PQ-Due Dates'!$A:$A,V_Detailed_Report!$C140,'PQ-Due Dates'!$M:$M,"&gt;="&amp;V_Detailed_Report!R$3,'PQ-Due Dates'!$M:$M,"&lt;="&amp;V_Detailed_Report!R$4)</f>
        <v>0</v>
      </c>
      <c r="S140" s="157">
        <f>SUMIFS('PQ-Due Dates'!$L:$L,'PQ-Due Dates'!$A:$A,V_Detailed_Report!$C140,'PQ-Due Dates'!$M:$M,"&gt;="&amp;V_Detailed_Report!S$3,'PQ-Due Dates'!$M:$M,"&lt;="&amp;V_Detailed_Report!S$4)</f>
        <v>0</v>
      </c>
      <c r="T140" s="157">
        <f>SUMIFS('PQ-Due Dates'!$L:$L,'PQ-Due Dates'!$A:$A,V_Detailed_Report!$C140,'PQ-Due Dates'!$M:$M,"&gt;="&amp;V_Detailed_Report!T$3,'PQ-Due Dates'!$M:$M,"&lt;="&amp;V_Detailed_Report!T$4)</f>
        <v>0</v>
      </c>
      <c r="U140" s="157">
        <f t="shared" si="13"/>
        <v>0</v>
      </c>
      <c r="V140" s="157">
        <f t="shared" si="14"/>
        <v>400000</v>
      </c>
      <c r="W140" s="157">
        <f t="shared" si="15"/>
        <v>400000</v>
      </c>
    </row>
    <row r="141" spans="1:23" x14ac:dyDescent="0.25">
      <c r="A141" s="162" t="s">
        <v>152</v>
      </c>
      <c r="B141" s="162" t="s">
        <v>19</v>
      </c>
      <c r="C141" s="162" t="s">
        <v>519</v>
      </c>
      <c r="D141" s="162" t="str">
        <f>VLOOKUP(C141,'M_LC Summary'!A:F,6,0)</f>
        <v>SAB</v>
      </c>
      <c r="E141" s="162" t="str">
        <f>VLOOKUP(C141,'M_LC Summary'!A:C,3,0)</f>
        <v>IDEAL CALIBER COMPANY.</v>
      </c>
      <c r="F141" s="157">
        <f>VLOOKUP(C141,'M_LC Summary'!A:K,11,0)</f>
        <v>300000</v>
      </c>
      <c r="G141" s="157">
        <f>VLOOKUP(C141,'M_LC Summary'!A:L,12,0)</f>
        <v>0</v>
      </c>
      <c r="H141" s="157">
        <f t="shared" si="12"/>
        <v>300000</v>
      </c>
      <c r="I141" s="157">
        <f>SUMIFS('PQ-Due Dates'!$L:$L,'PQ-Due Dates'!$A:$A,V_Detailed_Report!$C141,'PQ-Due Dates'!$M:$M,"&gt;="&amp;V_Detailed_Report!I$3,'PQ-Due Dates'!$M:$M,"&lt;="&amp;V_Detailed_Report!I$4)</f>
        <v>0</v>
      </c>
      <c r="J141" s="157">
        <f>SUMIFS('PQ-Due Dates'!$L:$L,'PQ-Due Dates'!$A:$A,V_Detailed_Report!$C141,'PQ-Due Dates'!$M:$M,"&gt;="&amp;V_Detailed_Report!J$3,'PQ-Due Dates'!$M:$M,"&lt;="&amp;V_Detailed_Report!J$4)</f>
        <v>0</v>
      </c>
      <c r="K141" s="157">
        <f>SUMIFS('PQ-Due Dates'!$L:$L,'PQ-Due Dates'!$A:$A,V_Detailed_Report!$C141,'PQ-Due Dates'!$M:$M,"&gt;="&amp;V_Detailed_Report!K$3,'PQ-Due Dates'!$M:$M,"&lt;="&amp;V_Detailed_Report!K$4)</f>
        <v>0</v>
      </c>
      <c r="L141" s="157">
        <f>SUMIFS('PQ-Due Dates'!$L:$L,'PQ-Due Dates'!$A:$A,V_Detailed_Report!$C141,'PQ-Due Dates'!$M:$M,"&gt;="&amp;V_Detailed_Report!L$3,'PQ-Due Dates'!$M:$M,"&lt;="&amp;V_Detailed_Report!L$4)</f>
        <v>0</v>
      </c>
      <c r="M141" s="157">
        <f>SUMIFS('PQ-Due Dates'!$L:$L,'PQ-Due Dates'!$A:$A,V_Detailed_Report!$C141,'PQ-Due Dates'!$M:$M,"&gt;="&amp;V_Detailed_Report!M$3,'PQ-Due Dates'!$M:$M,"&lt;="&amp;V_Detailed_Report!M$4)</f>
        <v>0</v>
      </c>
      <c r="N141" s="157">
        <f>SUMIFS('PQ-Due Dates'!$L:$L,'PQ-Due Dates'!$A:$A,V_Detailed_Report!$C141,'PQ-Due Dates'!$M:$M,"&gt;="&amp;V_Detailed_Report!N$3,'PQ-Due Dates'!$M:$M,"&lt;="&amp;V_Detailed_Report!N$4)</f>
        <v>0</v>
      </c>
      <c r="O141" s="157">
        <f>SUMIFS('PQ-Due Dates'!$L:$L,'PQ-Due Dates'!$A:$A,V_Detailed_Report!$C141,'PQ-Due Dates'!$M:$M,"&gt;="&amp;V_Detailed_Report!O$3,'PQ-Due Dates'!$M:$M,"&lt;="&amp;V_Detailed_Report!O$4)</f>
        <v>0</v>
      </c>
      <c r="P141" s="157">
        <f>SUMIFS('PQ-Due Dates'!$L:$L,'PQ-Due Dates'!$A:$A,V_Detailed_Report!$C141,'PQ-Due Dates'!$M:$M,"&gt;="&amp;V_Detailed_Report!P$3,'PQ-Due Dates'!$M:$M,"&lt;="&amp;V_Detailed_Report!P$4)</f>
        <v>0</v>
      </c>
      <c r="Q141" s="157">
        <f>SUMIFS('PQ-Due Dates'!$L:$L,'PQ-Due Dates'!$A:$A,V_Detailed_Report!$C141,'PQ-Due Dates'!$M:$M,"&gt;="&amp;V_Detailed_Report!Q$3,'PQ-Due Dates'!$M:$M,"&lt;="&amp;V_Detailed_Report!Q$4)</f>
        <v>0</v>
      </c>
      <c r="R141" s="157">
        <f>SUMIFS('PQ-Due Dates'!$L:$L,'PQ-Due Dates'!$A:$A,V_Detailed_Report!$C141,'PQ-Due Dates'!$M:$M,"&gt;="&amp;V_Detailed_Report!R$3,'PQ-Due Dates'!$M:$M,"&lt;="&amp;V_Detailed_Report!R$4)</f>
        <v>0</v>
      </c>
      <c r="S141" s="157">
        <f>SUMIFS('PQ-Due Dates'!$L:$L,'PQ-Due Dates'!$A:$A,V_Detailed_Report!$C141,'PQ-Due Dates'!$M:$M,"&gt;="&amp;V_Detailed_Report!S$3,'PQ-Due Dates'!$M:$M,"&lt;="&amp;V_Detailed_Report!S$4)</f>
        <v>0</v>
      </c>
      <c r="T141" s="157">
        <f>SUMIFS('PQ-Due Dates'!$L:$L,'PQ-Due Dates'!$A:$A,V_Detailed_Report!$C141,'PQ-Due Dates'!$M:$M,"&gt;="&amp;V_Detailed_Report!T$3,'PQ-Due Dates'!$M:$M,"&lt;="&amp;V_Detailed_Report!T$4)</f>
        <v>0</v>
      </c>
      <c r="U141" s="157">
        <f t="shared" si="13"/>
        <v>0</v>
      </c>
      <c r="V141" s="157">
        <f t="shared" si="14"/>
        <v>300000</v>
      </c>
      <c r="W141" s="157">
        <f t="shared" si="15"/>
        <v>300000</v>
      </c>
    </row>
    <row r="142" spans="1:23" x14ac:dyDescent="0.25">
      <c r="A142" s="162" t="s">
        <v>152</v>
      </c>
      <c r="B142" s="162" t="s">
        <v>19</v>
      </c>
      <c r="C142" s="162" t="s">
        <v>520</v>
      </c>
      <c r="D142" s="162" t="str">
        <f>VLOOKUP(C142,'M_LC Summary'!A:F,6,0)</f>
        <v>SAB</v>
      </c>
      <c r="E142" s="162" t="str">
        <f>VLOOKUP(C142,'M_LC Summary'!A:C,3,0)</f>
        <v>JOHNSON CONTROLS ARABIA</v>
      </c>
      <c r="F142" s="157">
        <f>VLOOKUP(C142,'M_LC Summary'!A:K,11,0)</f>
        <v>500000</v>
      </c>
      <c r="G142" s="157">
        <f>VLOOKUP(C142,'M_LC Summary'!A:L,12,0)</f>
        <v>0</v>
      </c>
      <c r="H142" s="157">
        <f t="shared" si="12"/>
        <v>500000</v>
      </c>
      <c r="I142" s="157">
        <f>SUMIFS('PQ-Due Dates'!$L:$L,'PQ-Due Dates'!$A:$A,V_Detailed_Report!$C142,'PQ-Due Dates'!$M:$M,"&gt;="&amp;V_Detailed_Report!I$3,'PQ-Due Dates'!$M:$M,"&lt;="&amp;V_Detailed_Report!I$4)</f>
        <v>0</v>
      </c>
      <c r="J142" s="157">
        <f>SUMIFS('PQ-Due Dates'!$L:$L,'PQ-Due Dates'!$A:$A,V_Detailed_Report!$C142,'PQ-Due Dates'!$M:$M,"&gt;="&amp;V_Detailed_Report!J$3,'PQ-Due Dates'!$M:$M,"&lt;="&amp;V_Detailed_Report!J$4)</f>
        <v>0</v>
      </c>
      <c r="K142" s="157">
        <f>SUMIFS('PQ-Due Dates'!$L:$L,'PQ-Due Dates'!$A:$A,V_Detailed_Report!$C142,'PQ-Due Dates'!$M:$M,"&gt;="&amp;V_Detailed_Report!K$3,'PQ-Due Dates'!$M:$M,"&lt;="&amp;V_Detailed_Report!K$4)</f>
        <v>0</v>
      </c>
      <c r="L142" s="157">
        <f>SUMIFS('PQ-Due Dates'!$L:$L,'PQ-Due Dates'!$A:$A,V_Detailed_Report!$C142,'PQ-Due Dates'!$M:$M,"&gt;="&amp;V_Detailed_Report!L$3,'PQ-Due Dates'!$M:$M,"&lt;="&amp;V_Detailed_Report!L$4)</f>
        <v>0</v>
      </c>
      <c r="M142" s="157">
        <f>SUMIFS('PQ-Due Dates'!$L:$L,'PQ-Due Dates'!$A:$A,V_Detailed_Report!$C142,'PQ-Due Dates'!$M:$M,"&gt;="&amp;V_Detailed_Report!M$3,'PQ-Due Dates'!$M:$M,"&lt;="&amp;V_Detailed_Report!M$4)</f>
        <v>0</v>
      </c>
      <c r="N142" s="157">
        <f>SUMIFS('PQ-Due Dates'!$L:$L,'PQ-Due Dates'!$A:$A,V_Detailed_Report!$C142,'PQ-Due Dates'!$M:$M,"&gt;="&amp;V_Detailed_Report!N$3,'PQ-Due Dates'!$M:$M,"&lt;="&amp;V_Detailed_Report!N$4)</f>
        <v>0</v>
      </c>
      <c r="O142" s="157">
        <f>SUMIFS('PQ-Due Dates'!$L:$L,'PQ-Due Dates'!$A:$A,V_Detailed_Report!$C142,'PQ-Due Dates'!$M:$M,"&gt;="&amp;V_Detailed_Report!O$3,'PQ-Due Dates'!$M:$M,"&lt;="&amp;V_Detailed_Report!O$4)</f>
        <v>0</v>
      </c>
      <c r="P142" s="157">
        <f>SUMIFS('PQ-Due Dates'!$L:$L,'PQ-Due Dates'!$A:$A,V_Detailed_Report!$C142,'PQ-Due Dates'!$M:$M,"&gt;="&amp;V_Detailed_Report!P$3,'PQ-Due Dates'!$M:$M,"&lt;="&amp;V_Detailed_Report!P$4)</f>
        <v>0</v>
      </c>
      <c r="Q142" s="157">
        <f>SUMIFS('PQ-Due Dates'!$L:$L,'PQ-Due Dates'!$A:$A,V_Detailed_Report!$C142,'PQ-Due Dates'!$M:$M,"&gt;="&amp;V_Detailed_Report!Q$3,'PQ-Due Dates'!$M:$M,"&lt;="&amp;V_Detailed_Report!Q$4)</f>
        <v>0</v>
      </c>
      <c r="R142" s="157">
        <f>SUMIFS('PQ-Due Dates'!$L:$L,'PQ-Due Dates'!$A:$A,V_Detailed_Report!$C142,'PQ-Due Dates'!$M:$M,"&gt;="&amp;V_Detailed_Report!R$3,'PQ-Due Dates'!$M:$M,"&lt;="&amp;V_Detailed_Report!R$4)</f>
        <v>0</v>
      </c>
      <c r="S142" s="157">
        <f>SUMIFS('PQ-Due Dates'!$L:$L,'PQ-Due Dates'!$A:$A,V_Detailed_Report!$C142,'PQ-Due Dates'!$M:$M,"&gt;="&amp;V_Detailed_Report!S$3,'PQ-Due Dates'!$M:$M,"&lt;="&amp;V_Detailed_Report!S$4)</f>
        <v>0</v>
      </c>
      <c r="T142" s="157">
        <f>SUMIFS('PQ-Due Dates'!$L:$L,'PQ-Due Dates'!$A:$A,V_Detailed_Report!$C142,'PQ-Due Dates'!$M:$M,"&gt;="&amp;V_Detailed_Report!T$3,'PQ-Due Dates'!$M:$M,"&lt;="&amp;V_Detailed_Report!T$4)</f>
        <v>0</v>
      </c>
      <c r="U142" s="157">
        <f t="shared" si="13"/>
        <v>0</v>
      </c>
      <c r="V142" s="157">
        <f t="shared" si="14"/>
        <v>500000</v>
      </c>
      <c r="W142" s="157">
        <f t="shared" si="15"/>
        <v>500000</v>
      </c>
    </row>
    <row r="143" spans="1:23" x14ac:dyDescent="0.25">
      <c r="A143" s="162" t="s">
        <v>152</v>
      </c>
      <c r="B143" s="162" t="s">
        <v>19</v>
      </c>
      <c r="C143" s="162" t="s">
        <v>521</v>
      </c>
      <c r="D143" s="162" t="str">
        <f>VLOOKUP(C143,'M_LC Summary'!A:F,6,0)</f>
        <v>SAB</v>
      </c>
      <c r="E143" s="162" t="str">
        <f>VLOOKUP(C143,'M_LC Summary'!A:C,3,0)</f>
        <v>KHEREIJI SHOWROOMS CO.</v>
      </c>
      <c r="F143" s="157">
        <f>VLOOKUP(C143,'M_LC Summary'!A:K,11,0)</f>
        <v>250000</v>
      </c>
      <c r="G143" s="157">
        <f>VLOOKUP(C143,'M_LC Summary'!A:L,12,0)</f>
        <v>0</v>
      </c>
      <c r="H143" s="157">
        <f t="shared" si="12"/>
        <v>250000</v>
      </c>
      <c r="I143" s="157">
        <f>SUMIFS('PQ-Due Dates'!$L:$L,'PQ-Due Dates'!$A:$A,V_Detailed_Report!$C143,'PQ-Due Dates'!$M:$M,"&gt;="&amp;V_Detailed_Report!I$3,'PQ-Due Dates'!$M:$M,"&lt;="&amp;V_Detailed_Report!I$4)</f>
        <v>0</v>
      </c>
      <c r="J143" s="157">
        <f>SUMIFS('PQ-Due Dates'!$L:$L,'PQ-Due Dates'!$A:$A,V_Detailed_Report!$C143,'PQ-Due Dates'!$M:$M,"&gt;="&amp;V_Detailed_Report!J$3,'PQ-Due Dates'!$M:$M,"&lt;="&amp;V_Detailed_Report!J$4)</f>
        <v>0</v>
      </c>
      <c r="K143" s="157">
        <f>SUMIFS('PQ-Due Dates'!$L:$L,'PQ-Due Dates'!$A:$A,V_Detailed_Report!$C143,'PQ-Due Dates'!$M:$M,"&gt;="&amp;V_Detailed_Report!K$3,'PQ-Due Dates'!$M:$M,"&lt;="&amp;V_Detailed_Report!K$4)</f>
        <v>0</v>
      </c>
      <c r="L143" s="157">
        <f>SUMIFS('PQ-Due Dates'!$L:$L,'PQ-Due Dates'!$A:$A,V_Detailed_Report!$C143,'PQ-Due Dates'!$M:$M,"&gt;="&amp;V_Detailed_Report!L$3,'PQ-Due Dates'!$M:$M,"&lt;="&amp;V_Detailed_Report!L$4)</f>
        <v>0</v>
      </c>
      <c r="M143" s="157">
        <f>SUMIFS('PQ-Due Dates'!$L:$L,'PQ-Due Dates'!$A:$A,V_Detailed_Report!$C143,'PQ-Due Dates'!$M:$M,"&gt;="&amp;V_Detailed_Report!M$3,'PQ-Due Dates'!$M:$M,"&lt;="&amp;V_Detailed_Report!M$4)</f>
        <v>0</v>
      </c>
      <c r="N143" s="157">
        <f>SUMIFS('PQ-Due Dates'!$L:$L,'PQ-Due Dates'!$A:$A,V_Detailed_Report!$C143,'PQ-Due Dates'!$M:$M,"&gt;="&amp;V_Detailed_Report!N$3,'PQ-Due Dates'!$M:$M,"&lt;="&amp;V_Detailed_Report!N$4)</f>
        <v>0</v>
      </c>
      <c r="O143" s="157">
        <f>SUMIFS('PQ-Due Dates'!$L:$L,'PQ-Due Dates'!$A:$A,V_Detailed_Report!$C143,'PQ-Due Dates'!$M:$M,"&gt;="&amp;V_Detailed_Report!O$3,'PQ-Due Dates'!$M:$M,"&lt;="&amp;V_Detailed_Report!O$4)</f>
        <v>0</v>
      </c>
      <c r="P143" s="157">
        <f>SUMIFS('PQ-Due Dates'!$L:$L,'PQ-Due Dates'!$A:$A,V_Detailed_Report!$C143,'PQ-Due Dates'!$M:$M,"&gt;="&amp;V_Detailed_Report!P$3,'PQ-Due Dates'!$M:$M,"&lt;="&amp;V_Detailed_Report!P$4)</f>
        <v>0</v>
      </c>
      <c r="Q143" s="157">
        <f>SUMIFS('PQ-Due Dates'!$L:$L,'PQ-Due Dates'!$A:$A,V_Detailed_Report!$C143,'PQ-Due Dates'!$M:$M,"&gt;="&amp;V_Detailed_Report!Q$3,'PQ-Due Dates'!$M:$M,"&lt;="&amp;V_Detailed_Report!Q$4)</f>
        <v>0</v>
      </c>
      <c r="R143" s="157">
        <f>SUMIFS('PQ-Due Dates'!$L:$L,'PQ-Due Dates'!$A:$A,V_Detailed_Report!$C143,'PQ-Due Dates'!$M:$M,"&gt;="&amp;V_Detailed_Report!R$3,'PQ-Due Dates'!$M:$M,"&lt;="&amp;V_Detailed_Report!R$4)</f>
        <v>0</v>
      </c>
      <c r="S143" s="157">
        <f>SUMIFS('PQ-Due Dates'!$L:$L,'PQ-Due Dates'!$A:$A,V_Detailed_Report!$C143,'PQ-Due Dates'!$M:$M,"&gt;="&amp;V_Detailed_Report!S$3,'PQ-Due Dates'!$M:$M,"&lt;="&amp;V_Detailed_Report!S$4)</f>
        <v>0</v>
      </c>
      <c r="T143" s="157">
        <f>SUMIFS('PQ-Due Dates'!$L:$L,'PQ-Due Dates'!$A:$A,V_Detailed_Report!$C143,'PQ-Due Dates'!$M:$M,"&gt;="&amp;V_Detailed_Report!T$3,'PQ-Due Dates'!$M:$M,"&lt;="&amp;V_Detailed_Report!T$4)</f>
        <v>0</v>
      </c>
      <c r="U143" s="157">
        <f t="shared" si="13"/>
        <v>0</v>
      </c>
      <c r="V143" s="157">
        <f t="shared" si="14"/>
        <v>250000</v>
      </c>
      <c r="W143" s="157">
        <f t="shared" si="15"/>
        <v>250000</v>
      </c>
    </row>
    <row r="144" spans="1:23" x14ac:dyDescent="0.25">
      <c r="A144" s="162" t="s">
        <v>152</v>
      </c>
      <c r="B144" s="162" t="s">
        <v>19</v>
      </c>
      <c r="C144" s="162" t="s">
        <v>522</v>
      </c>
      <c r="D144" s="162" t="str">
        <f>VLOOKUP(C144,'M_LC Summary'!A:F,6,0)</f>
        <v>SAB</v>
      </c>
      <c r="E144" s="162" t="str">
        <f>VLOOKUP(C144,'M_LC Summary'!A:C,3,0)</f>
        <v>Machinery Land Equipment Rental.</v>
      </c>
      <c r="F144" s="157">
        <f>VLOOKUP(C144,'M_LC Summary'!A:K,11,0)</f>
        <v>300000</v>
      </c>
      <c r="G144" s="157">
        <f>VLOOKUP(C144,'M_LC Summary'!A:L,12,0)</f>
        <v>0</v>
      </c>
      <c r="H144" s="157">
        <f t="shared" si="12"/>
        <v>300000</v>
      </c>
      <c r="I144" s="157">
        <f>SUMIFS('PQ-Due Dates'!$L:$L,'PQ-Due Dates'!$A:$A,V_Detailed_Report!$C144,'PQ-Due Dates'!$M:$M,"&gt;="&amp;V_Detailed_Report!I$3,'PQ-Due Dates'!$M:$M,"&lt;="&amp;V_Detailed_Report!I$4)</f>
        <v>0</v>
      </c>
      <c r="J144" s="157">
        <f>SUMIFS('PQ-Due Dates'!$L:$L,'PQ-Due Dates'!$A:$A,V_Detailed_Report!$C144,'PQ-Due Dates'!$M:$M,"&gt;="&amp;V_Detailed_Report!J$3,'PQ-Due Dates'!$M:$M,"&lt;="&amp;V_Detailed_Report!J$4)</f>
        <v>0</v>
      </c>
      <c r="K144" s="157">
        <f>SUMIFS('PQ-Due Dates'!$L:$L,'PQ-Due Dates'!$A:$A,V_Detailed_Report!$C144,'PQ-Due Dates'!$M:$M,"&gt;="&amp;V_Detailed_Report!K$3,'PQ-Due Dates'!$M:$M,"&lt;="&amp;V_Detailed_Report!K$4)</f>
        <v>0</v>
      </c>
      <c r="L144" s="157">
        <f>SUMIFS('PQ-Due Dates'!$L:$L,'PQ-Due Dates'!$A:$A,V_Detailed_Report!$C144,'PQ-Due Dates'!$M:$M,"&gt;="&amp;V_Detailed_Report!L$3,'PQ-Due Dates'!$M:$M,"&lt;="&amp;V_Detailed_Report!L$4)</f>
        <v>0</v>
      </c>
      <c r="M144" s="157">
        <f>SUMIFS('PQ-Due Dates'!$L:$L,'PQ-Due Dates'!$A:$A,V_Detailed_Report!$C144,'PQ-Due Dates'!$M:$M,"&gt;="&amp;V_Detailed_Report!M$3,'PQ-Due Dates'!$M:$M,"&lt;="&amp;V_Detailed_Report!M$4)</f>
        <v>0</v>
      </c>
      <c r="N144" s="157">
        <f>SUMIFS('PQ-Due Dates'!$L:$L,'PQ-Due Dates'!$A:$A,V_Detailed_Report!$C144,'PQ-Due Dates'!$M:$M,"&gt;="&amp;V_Detailed_Report!N$3,'PQ-Due Dates'!$M:$M,"&lt;="&amp;V_Detailed_Report!N$4)</f>
        <v>0</v>
      </c>
      <c r="O144" s="157">
        <f>SUMIFS('PQ-Due Dates'!$L:$L,'PQ-Due Dates'!$A:$A,V_Detailed_Report!$C144,'PQ-Due Dates'!$M:$M,"&gt;="&amp;V_Detailed_Report!O$3,'PQ-Due Dates'!$M:$M,"&lt;="&amp;V_Detailed_Report!O$4)</f>
        <v>0</v>
      </c>
      <c r="P144" s="157">
        <f>SUMIFS('PQ-Due Dates'!$L:$L,'PQ-Due Dates'!$A:$A,V_Detailed_Report!$C144,'PQ-Due Dates'!$M:$M,"&gt;="&amp;V_Detailed_Report!P$3,'PQ-Due Dates'!$M:$M,"&lt;="&amp;V_Detailed_Report!P$4)</f>
        <v>0</v>
      </c>
      <c r="Q144" s="157">
        <f>SUMIFS('PQ-Due Dates'!$L:$L,'PQ-Due Dates'!$A:$A,V_Detailed_Report!$C144,'PQ-Due Dates'!$M:$M,"&gt;="&amp;V_Detailed_Report!Q$3,'PQ-Due Dates'!$M:$M,"&lt;="&amp;V_Detailed_Report!Q$4)</f>
        <v>0</v>
      </c>
      <c r="R144" s="157">
        <f>SUMIFS('PQ-Due Dates'!$L:$L,'PQ-Due Dates'!$A:$A,V_Detailed_Report!$C144,'PQ-Due Dates'!$M:$M,"&gt;="&amp;V_Detailed_Report!R$3,'PQ-Due Dates'!$M:$M,"&lt;="&amp;V_Detailed_Report!R$4)</f>
        <v>0</v>
      </c>
      <c r="S144" s="157">
        <f>SUMIFS('PQ-Due Dates'!$L:$L,'PQ-Due Dates'!$A:$A,V_Detailed_Report!$C144,'PQ-Due Dates'!$M:$M,"&gt;="&amp;V_Detailed_Report!S$3,'PQ-Due Dates'!$M:$M,"&lt;="&amp;V_Detailed_Report!S$4)</f>
        <v>0</v>
      </c>
      <c r="T144" s="157">
        <f>SUMIFS('PQ-Due Dates'!$L:$L,'PQ-Due Dates'!$A:$A,V_Detailed_Report!$C144,'PQ-Due Dates'!$M:$M,"&gt;="&amp;V_Detailed_Report!T$3,'PQ-Due Dates'!$M:$M,"&lt;="&amp;V_Detailed_Report!T$4)</f>
        <v>0</v>
      </c>
      <c r="U144" s="157">
        <f t="shared" si="13"/>
        <v>0</v>
      </c>
      <c r="V144" s="157">
        <f t="shared" si="14"/>
        <v>300000</v>
      </c>
      <c r="W144" s="157">
        <f t="shared" si="15"/>
        <v>300000</v>
      </c>
    </row>
    <row r="145" spans="1:23" x14ac:dyDescent="0.25">
      <c r="A145" s="162" t="s">
        <v>152</v>
      </c>
      <c r="B145" s="162" t="s">
        <v>19</v>
      </c>
      <c r="C145" s="162" t="s">
        <v>523</v>
      </c>
      <c r="D145" s="162" t="str">
        <f>VLOOKUP(C145,'M_LC Summary'!A:F,6,0)</f>
        <v>SAB</v>
      </c>
      <c r="E145" s="162" t="str">
        <f>VLOOKUP(C145,'M_LC Summary'!A:C,3,0)</f>
        <v>MARIAM TRADING CO AND PARTNER</v>
      </c>
      <c r="F145" s="157">
        <f>VLOOKUP(C145,'M_LC Summary'!A:K,11,0)</f>
        <v>200000</v>
      </c>
      <c r="G145" s="157">
        <f>VLOOKUP(C145,'M_LC Summary'!A:L,12,0)</f>
        <v>0</v>
      </c>
      <c r="H145" s="157">
        <f t="shared" si="12"/>
        <v>200000</v>
      </c>
      <c r="I145" s="157">
        <f>SUMIFS('PQ-Due Dates'!$L:$L,'PQ-Due Dates'!$A:$A,V_Detailed_Report!$C145,'PQ-Due Dates'!$M:$M,"&gt;="&amp;V_Detailed_Report!I$3,'PQ-Due Dates'!$M:$M,"&lt;="&amp;V_Detailed_Report!I$4)</f>
        <v>0</v>
      </c>
      <c r="J145" s="157">
        <f>SUMIFS('PQ-Due Dates'!$L:$L,'PQ-Due Dates'!$A:$A,V_Detailed_Report!$C145,'PQ-Due Dates'!$M:$M,"&gt;="&amp;V_Detailed_Report!J$3,'PQ-Due Dates'!$M:$M,"&lt;="&amp;V_Detailed_Report!J$4)</f>
        <v>0</v>
      </c>
      <c r="K145" s="157">
        <f>SUMIFS('PQ-Due Dates'!$L:$L,'PQ-Due Dates'!$A:$A,V_Detailed_Report!$C145,'PQ-Due Dates'!$M:$M,"&gt;="&amp;V_Detailed_Report!K$3,'PQ-Due Dates'!$M:$M,"&lt;="&amp;V_Detailed_Report!K$4)</f>
        <v>0</v>
      </c>
      <c r="L145" s="157">
        <f>SUMIFS('PQ-Due Dates'!$L:$L,'PQ-Due Dates'!$A:$A,V_Detailed_Report!$C145,'PQ-Due Dates'!$M:$M,"&gt;="&amp;V_Detailed_Report!L$3,'PQ-Due Dates'!$M:$M,"&lt;="&amp;V_Detailed_Report!L$4)</f>
        <v>0</v>
      </c>
      <c r="M145" s="157">
        <f>SUMIFS('PQ-Due Dates'!$L:$L,'PQ-Due Dates'!$A:$A,V_Detailed_Report!$C145,'PQ-Due Dates'!$M:$M,"&gt;="&amp;V_Detailed_Report!M$3,'PQ-Due Dates'!$M:$M,"&lt;="&amp;V_Detailed_Report!M$4)</f>
        <v>0</v>
      </c>
      <c r="N145" s="157">
        <f>SUMIFS('PQ-Due Dates'!$L:$L,'PQ-Due Dates'!$A:$A,V_Detailed_Report!$C145,'PQ-Due Dates'!$M:$M,"&gt;="&amp;V_Detailed_Report!N$3,'PQ-Due Dates'!$M:$M,"&lt;="&amp;V_Detailed_Report!N$4)</f>
        <v>0</v>
      </c>
      <c r="O145" s="157">
        <f>SUMIFS('PQ-Due Dates'!$L:$L,'PQ-Due Dates'!$A:$A,V_Detailed_Report!$C145,'PQ-Due Dates'!$M:$M,"&gt;="&amp;V_Detailed_Report!O$3,'PQ-Due Dates'!$M:$M,"&lt;="&amp;V_Detailed_Report!O$4)</f>
        <v>0</v>
      </c>
      <c r="P145" s="157">
        <f>SUMIFS('PQ-Due Dates'!$L:$L,'PQ-Due Dates'!$A:$A,V_Detailed_Report!$C145,'PQ-Due Dates'!$M:$M,"&gt;="&amp;V_Detailed_Report!P$3,'PQ-Due Dates'!$M:$M,"&lt;="&amp;V_Detailed_Report!P$4)</f>
        <v>0</v>
      </c>
      <c r="Q145" s="157">
        <f>SUMIFS('PQ-Due Dates'!$L:$L,'PQ-Due Dates'!$A:$A,V_Detailed_Report!$C145,'PQ-Due Dates'!$M:$M,"&gt;="&amp;V_Detailed_Report!Q$3,'PQ-Due Dates'!$M:$M,"&lt;="&amp;V_Detailed_Report!Q$4)</f>
        <v>0</v>
      </c>
      <c r="R145" s="157">
        <f>SUMIFS('PQ-Due Dates'!$L:$L,'PQ-Due Dates'!$A:$A,V_Detailed_Report!$C145,'PQ-Due Dates'!$M:$M,"&gt;="&amp;V_Detailed_Report!R$3,'PQ-Due Dates'!$M:$M,"&lt;="&amp;V_Detailed_Report!R$4)</f>
        <v>0</v>
      </c>
      <c r="S145" s="157">
        <f>SUMIFS('PQ-Due Dates'!$L:$L,'PQ-Due Dates'!$A:$A,V_Detailed_Report!$C145,'PQ-Due Dates'!$M:$M,"&gt;="&amp;V_Detailed_Report!S$3,'PQ-Due Dates'!$M:$M,"&lt;="&amp;V_Detailed_Report!S$4)</f>
        <v>0</v>
      </c>
      <c r="T145" s="157">
        <f>SUMIFS('PQ-Due Dates'!$L:$L,'PQ-Due Dates'!$A:$A,V_Detailed_Report!$C145,'PQ-Due Dates'!$M:$M,"&gt;="&amp;V_Detailed_Report!T$3,'PQ-Due Dates'!$M:$M,"&lt;="&amp;V_Detailed_Report!T$4)</f>
        <v>0</v>
      </c>
      <c r="U145" s="157">
        <f t="shared" si="13"/>
        <v>0</v>
      </c>
      <c r="V145" s="157">
        <f t="shared" si="14"/>
        <v>200000</v>
      </c>
      <c r="W145" s="157">
        <f t="shared" si="15"/>
        <v>200000</v>
      </c>
    </row>
    <row r="146" spans="1:23" x14ac:dyDescent="0.25">
      <c r="A146" s="162" t="s">
        <v>152</v>
      </c>
      <c r="B146" s="162" t="s">
        <v>19</v>
      </c>
      <c r="C146" s="162" t="s">
        <v>524</v>
      </c>
      <c r="D146" s="162" t="str">
        <f>VLOOKUP(C146,'M_LC Summary'!A:F,6,0)</f>
        <v>SAB</v>
      </c>
      <c r="E146" s="162" t="str">
        <f>VLOOKUP(C146,'M_LC Summary'!A:C,3,0)</f>
        <v>Masdar Technical Supplies Co.</v>
      </c>
      <c r="F146" s="157">
        <f>VLOOKUP(C146,'M_LC Summary'!A:K,11,0)</f>
        <v>300000</v>
      </c>
      <c r="G146" s="157">
        <f>VLOOKUP(C146,'M_LC Summary'!A:L,12,0)</f>
        <v>0</v>
      </c>
      <c r="H146" s="157">
        <f t="shared" si="12"/>
        <v>300000</v>
      </c>
      <c r="I146" s="157">
        <f>SUMIFS('PQ-Due Dates'!$L:$L,'PQ-Due Dates'!$A:$A,V_Detailed_Report!$C146,'PQ-Due Dates'!$M:$M,"&gt;="&amp;V_Detailed_Report!I$3,'PQ-Due Dates'!$M:$M,"&lt;="&amp;V_Detailed_Report!I$4)</f>
        <v>0</v>
      </c>
      <c r="J146" s="157">
        <f>SUMIFS('PQ-Due Dates'!$L:$L,'PQ-Due Dates'!$A:$A,V_Detailed_Report!$C146,'PQ-Due Dates'!$M:$M,"&gt;="&amp;V_Detailed_Report!J$3,'PQ-Due Dates'!$M:$M,"&lt;="&amp;V_Detailed_Report!J$4)</f>
        <v>0</v>
      </c>
      <c r="K146" s="157">
        <f>SUMIFS('PQ-Due Dates'!$L:$L,'PQ-Due Dates'!$A:$A,V_Detailed_Report!$C146,'PQ-Due Dates'!$M:$M,"&gt;="&amp;V_Detailed_Report!K$3,'PQ-Due Dates'!$M:$M,"&lt;="&amp;V_Detailed_Report!K$4)</f>
        <v>0</v>
      </c>
      <c r="L146" s="157">
        <f>SUMIFS('PQ-Due Dates'!$L:$L,'PQ-Due Dates'!$A:$A,V_Detailed_Report!$C146,'PQ-Due Dates'!$M:$M,"&gt;="&amp;V_Detailed_Report!L$3,'PQ-Due Dates'!$M:$M,"&lt;="&amp;V_Detailed_Report!L$4)</f>
        <v>0</v>
      </c>
      <c r="M146" s="157">
        <f>SUMIFS('PQ-Due Dates'!$L:$L,'PQ-Due Dates'!$A:$A,V_Detailed_Report!$C146,'PQ-Due Dates'!$M:$M,"&gt;="&amp;V_Detailed_Report!M$3,'PQ-Due Dates'!$M:$M,"&lt;="&amp;V_Detailed_Report!M$4)</f>
        <v>0</v>
      </c>
      <c r="N146" s="157">
        <f>SUMIFS('PQ-Due Dates'!$L:$L,'PQ-Due Dates'!$A:$A,V_Detailed_Report!$C146,'PQ-Due Dates'!$M:$M,"&gt;="&amp;V_Detailed_Report!N$3,'PQ-Due Dates'!$M:$M,"&lt;="&amp;V_Detailed_Report!N$4)</f>
        <v>0</v>
      </c>
      <c r="O146" s="157">
        <f>SUMIFS('PQ-Due Dates'!$L:$L,'PQ-Due Dates'!$A:$A,V_Detailed_Report!$C146,'PQ-Due Dates'!$M:$M,"&gt;="&amp;V_Detailed_Report!O$3,'PQ-Due Dates'!$M:$M,"&lt;="&amp;V_Detailed_Report!O$4)</f>
        <v>0</v>
      </c>
      <c r="P146" s="157">
        <f>SUMIFS('PQ-Due Dates'!$L:$L,'PQ-Due Dates'!$A:$A,V_Detailed_Report!$C146,'PQ-Due Dates'!$M:$M,"&gt;="&amp;V_Detailed_Report!P$3,'PQ-Due Dates'!$M:$M,"&lt;="&amp;V_Detailed_Report!P$4)</f>
        <v>0</v>
      </c>
      <c r="Q146" s="157">
        <f>SUMIFS('PQ-Due Dates'!$L:$L,'PQ-Due Dates'!$A:$A,V_Detailed_Report!$C146,'PQ-Due Dates'!$M:$M,"&gt;="&amp;V_Detailed_Report!Q$3,'PQ-Due Dates'!$M:$M,"&lt;="&amp;V_Detailed_Report!Q$4)</f>
        <v>0</v>
      </c>
      <c r="R146" s="157">
        <f>SUMIFS('PQ-Due Dates'!$L:$L,'PQ-Due Dates'!$A:$A,V_Detailed_Report!$C146,'PQ-Due Dates'!$M:$M,"&gt;="&amp;V_Detailed_Report!R$3,'PQ-Due Dates'!$M:$M,"&lt;="&amp;V_Detailed_Report!R$4)</f>
        <v>0</v>
      </c>
      <c r="S146" s="157">
        <f>SUMIFS('PQ-Due Dates'!$L:$L,'PQ-Due Dates'!$A:$A,V_Detailed_Report!$C146,'PQ-Due Dates'!$M:$M,"&gt;="&amp;V_Detailed_Report!S$3,'PQ-Due Dates'!$M:$M,"&lt;="&amp;V_Detailed_Report!S$4)</f>
        <v>0</v>
      </c>
      <c r="T146" s="157">
        <f>SUMIFS('PQ-Due Dates'!$L:$L,'PQ-Due Dates'!$A:$A,V_Detailed_Report!$C146,'PQ-Due Dates'!$M:$M,"&gt;="&amp;V_Detailed_Report!T$3,'PQ-Due Dates'!$M:$M,"&lt;="&amp;V_Detailed_Report!T$4)</f>
        <v>0</v>
      </c>
      <c r="U146" s="157">
        <f t="shared" si="13"/>
        <v>0</v>
      </c>
      <c r="V146" s="157">
        <f t="shared" si="14"/>
        <v>300000</v>
      </c>
      <c r="W146" s="157">
        <f t="shared" si="15"/>
        <v>300000</v>
      </c>
    </row>
    <row r="147" spans="1:23" x14ac:dyDescent="0.25">
      <c r="A147" s="162" t="s">
        <v>152</v>
      </c>
      <c r="B147" s="162" t="s">
        <v>19</v>
      </c>
      <c r="C147" s="162" t="s">
        <v>525</v>
      </c>
      <c r="D147" s="162" t="str">
        <f>VLOOKUP(C147,'M_LC Summary'!A:F,6,0)</f>
        <v>SAB</v>
      </c>
      <c r="E147" s="162" t="str">
        <f>VLOOKUP(C147,'M_LC Summary'!A:C,3,0)</f>
        <v>National Fire Fighting Manufacturing FZCO BR.</v>
      </c>
      <c r="F147" s="157">
        <f>VLOOKUP(C147,'M_LC Summary'!A:K,11,0)</f>
        <v>500000</v>
      </c>
      <c r="G147" s="157">
        <f>VLOOKUP(C147,'M_LC Summary'!A:L,12,0)</f>
        <v>0</v>
      </c>
      <c r="H147" s="157">
        <f t="shared" si="12"/>
        <v>500000</v>
      </c>
      <c r="I147" s="157">
        <f>SUMIFS('PQ-Due Dates'!$L:$L,'PQ-Due Dates'!$A:$A,V_Detailed_Report!$C147,'PQ-Due Dates'!$M:$M,"&gt;="&amp;V_Detailed_Report!I$3,'PQ-Due Dates'!$M:$M,"&lt;="&amp;V_Detailed_Report!I$4)</f>
        <v>0</v>
      </c>
      <c r="J147" s="157">
        <f>SUMIFS('PQ-Due Dates'!$L:$L,'PQ-Due Dates'!$A:$A,V_Detailed_Report!$C147,'PQ-Due Dates'!$M:$M,"&gt;="&amp;V_Detailed_Report!J$3,'PQ-Due Dates'!$M:$M,"&lt;="&amp;V_Detailed_Report!J$4)</f>
        <v>0</v>
      </c>
      <c r="K147" s="157">
        <f>SUMIFS('PQ-Due Dates'!$L:$L,'PQ-Due Dates'!$A:$A,V_Detailed_Report!$C147,'PQ-Due Dates'!$M:$M,"&gt;="&amp;V_Detailed_Report!K$3,'PQ-Due Dates'!$M:$M,"&lt;="&amp;V_Detailed_Report!K$4)</f>
        <v>0</v>
      </c>
      <c r="L147" s="157">
        <f>SUMIFS('PQ-Due Dates'!$L:$L,'PQ-Due Dates'!$A:$A,V_Detailed_Report!$C147,'PQ-Due Dates'!$M:$M,"&gt;="&amp;V_Detailed_Report!L$3,'PQ-Due Dates'!$M:$M,"&lt;="&amp;V_Detailed_Report!L$4)</f>
        <v>0</v>
      </c>
      <c r="M147" s="157">
        <f>SUMIFS('PQ-Due Dates'!$L:$L,'PQ-Due Dates'!$A:$A,V_Detailed_Report!$C147,'PQ-Due Dates'!$M:$M,"&gt;="&amp;V_Detailed_Report!M$3,'PQ-Due Dates'!$M:$M,"&lt;="&amp;V_Detailed_Report!M$4)</f>
        <v>0</v>
      </c>
      <c r="N147" s="157">
        <f>SUMIFS('PQ-Due Dates'!$L:$L,'PQ-Due Dates'!$A:$A,V_Detailed_Report!$C147,'PQ-Due Dates'!$M:$M,"&gt;="&amp;V_Detailed_Report!N$3,'PQ-Due Dates'!$M:$M,"&lt;="&amp;V_Detailed_Report!N$4)</f>
        <v>0</v>
      </c>
      <c r="O147" s="157">
        <f>SUMIFS('PQ-Due Dates'!$L:$L,'PQ-Due Dates'!$A:$A,V_Detailed_Report!$C147,'PQ-Due Dates'!$M:$M,"&gt;="&amp;V_Detailed_Report!O$3,'PQ-Due Dates'!$M:$M,"&lt;="&amp;V_Detailed_Report!O$4)</f>
        <v>0</v>
      </c>
      <c r="P147" s="157">
        <f>SUMIFS('PQ-Due Dates'!$L:$L,'PQ-Due Dates'!$A:$A,V_Detailed_Report!$C147,'PQ-Due Dates'!$M:$M,"&gt;="&amp;V_Detailed_Report!P$3,'PQ-Due Dates'!$M:$M,"&lt;="&amp;V_Detailed_Report!P$4)</f>
        <v>0</v>
      </c>
      <c r="Q147" s="157">
        <f>SUMIFS('PQ-Due Dates'!$L:$L,'PQ-Due Dates'!$A:$A,V_Detailed_Report!$C147,'PQ-Due Dates'!$M:$M,"&gt;="&amp;V_Detailed_Report!Q$3,'PQ-Due Dates'!$M:$M,"&lt;="&amp;V_Detailed_Report!Q$4)</f>
        <v>0</v>
      </c>
      <c r="R147" s="157">
        <f>SUMIFS('PQ-Due Dates'!$L:$L,'PQ-Due Dates'!$A:$A,V_Detailed_Report!$C147,'PQ-Due Dates'!$M:$M,"&gt;="&amp;V_Detailed_Report!R$3,'PQ-Due Dates'!$M:$M,"&lt;="&amp;V_Detailed_Report!R$4)</f>
        <v>0</v>
      </c>
      <c r="S147" s="157">
        <f>SUMIFS('PQ-Due Dates'!$L:$L,'PQ-Due Dates'!$A:$A,V_Detailed_Report!$C147,'PQ-Due Dates'!$M:$M,"&gt;="&amp;V_Detailed_Report!S$3,'PQ-Due Dates'!$M:$M,"&lt;="&amp;V_Detailed_Report!S$4)</f>
        <v>0</v>
      </c>
      <c r="T147" s="157">
        <f>SUMIFS('PQ-Due Dates'!$L:$L,'PQ-Due Dates'!$A:$A,V_Detailed_Report!$C147,'PQ-Due Dates'!$M:$M,"&gt;="&amp;V_Detailed_Report!T$3,'PQ-Due Dates'!$M:$M,"&lt;="&amp;V_Detailed_Report!T$4)</f>
        <v>0</v>
      </c>
      <c r="U147" s="157">
        <f t="shared" si="13"/>
        <v>0</v>
      </c>
      <c r="V147" s="157">
        <f t="shared" si="14"/>
        <v>500000</v>
      </c>
      <c r="W147" s="157">
        <f t="shared" si="15"/>
        <v>500000</v>
      </c>
    </row>
    <row r="148" spans="1:23" x14ac:dyDescent="0.25">
      <c r="A148" s="162" t="s">
        <v>152</v>
      </c>
      <c r="B148" s="162" t="s">
        <v>19</v>
      </c>
      <c r="C148" s="162" t="s">
        <v>526</v>
      </c>
      <c r="D148" s="162" t="str">
        <f>VLOOKUP(C148,'M_LC Summary'!A:F,6,0)</f>
        <v>SAB</v>
      </c>
      <c r="E148" s="162" t="str">
        <f>VLOOKUP(C148,'M_LC Summary'!A:C,3,0)</f>
        <v>NUKHBA ALETFA CO</v>
      </c>
      <c r="F148" s="157">
        <f>VLOOKUP(C148,'M_LC Summary'!A:K,11,0)</f>
        <v>500000</v>
      </c>
      <c r="G148" s="157">
        <f>VLOOKUP(C148,'M_LC Summary'!A:L,12,0)</f>
        <v>0</v>
      </c>
      <c r="H148" s="157">
        <f t="shared" si="12"/>
        <v>500000</v>
      </c>
      <c r="I148" s="157">
        <f>SUMIFS('PQ-Due Dates'!$L:$L,'PQ-Due Dates'!$A:$A,V_Detailed_Report!$C148,'PQ-Due Dates'!$M:$M,"&gt;="&amp;V_Detailed_Report!I$3,'PQ-Due Dates'!$M:$M,"&lt;="&amp;V_Detailed_Report!I$4)</f>
        <v>0</v>
      </c>
      <c r="J148" s="157">
        <f>SUMIFS('PQ-Due Dates'!$L:$L,'PQ-Due Dates'!$A:$A,V_Detailed_Report!$C148,'PQ-Due Dates'!$M:$M,"&gt;="&amp;V_Detailed_Report!J$3,'PQ-Due Dates'!$M:$M,"&lt;="&amp;V_Detailed_Report!J$4)</f>
        <v>0</v>
      </c>
      <c r="K148" s="157">
        <f>SUMIFS('PQ-Due Dates'!$L:$L,'PQ-Due Dates'!$A:$A,V_Detailed_Report!$C148,'PQ-Due Dates'!$M:$M,"&gt;="&amp;V_Detailed_Report!K$3,'PQ-Due Dates'!$M:$M,"&lt;="&amp;V_Detailed_Report!K$4)</f>
        <v>0</v>
      </c>
      <c r="L148" s="157">
        <f>SUMIFS('PQ-Due Dates'!$L:$L,'PQ-Due Dates'!$A:$A,V_Detailed_Report!$C148,'PQ-Due Dates'!$M:$M,"&gt;="&amp;V_Detailed_Report!L$3,'PQ-Due Dates'!$M:$M,"&lt;="&amp;V_Detailed_Report!L$4)</f>
        <v>0</v>
      </c>
      <c r="M148" s="157">
        <f>SUMIFS('PQ-Due Dates'!$L:$L,'PQ-Due Dates'!$A:$A,V_Detailed_Report!$C148,'PQ-Due Dates'!$M:$M,"&gt;="&amp;V_Detailed_Report!M$3,'PQ-Due Dates'!$M:$M,"&lt;="&amp;V_Detailed_Report!M$4)</f>
        <v>0</v>
      </c>
      <c r="N148" s="157">
        <f>SUMIFS('PQ-Due Dates'!$L:$L,'PQ-Due Dates'!$A:$A,V_Detailed_Report!$C148,'PQ-Due Dates'!$M:$M,"&gt;="&amp;V_Detailed_Report!N$3,'PQ-Due Dates'!$M:$M,"&lt;="&amp;V_Detailed_Report!N$4)</f>
        <v>0</v>
      </c>
      <c r="O148" s="157">
        <f>SUMIFS('PQ-Due Dates'!$L:$L,'PQ-Due Dates'!$A:$A,V_Detailed_Report!$C148,'PQ-Due Dates'!$M:$M,"&gt;="&amp;V_Detailed_Report!O$3,'PQ-Due Dates'!$M:$M,"&lt;="&amp;V_Detailed_Report!O$4)</f>
        <v>0</v>
      </c>
      <c r="P148" s="157">
        <f>SUMIFS('PQ-Due Dates'!$L:$L,'PQ-Due Dates'!$A:$A,V_Detailed_Report!$C148,'PQ-Due Dates'!$M:$M,"&gt;="&amp;V_Detailed_Report!P$3,'PQ-Due Dates'!$M:$M,"&lt;="&amp;V_Detailed_Report!P$4)</f>
        <v>0</v>
      </c>
      <c r="Q148" s="157">
        <f>SUMIFS('PQ-Due Dates'!$L:$L,'PQ-Due Dates'!$A:$A,V_Detailed_Report!$C148,'PQ-Due Dates'!$M:$M,"&gt;="&amp;V_Detailed_Report!Q$3,'PQ-Due Dates'!$M:$M,"&lt;="&amp;V_Detailed_Report!Q$4)</f>
        <v>0</v>
      </c>
      <c r="R148" s="157">
        <f>SUMIFS('PQ-Due Dates'!$L:$L,'PQ-Due Dates'!$A:$A,V_Detailed_Report!$C148,'PQ-Due Dates'!$M:$M,"&gt;="&amp;V_Detailed_Report!R$3,'PQ-Due Dates'!$M:$M,"&lt;="&amp;V_Detailed_Report!R$4)</f>
        <v>0</v>
      </c>
      <c r="S148" s="157">
        <f>SUMIFS('PQ-Due Dates'!$L:$L,'PQ-Due Dates'!$A:$A,V_Detailed_Report!$C148,'PQ-Due Dates'!$M:$M,"&gt;="&amp;V_Detailed_Report!S$3,'PQ-Due Dates'!$M:$M,"&lt;="&amp;V_Detailed_Report!S$4)</f>
        <v>0</v>
      </c>
      <c r="T148" s="157">
        <f>SUMIFS('PQ-Due Dates'!$L:$L,'PQ-Due Dates'!$A:$A,V_Detailed_Report!$C148,'PQ-Due Dates'!$M:$M,"&gt;="&amp;V_Detailed_Report!T$3,'PQ-Due Dates'!$M:$M,"&lt;="&amp;V_Detailed_Report!T$4)</f>
        <v>0</v>
      </c>
      <c r="U148" s="157">
        <f t="shared" si="13"/>
        <v>0</v>
      </c>
      <c r="V148" s="157">
        <f t="shared" si="14"/>
        <v>500000</v>
      </c>
      <c r="W148" s="157">
        <f t="shared" si="15"/>
        <v>500000</v>
      </c>
    </row>
    <row r="149" spans="1:23" x14ac:dyDescent="0.25">
      <c r="A149" s="162" t="s">
        <v>152</v>
      </c>
      <c r="B149" s="162" t="s">
        <v>19</v>
      </c>
      <c r="C149" s="162" t="s">
        <v>527</v>
      </c>
      <c r="D149" s="162" t="str">
        <f>VLOOKUP(C149,'M_LC Summary'!A:F,6,0)</f>
        <v>SAB</v>
      </c>
      <c r="E149" s="162" t="str">
        <f>VLOOKUP(C149,'M_LC Summary'!A:C,3,0)</f>
        <v>POWER CENTER COMPANY FOR INDUSTRIES LLC</v>
      </c>
      <c r="F149" s="157">
        <f>VLOOKUP(C149,'M_LC Summary'!A:K,11,0)</f>
        <v>500000</v>
      </c>
      <c r="G149" s="157">
        <f>VLOOKUP(C149,'M_LC Summary'!A:L,12,0)</f>
        <v>0</v>
      </c>
      <c r="H149" s="157">
        <f t="shared" si="12"/>
        <v>500000</v>
      </c>
      <c r="I149" s="157">
        <f>SUMIFS('PQ-Due Dates'!$L:$L,'PQ-Due Dates'!$A:$A,V_Detailed_Report!$C149,'PQ-Due Dates'!$M:$M,"&gt;="&amp;V_Detailed_Report!I$3,'PQ-Due Dates'!$M:$M,"&lt;="&amp;V_Detailed_Report!I$4)</f>
        <v>0</v>
      </c>
      <c r="J149" s="157">
        <f>SUMIFS('PQ-Due Dates'!$L:$L,'PQ-Due Dates'!$A:$A,V_Detailed_Report!$C149,'PQ-Due Dates'!$M:$M,"&gt;="&amp;V_Detailed_Report!J$3,'PQ-Due Dates'!$M:$M,"&lt;="&amp;V_Detailed_Report!J$4)</f>
        <v>0</v>
      </c>
      <c r="K149" s="157">
        <f>SUMIFS('PQ-Due Dates'!$L:$L,'PQ-Due Dates'!$A:$A,V_Detailed_Report!$C149,'PQ-Due Dates'!$M:$M,"&gt;="&amp;V_Detailed_Report!K$3,'PQ-Due Dates'!$M:$M,"&lt;="&amp;V_Detailed_Report!K$4)</f>
        <v>0</v>
      </c>
      <c r="L149" s="157">
        <f>SUMIFS('PQ-Due Dates'!$L:$L,'PQ-Due Dates'!$A:$A,V_Detailed_Report!$C149,'PQ-Due Dates'!$M:$M,"&gt;="&amp;V_Detailed_Report!L$3,'PQ-Due Dates'!$M:$M,"&lt;="&amp;V_Detailed_Report!L$4)</f>
        <v>0</v>
      </c>
      <c r="M149" s="157">
        <f>SUMIFS('PQ-Due Dates'!$L:$L,'PQ-Due Dates'!$A:$A,V_Detailed_Report!$C149,'PQ-Due Dates'!$M:$M,"&gt;="&amp;V_Detailed_Report!M$3,'PQ-Due Dates'!$M:$M,"&lt;="&amp;V_Detailed_Report!M$4)</f>
        <v>0</v>
      </c>
      <c r="N149" s="157">
        <f>SUMIFS('PQ-Due Dates'!$L:$L,'PQ-Due Dates'!$A:$A,V_Detailed_Report!$C149,'PQ-Due Dates'!$M:$M,"&gt;="&amp;V_Detailed_Report!N$3,'PQ-Due Dates'!$M:$M,"&lt;="&amp;V_Detailed_Report!N$4)</f>
        <v>0</v>
      </c>
      <c r="O149" s="157">
        <f>SUMIFS('PQ-Due Dates'!$L:$L,'PQ-Due Dates'!$A:$A,V_Detailed_Report!$C149,'PQ-Due Dates'!$M:$M,"&gt;="&amp;V_Detailed_Report!O$3,'PQ-Due Dates'!$M:$M,"&lt;="&amp;V_Detailed_Report!O$4)</f>
        <v>0</v>
      </c>
      <c r="P149" s="157">
        <f>SUMIFS('PQ-Due Dates'!$L:$L,'PQ-Due Dates'!$A:$A,V_Detailed_Report!$C149,'PQ-Due Dates'!$M:$M,"&gt;="&amp;V_Detailed_Report!P$3,'PQ-Due Dates'!$M:$M,"&lt;="&amp;V_Detailed_Report!P$4)</f>
        <v>0</v>
      </c>
      <c r="Q149" s="157">
        <f>SUMIFS('PQ-Due Dates'!$L:$L,'PQ-Due Dates'!$A:$A,V_Detailed_Report!$C149,'PQ-Due Dates'!$M:$M,"&gt;="&amp;V_Detailed_Report!Q$3,'PQ-Due Dates'!$M:$M,"&lt;="&amp;V_Detailed_Report!Q$4)</f>
        <v>0</v>
      </c>
      <c r="R149" s="157">
        <f>SUMIFS('PQ-Due Dates'!$L:$L,'PQ-Due Dates'!$A:$A,V_Detailed_Report!$C149,'PQ-Due Dates'!$M:$M,"&gt;="&amp;V_Detailed_Report!R$3,'PQ-Due Dates'!$M:$M,"&lt;="&amp;V_Detailed_Report!R$4)</f>
        <v>0</v>
      </c>
      <c r="S149" s="157">
        <f>SUMIFS('PQ-Due Dates'!$L:$L,'PQ-Due Dates'!$A:$A,V_Detailed_Report!$C149,'PQ-Due Dates'!$M:$M,"&gt;="&amp;V_Detailed_Report!S$3,'PQ-Due Dates'!$M:$M,"&lt;="&amp;V_Detailed_Report!S$4)</f>
        <v>0</v>
      </c>
      <c r="T149" s="157">
        <f>SUMIFS('PQ-Due Dates'!$L:$L,'PQ-Due Dates'!$A:$A,V_Detailed_Report!$C149,'PQ-Due Dates'!$M:$M,"&gt;="&amp;V_Detailed_Report!T$3,'PQ-Due Dates'!$M:$M,"&lt;="&amp;V_Detailed_Report!T$4)</f>
        <v>0</v>
      </c>
      <c r="U149" s="157">
        <f t="shared" si="13"/>
        <v>0</v>
      </c>
      <c r="V149" s="157">
        <f t="shared" si="14"/>
        <v>500000</v>
      </c>
      <c r="W149" s="157">
        <f t="shared" si="15"/>
        <v>500000</v>
      </c>
    </row>
    <row r="150" spans="1:23" x14ac:dyDescent="0.25">
      <c r="A150" s="162" t="s">
        <v>152</v>
      </c>
      <c r="B150" s="162" t="s">
        <v>19</v>
      </c>
      <c r="C150" s="162" t="s">
        <v>528</v>
      </c>
      <c r="D150" s="162" t="str">
        <f>VLOOKUP(C150,'M_LC Summary'!A:F,6,0)</f>
        <v>SAB</v>
      </c>
      <c r="E150" s="162" t="str">
        <f>VLOOKUP(C150,'M_LC Summary'!A:C,3,0)</f>
        <v>RAPID SAUDI ARABIA CO LIMITED.</v>
      </c>
      <c r="F150" s="157">
        <f>VLOOKUP(C150,'M_LC Summary'!A:K,11,0)</f>
        <v>190080.6</v>
      </c>
      <c r="G150" s="157">
        <f>VLOOKUP(C150,'M_LC Summary'!A:L,12,0)</f>
        <v>0</v>
      </c>
      <c r="H150" s="157">
        <f t="shared" ref="H150:H182" si="16">F150-G150</f>
        <v>190080.6</v>
      </c>
      <c r="I150" s="157">
        <f>SUMIFS('PQ-Due Dates'!$L:$L,'PQ-Due Dates'!$A:$A,V_Detailed_Report!$C150,'PQ-Due Dates'!$M:$M,"&gt;="&amp;V_Detailed_Report!I$3,'PQ-Due Dates'!$M:$M,"&lt;="&amp;V_Detailed_Report!I$4)</f>
        <v>0</v>
      </c>
      <c r="J150" s="157">
        <f>SUMIFS('PQ-Due Dates'!$L:$L,'PQ-Due Dates'!$A:$A,V_Detailed_Report!$C150,'PQ-Due Dates'!$M:$M,"&gt;="&amp;V_Detailed_Report!J$3,'PQ-Due Dates'!$M:$M,"&lt;="&amp;V_Detailed_Report!J$4)</f>
        <v>0</v>
      </c>
      <c r="K150" s="157">
        <f>SUMIFS('PQ-Due Dates'!$L:$L,'PQ-Due Dates'!$A:$A,V_Detailed_Report!$C150,'PQ-Due Dates'!$M:$M,"&gt;="&amp;V_Detailed_Report!K$3,'PQ-Due Dates'!$M:$M,"&lt;="&amp;V_Detailed_Report!K$4)</f>
        <v>0</v>
      </c>
      <c r="L150" s="157">
        <f>SUMIFS('PQ-Due Dates'!$L:$L,'PQ-Due Dates'!$A:$A,V_Detailed_Report!$C150,'PQ-Due Dates'!$M:$M,"&gt;="&amp;V_Detailed_Report!L$3,'PQ-Due Dates'!$M:$M,"&lt;="&amp;V_Detailed_Report!L$4)</f>
        <v>0</v>
      </c>
      <c r="M150" s="157">
        <f>SUMIFS('PQ-Due Dates'!$L:$L,'PQ-Due Dates'!$A:$A,V_Detailed_Report!$C150,'PQ-Due Dates'!$M:$M,"&gt;="&amp;V_Detailed_Report!M$3,'PQ-Due Dates'!$M:$M,"&lt;="&amp;V_Detailed_Report!M$4)</f>
        <v>0</v>
      </c>
      <c r="N150" s="157">
        <f>SUMIFS('PQ-Due Dates'!$L:$L,'PQ-Due Dates'!$A:$A,V_Detailed_Report!$C150,'PQ-Due Dates'!$M:$M,"&gt;="&amp;V_Detailed_Report!N$3,'PQ-Due Dates'!$M:$M,"&lt;="&amp;V_Detailed_Report!N$4)</f>
        <v>0</v>
      </c>
      <c r="O150" s="157">
        <f>SUMIFS('PQ-Due Dates'!$L:$L,'PQ-Due Dates'!$A:$A,V_Detailed_Report!$C150,'PQ-Due Dates'!$M:$M,"&gt;="&amp;V_Detailed_Report!O$3,'PQ-Due Dates'!$M:$M,"&lt;="&amp;V_Detailed_Report!O$4)</f>
        <v>0</v>
      </c>
      <c r="P150" s="157">
        <f>SUMIFS('PQ-Due Dates'!$L:$L,'PQ-Due Dates'!$A:$A,V_Detailed_Report!$C150,'PQ-Due Dates'!$M:$M,"&gt;="&amp;V_Detailed_Report!P$3,'PQ-Due Dates'!$M:$M,"&lt;="&amp;V_Detailed_Report!P$4)</f>
        <v>0</v>
      </c>
      <c r="Q150" s="157">
        <f>SUMIFS('PQ-Due Dates'!$L:$L,'PQ-Due Dates'!$A:$A,V_Detailed_Report!$C150,'PQ-Due Dates'!$M:$M,"&gt;="&amp;V_Detailed_Report!Q$3,'PQ-Due Dates'!$M:$M,"&lt;="&amp;V_Detailed_Report!Q$4)</f>
        <v>0</v>
      </c>
      <c r="R150" s="157">
        <f>SUMIFS('PQ-Due Dates'!$L:$L,'PQ-Due Dates'!$A:$A,V_Detailed_Report!$C150,'PQ-Due Dates'!$M:$M,"&gt;="&amp;V_Detailed_Report!R$3,'PQ-Due Dates'!$M:$M,"&lt;="&amp;V_Detailed_Report!R$4)</f>
        <v>0</v>
      </c>
      <c r="S150" s="157">
        <f>SUMIFS('PQ-Due Dates'!$L:$L,'PQ-Due Dates'!$A:$A,V_Detailed_Report!$C150,'PQ-Due Dates'!$M:$M,"&gt;="&amp;V_Detailed_Report!S$3,'PQ-Due Dates'!$M:$M,"&lt;="&amp;V_Detailed_Report!S$4)</f>
        <v>0</v>
      </c>
      <c r="T150" s="157">
        <f>SUMIFS('PQ-Due Dates'!$L:$L,'PQ-Due Dates'!$A:$A,V_Detailed_Report!$C150,'PQ-Due Dates'!$M:$M,"&gt;="&amp;V_Detailed_Report!T$3,'PQ-Due Dates'!$M:$M,"&lt;="&amp;V_Detailed_Report!T$4)</f>
        <v>0</v>
      </c>
      <c r="U150" s="157">
        <f t="shared" ref="U150:U182" si="17">SUM(I150:T150)</f>
        <v>0</v>
      </c>
      <c r="V150" s="157">
        <f t="shared" ref="V150:V182" si="18">H150-U150</f>
        <v>190080.6</v>
      </c>
      <c r="W150" s="157">
        <f t="shared" ref="W150:W182" si="19">U150+V150</f>
        <v>190080.6</v>
      </c>
    </row>
    <row r="151" spans="1:23" x14ac:dyDescent="0.25">
      <c r="A151" s="162" t="s">
        <v>152</v>
      </c>
      <c r="B151" s="162" t="s">
        <v>19</v>
      </c>
      <c r="C151" s="162" t="s">
        <v>529</v>
      </c>
      <c r="D151" s="162" t="str">
        <f>VLOOKUP(C151,'M_LC Summary'!A:F,6,0)</f>
        <v>SAB</v>
      </c>
      <c r="E151" s="162" t="str">
        <f>VLOOKUP(C151,'M_LC Summary'!A:C,3,0)</f>
        <v>RAWADF INTERNATIONAL CO.</v>
      </c>
      <c r="F151" s="157">
        <f>VLOOKUP(C151,'M_LC Summary'!A:K,11,0)</f>
        <v>200000</v>
      </c>
      <c r="G151" s="157">
        <f>VLOOKUP(C151,'M_LC Summary'!A:L,12,0)</f>
        <v>0</v>
      </c>
      <c r="H151" s="157">
        <f t="shared" si="16"/>
        <v>200000</v>
      </c>
      <c r="I151" s="157">
        <f>SUMIFS('PQ-Due Dates'!$L:$L,'PQ-Due Dates'!$A:$A,V_Detailed_Report!$C151,'PQ-Due Dates'!$M:$M,"&gt;="&amp;V_Detailed_Report!I$3,'PQ-Due Dates'!$M:$M,"&lt;="&amp;V_Detailed_Report!I$4)</f>
        <v>0</v>
      </c>
      <c r="J151" s="157">
        <f>SUMIFS('PQ-Due Dates'!$L:$L,'PQ-Due Dates'!$A:$A,V_Detailed_Report!$C151,'PQ-Due Dates'!$M:$M,"&gt;="&amp;V_Detailed_Report!J$3,'PQ-Due Dates'!$M:$M,"&lt;="&amp;V_Detailed_Report!J$4)</f>
        <v>0</v>
      </c>
      <c r="K151" s="157">
        <f>SUMIFS('PQ-Due Dates'!$L:$L,'PQ-Due Dates'!$A:$A,V_Detailed_Report!$C151,'PQ-Due Dates'!$M:$M,"&gt;="&amp;V_Detailed_Report!K$3,'PQ-Due Dates'!$M:$M,"&lt;="&amp;V_Detailed_Report!K$4)</f>
        <v>0</v>
      </c>
      <c r="L151" s="157">
        <f>SUMIFS('PQ-Due Dates'!$L:$L,'PQ-Due Dates'!$A:$A,V_Detailed_Report!$C151,'PQ-Due Dates'!$M:$M,"&gt;="&amp;V_Detailed_Report!L$3,'PQ-Due Dates'!$M:$M,"&lt;="&amp;V_Detailed_Report!L$4)</f>
        <v>0</v>
      </c>
      <c r="M151" s="157">
        <f>SUMIFS('PQ-Due Dates'!$L:$L,'PQ-Due Dates'!$A:$A,V_Detailed_Report!$C151,'PQ-Due Dates'!$M:$M,"&gt;="&amp;V_Detailed_Report!M$3,'PQ-Due Dates'!$M:$M,"&lt;="&amp;V_Detailed_Report!M$4)</f>
        <v>0</v>
      </c>
      <c r="N151" s="157">
        <f>SUMIFS('PQ-Due Dates'!$L:$L,'PQ-Due Dates'!$A:$A,V_Detailed_Report!$C151,'PQ-Due Dates'!$M:$M,"&gt;="&amp;V_Detailed_Report!N$3,'PQ-Due Dates'!$M:$M,"&lt;="&amp;V_Detailed_Report!N$4)</f>
        <v>0</v>
      </c>
      <c r="O151" s="157">
        <f>SUMIFS('PQ-Due Dates'!$L:$L,'PQ-Due Dates'!$A:$A,V_Detailed_Report!$C151,'PQ-Due Dates'!$M:$M,"&gt;="&amp;V_Detailed_Report!O$3,'PQ-Due Dates'!$M:$M,"&lt;="&amp;V_Detailed_Report!O$4)</f>
        <v>0</v>
      </c>
      <c r="P151" s="157">
        <f>SUMIFS('PQ-Due Dates'!$L:$L,'PQ-Due Dates'!$A:$A,V_Detailed_Report!$C151,'PQ-Due Dates'!$M:$M,"&gt;="&amp;V_Detailed_Report!P$3,'PQ-Due Dates'!$M:$M,"&lt;="&amp;V_Detailed_Report!P$4)</f>
        <v>0</v>
      </c>
      <c r="Q151" s="157">
        <f>SUMIFS('PQ-Due Dates'!$L:$L,'PQ-Due Dates'!$A:$A,V_Detailed_Report!$C151,'PQ-Due Dates'!$M:$M,"&gt;="&amp;V_Detailed_Report!Q$3,'PQ-Due Dates'!$M:$M,"&lt;="&amp;V_Detailed_Report!Q$4)</f>
        <v>0</v>
      </c>
      <c r="R151" s="157">
        <f>SUMIFS('PQ-Due Dates'!$L:$L,'PQ-Due Dates'!$A:$A,V_Detailed_Report!$C151,'PQ-Due Dates'!$M:$M,"&gt;="&amp;V_Detailed_Report!R$3,'PQ-Due Dates'!$M:$M,"&lt;="&amp;V_Detailed_Report!R$4)</f>
        <v>0</v>
      </c>
      <c r="S151" s="157">
        <f>SUMIFS('PQ-Due Dates'!$L:$L,'PQ-Due Dates'!$A:$A,V_Detailed_Report!$C151,'PQ-Due Dates'!$M:$M,"&gt;="&amp;V_Detailed_Report!S$3,'PQ-Due Dates'!$M:$M,"&lt;="&amp;V_Detailed_Report!S$4)</f>
        <v>0</v>
      </c>
      <c r="T151" s="157">
        <f>SUMIFS('PQ-Due Dates'!$L:$L,'PQ-Due Dates'!$A:$A,V_Detailed_Report!$C151,'PQ-Due Dates'!$M:$M,"&gt;="&amp;V_Detailed_Report!T$3,'PQ-Due Dates'!$M:$M,"&lt;="&amp;V_Detailed_Report!T$4)</f>
        <v>0</v>
      </c>
      <c r="U151" s="157">
        <f t="shared" si="17"/>
        <v>0</v>
      </c>
      <c r="V151" s="157">
        <f t="shared" si="18"/>
        <v>200000</v>
      </c>
      <c r="W151" s="157">
        <f t="shared" si="19"/>
        <v>200000</v>
      </c>
    </row>
    <row r="152" spans="1:23" x14ac:dyDescent="0.25">
      <c r="A152" s="162" t="s">
        <v>152</v>
      </c>
      <c r="B152" s="162" t="s">
        <v>19</v>
      </c>
      <c r="C152" s="162" t="s">
        <v>530</v>
      </c>
      <c r="D152" s="162" t="str">
        <f>VLOOKUP(C152,'M_LC Summary'!A:F,6,0)</f>
        <v>SAB</v>
      </c>
      <c r="E152" s="162" t="str">
        <f>VLOOKUP(C152,'M_LC Summary'!A:C,3,0)</f>
        <v>SAUDI ELECTRIC SUPPLY COMPANY.</v>
      </c>
      <c r="F152" s="157">
        <f>VLOOKUP(C152,'M_LC Summary'!A:K,11,0)</f>
        <v>500000</v>
      </c>
      <c r="G152" s="157">
        <f>VLOOKUP(C152,'M_LC Summary'!A:L,12,0)</f>
        <v>0</v>
      </c>
      <c r="H152" s="157">
        <f t="shared" si="16"/>
        <v>500000</v>
      </c>
      <c r="I152" s="157">
        <f>SUMIFS('PQ-Due Dates'!$L:$L,'PQ-Due Dates'!$A:$A,V_Detailed_Report!$C152,'PQ-Due Dates'!$M:$M,"&gt;="&amp;V_Detailed_Report!I$3,'PQ-Due Dates'!$M:$M,"&lt;="&amp;V_Detailed_Report!I$4)</f>
        <v>0</v>
      </c>
      <c r="J152" s="157">
        <f>SUMIFS('PQ-Due Dates'!$L:$L,'PQ-Due Dates'!$A:$A,V_Detailed_Report!$C152,'PQ-Due Dates'!$M:$M,"&gt;="&amp;V_Detailed_Report!J$3,'PQ-Due Dates'!$M:$M,"&lt;="&amp;V_Detailed_Report!J$4)</f>
        <v>0</v>
      </c>
      <c r="K152" s="157">
        <f>SUMIFS('PQ-Due Dates'!$L:$L,'PQ-Due Dates'!$A:$A,V_Detailed_Report!$C152,'PQ-Due Dates'!$M:$M,"&gt;="&amp;V_Detailed_Report!K$3,'PQ-Due Dates'!$M:$M,"&lt;="&amp;V_Detailed_Report!K$4)</f>
        <v>0</v>
      </c>
      <c r="L152" s="157">
        <f>SUMIFS('PQ-Due Dates'!$L:$L,'PQ-Due Dates'!$A:$A,V_Detailed_Report!$C152,'PQ-Due Dates'!$M:$M,"&gt;="&amp;V_Detailed_Report!L$3,'PQ-Due Dates'!$M:$M,"&lt;="&amp;V_Detailed_Report!L$4)</f>
        <v>0</v>
      </c>
      <c r="M152" s="157">
        <f>SUMIFS('PQ-Due Dates'!$L:$L,'PQ-Due Dates'!$A:$A,V_Detailed_Report!$C152,'PQ-Due Dates'!$M:$M,"&gt;="&amp;V_Detailed_Report!M$3,'PQ-Due Dates'!$M:$M,"&lt;="&amp;V_Detailed_Report!M$4)</f>
        <v>0</v>
      </c>
      <c r="N152" s="157">
        <f>SUMIFS('PQ-Due Dates'!$L:$L,'PQ-Due Dates'!$A:$A,V_Detailed_Report!$C152,'PQ-Due Dates'!$M:$M,"&gt;="&amp;V_Detailed_Report!N$3,'PQ-Due Dates'!$M:$M,"&lt;="&amp;V_Detailed_Report!N$4)</f>
        <v>0</v>
      </c>
      <c r="O152" s="157">
        <f>SUMIFS('PQ-Due Dates'!$L:$L,'PQ-Due Dates'!$A:$A,V_Detailed_Report!$C152,'PQ-Due Dates'!$M:$M,"&gt;="&amp;V_Detailed_Report!O$3,'PQ-Due Dates'!$M:$M,"&lt;="&amp;V_Detailed_Report!O$4)</f>
        <v>0</v>
      </c>
      <c r="P152" s="157">
        <f>SUMIFS('PQ-Due Dates'!$L:$L,'PQ-Due Dates'!$A:$A,V_Detailed_Report!$C152,'PQ-Due Dates'!$M:$M,"&gt;="&amp;V_Detailed_Report!P$3,'PQ-Due Dates'!$M:$M,"&lt;="&amp;V_Detailed_Report!P$4)</f>
        <v>0</v>
      </c>
      <c r="Q152" s="157">
        <f>SUMIFS('PQ-Due Dates'!$L:$L,'PQ-Due Dates'!$A:$A,V_Detailed_Report!$C152,'PQ-Due Dates'!$M:$M,"&gt;="&amp;V_Detailed_Report!Q$3,'PQ-Due Dates'!$M:$M,"&lt;="&amp;V_Detailed_Report!Q$4)</f>
        <v>0</v>
      </c>
      <c r="R152" s="157">
        <f>SUMIFS('PQ-Due Dates'!$L:$L,'PQ-Due Dates'!$A:$A,V_Detailed_Report!$C152,'PQ-Due Dates'!$M:$M,"&gt;="&amp;V_Detailed_Report!R$3,'PQ-Due Dates'!$M:$M,"&lt;="&amp;V_Detailed_Report!R$4)</f>
        <v>0</v>
      </c>
      <c r="S152" s="157">
        <f>SUMIFS('PQ-Due Dates'!$L:$L,'PQ-Due Dates'!$A:$A,V_Detailed_Report!$C152,'PQ-Due Dates'!$M:$M,"&gt;="&amp;V_Detailed_Report!S$3,'PQ-Due Dates'!$M:$M,"&lt;="&amp;V_Detailed_Report!S$4)</f>
        <v>0</v>
      </c>
      <c r="T152" s="157">
        <f>SUMIFS('PQ-Due Dates'!$L:$L,'PQ-Due Dates'!$A:$A,V_Detailed_Report!$C152,'PQ-Due Dates'!$M:$M,"&gt;="&amp;V_Detailed_Report!T$3,'PQ-Due Dates'!$M:$M,"&lt;="&amp;V_Detailed_Report!T$4)</f>
        <v>0</v>
      </c>
      <c r="U152" s="157">
        <f t="shared" si="17"/>
        <v>0</v>
      </c>
      <c r="V152" s="157">
        <f t="shared" si="18"/>
        <v>500000</v>
      </c>
      <c r="W152" s="157">
        <f t="shared" si="19"/>
        <v>500000</v>
      </c>
    </row>
    <row r="153" spans="1:23" x14ac:dyDescent="0.25">
      <c r="A153" s="162" t="s">
        <v>152</v>
      </c>
      <c r="B153" s="162" t="s">
        <v>19</v>
      </c>
      <c r="C153" s="162" t="s">
        <v>532</v>
      </c>
      <c r="D153" s="162" t="str">
        <f>VLOOKUP(C153,'M_LC Summary'!A:F,6,0)</f>
        <v>SAB</v>
      </c>
      <c r="E153" s="162" t="str">
        <f>VLOOKUP(C153,'M_LC Summary'!A:C,3,0)</f>
        <v>SPECTRA INTERNATIONAL TRADING COMPANY</v>
      </c>
      <c r="F153" s="157">
        <f>VLOOKUP(C153,'M_LC Summary'!A:K,11,0)</f>
        <v>250000</v>
      </c>
      <c r="G153" s="157">
        <f>VLOOKUP(C153,'M_LC Summary'!A:L,12,0)</f>
        <v>0</v>
      </c>
      <c r="H153" s="157">
        <f t="shared" si="16"/>
        <v>250000</v>
      </c>
      <c r="I153" s="157">
        <f>SUMIFS('PQ-Due Dates'!$L:$L,'PQ-Due Dates'!$A:$A,V_Detailed_Report!$C153,'PQ-Due Dates'!$M:$M,"&gt;="&amp;V_Detailed_Report!I$3,'PQ-Due Dates'!$M:$M,"&lt;="&amp;V_Detailed_Report!I$4)</f>
        <v>0</v>
      </c>
      <c r="J153" s="157">
        <f>SUMIFS('PQ-Due Dates'!$L:$L,'PQ-Due Dates'!$A:$A,V_Detailed_Report!$C153,'PQ-Due Dates'!$M:$M,"&gt;="&amp;V_Detailed_Report!J$3,'PQ-Due Dates'!$M:$M,"&lt;="&amp;V_Detailed_Report!J$4)</f>
        <v>0</v>
      </c>
      <c r="K153" s="157">
        <f>SUMIFS('PQ-Due Dates'!$L:$L,'PQ-Due Dates'!$A:$A,V_Detailed_Report!$C153,'PQ-Due Dates'!$M:$M,"&gt;="&amp;V_Detailed_Report!K$3,'PQ-Due Dates'!$M:$M,"&lt;="&amp;V_Detailed_Report!K$4)</f>
        <v>0</v>
      </c>
      <c r="L153" s="157">
        <f>SUMIFS('PQ-Due Dates'!$L:$L,'PQ-Due Dates'!$A:$A,V_Detailed_Report!$C153,'PQ-Due Dates'!$M:$M,"&gt;="&amp;V_Detailed_Report!L$3,'PQ-Due Dates'!$M:$M,"&lt;="&amp;V_Detailed_Report!L$4)</f>
        <v>0</v>
      </c>
      <c r="M153" s="157">
        <f>SUMIFS('PQ-Due Dates'!$L:$L,'PQ-Due Dates'!$A:$A,V_Detailed_Report!$C153,'PQ-Due Dates'!$M:$M,"&gt;="&amp;V_Detailed_Report!M$3,'PQ-Due Dates'!$M:$M,"&lt;="&amp;V_Detailed_Report!M$4)</f>
        <v>0</v>
      </c>
      <c r="N153" s="157">
        <f>SUMIFS('PQ-Due Dates'!$L:$L,'PQ-Due Dates'!$A:$A,V_Detailed_Report!$C153,'PQ-Due Dates'!$M:$M,"&gt;="&amp;V_Detailed_Report!N$3,'PQ-Due Dates'!$M:$M,"&lt;="&amp;V_Detailed_Report!N$4)</f>
        <v>0</v>
      </c>
      <c r="O153" s="157">
        <f>SUMIFS('PQ-Due Dates'!$L:$L,'PQ-Due Dates'!$A:$A,V_Detailed_Report!$C153,'PQ-Due Dates'!$M:$M,"&gt;="&amp;V_Detailed_Report!O$3,'PQ-Due Dates'!$M:$M,"&lt;="&amp;V_Detailed_Report!O$4)</f>
        <v>0</v>
      </c>
      <c r="P153" s="157">
        <f>SUMIFS('PQ-Due Dates'!$L:$L,'PQ-Due Dates'!$A:$A,V_Detailed_Report!$C153,'PQ-Due Dates'!$M:$M,"&gt;="&amp;V_Detailed_Report!P$3,'PQ-Due Dates'!$M:$M,"&lt;="&amp;V_Detailed_Report!P$4)</f>
        <v>0</v>
      </c>
      <c r="Q153" s="157">
        <f>SUMIFS('PQ-Due Dates'!$L:$L,'PQ-Due Dates'!$A:$A,V_Detailed_Report!$C153,'PQ-Due Dates'!$M:$M,"&gt;="&amp;V_Detailed_Report!Q$3,'PQ-Due Dates'!$M:$M,"&lt;="&amp;V_Detailed_Report!Q$4)</f>
        <v>0</v>
      </c>
      <c r="R153" s="157">
        <f>SUMIFS('PQ-Due Dates'!$L:$L,'PQ-Due Dates'!$A:$A,V_Detailed_Report!$C153,'PQ-Due Dates'!$M:$M,"&gt;="&amp;V_Detailed_Report!R$3,'PQ-Due Dates'!$M:$M,"&lt;="&amp;V_Detailed_Report!R$4)</f>
        <v>0</v>
      </c>
      <c r="S153" s="157">
        <f>SUMIFS('PQ-Due Dates'!$L:$L,'PQ-Due Dates'!$A:$A,V_Detailed_Report!$C153,'PQ-Due Dates'!$M:$M,"&gt;="&amp;V_Detailed_Report!S$3,'PQ-Due Dates'!$M:$M,"&lt;="&amp;V_Detailed_Report!S$4)</f>
        <v>0</v>
      </c>
      <c r="T153" s="157">
        <f>SUMIFS('PQ-Due Dates'!$L:$L,'PQ-Due Dates'!$A:$A,V_Detailed_Report!$C153,'PQ-Due Dates'!$M:$M,"&gt;="&amp;V_Detailed_Report!T$3,'PQ-Due Dates'!$M:$M,"&lt;="&amp;V_Detailed_Report!T$4)</f>
        <v>0</v>
      </c>
      <c r="U153" s="157">
        <f t="shared" si="17"/>
        <v>0</v>
      </c>
      <c r="V153" s="157">
        <f t="shared" si="18"/>
        <v>250000</v>
      </c>
      <c r="W153" s="157">
        <f t="shared" si="19"/>
        <v>250000</v>
      </c>
    </row>
    <row r="154" spans="1:23" x14ac:dyDescent="0.25">
      <c r="A154" s="162" t="s">
        <v>152</v>
      </c>
      <c r="B154" s="162" t="s">
        <v>19</v>
      </c>
      <c r="C154" s="162" t="s">
        <v>533</v>
      </c>
      <c r="D154" s="162" t="str">
        <f>VLOOKUP(C154,'M_LC Summary'!A:F,6,0)</f>
        <v>SAB</v>
      </c>
      <c r="E154" s="162" t="str">
        <f>VLOOKUP(C154,'M_LC Summary'!A:C,3,0)</f>
        <v>Systemair For Electrical Equipment Co.</v>
      </c>
      <c r="F154" s="157">
        <f>VLOOKUP(C154,'M_LC Summary'!A:K,11,0)</f>
        <v>300000</v>
      </c>
      <c r="G154" s="157">
        <f>VLOOKUP(C154,'M_LC Summary'!A:L,12,0)</f>
        <v>0</v>
      </c>
      <c r="H154" s="157">
        <f t="shared" si="16"/>
        <v>300000</v>
      </c>
      <c r="I154" s="157">
        <f>SUMIFS('PQ-Due Dates'!$L:$L,'PQ-Due Dates'!$A:$A,V_Detailed_Report!$C154,'PQ-Due Dates'!$M:$M,"&gt;="&amp;V_Detailed_Report!I$3,'PQ-Due Dates'!$M:$M,"&lt;="&amp;V_Detailed_Report!I$4)</f>
        <v>0</v>
      </c>
      <c r="J154" s="157">
        <f>SUMIFS('PQ-Due Dates'!$L:$L,'PQ-Due Dates'!$A:$A,V_Detailed_Report!$C154,'PQ-Due Dates'!$M:$M,"&gt;="&amp;V_Detailed_Report!J$3,'PQ-Due Dates'!$M:$M,"&lt;="&amp;V_Detailed_Report!J$4)</f>
        <v>0</v>
      </c>
      <c r="K154" s="157">
        <f>SUMIFS('PQ-Due Dates'!$L:$L,'PQ-Due Dates'!$A:$A,V_Detailed_Report!$C154,'PQ-Due Dates'!$M:$M,"&gt;="&amp;V_Detailed_Report!K$3,'PQ-Due Dates'!$M:$M,"&lt;="&amp;V_Detailed_Report!K$4)</f>
        <v>0</v>
      </c>
      <c r="L154" s="157">
        <f>SUMIFS('PQ-Due Dates'!$L:$L,'PQ-Due Dates'!$A:$A,V_Detailed_Report!$C154,'PQ-Due Dates'!$M:$M,"&gt;="&amp;V_Detailed_Report!L$3,'PQ-Due Dates'!$M:$M,"&lt;="&amp;V_Detailed_Report!L$4)</f>
        <v>0</v>
      </c>
      <c r="M154" s="157">
        <f>SUMIFS('PQ-Due Dates'!$L:$L,'PQ-Due Dates'!$A:$A,V_Detailed_Report!$C154,'PQ-Due Dates'!$M:$M,"&gt;="&amp;V_Detailed_Report!M$3,'PQ-Due Dates'!$M:$M,"&lt;="&amp;V_Detailed_Report!M$4)</f>
        <v>0</v>
      </c>
      <c r="N154" s="157">
        <f>SUMIFS('PQ-Due Dates'!$L:$L,'PQ-Due Dates'!$A:$A,V_Detailed_Report!$C154,'PQ-Due Dates'!$M:$M,"&gt;="&amp;V_Detailed_Report!N$3,'PQ-Due Dates'!$M:$M,"&lt;="&amp;V_Detailed_Report!N$4)</f>
        <v>0</v>
      </c>
      <c r="O154" s="157">
        <f>SUMIFS('PQ-Due Dates'!$L:$L,'PQ-Due Dates'!$A:$A,V_Detailed_Report!$C154,'PQ-Due Dates'!$M:$M,"&gt;="&amp;V_Detailed_Report!O$3,'PQ-Due Dates'!$M:$M,"&lt;="&amp;V_Detailed_Report!O$4)</f>
        <v>0</v>
      </c>
      <c r="P154" s="157">
        <f>SUMIFS('PQ-Due Dates'!$L:$L,'PQ-Due Dates'!$A:$A,V_Detailed_Report!$C154,'PQ-Due Dates'!$M:$M,"&gt;="&amp;V_Detailed_Report!P$3,'PQ-Due Dates'!$M:$M,"&lt;="&amp;V_Detailed_Report!P$4)</f>
        <v>0</v>
      </c>
      <c r="Q154" s="157">
        <f>SUMIFS('PQ-Due Dates'!$L:$L,'PQ-Due Dates'!$A:$A,V_Detailed_Report!$C154,'PQ-Due Dates'!$M:$M,"&gt;="&amp;V_Detailed_Report!Q$3,'PQ-Due Dates'!$M:$M,"&lt;="&amp;V_Detailed_Report!Q$4)</f>
        <v>0</v>
      </c>
      <c r="R154" s="157">
        <f>SUMIFS('PQ-Due Dates'!$L:$L,'PQ-Due Dates'!$A:$A,V_Detailed_Report!$C154,'PQ-Due Dates'!$M:$M,"&gt;="&amp;V_Detailed_Report!R$3,'PQ-Due Dates'!$M:$M,"&lt;="&amp;V_Detailed_Report!R$4)</f>
        <v>0</v>
      </c>
      <c r="S154" s="157">
        <f>SUMIFS('PQ-Due Dates'!$L:$L,'PQ-Due Dates'!$A:$A,V_Detailed_Report!$C154,'PQ-Due Dates'!$M:$M,"&gt;="&amp;V_Detailed_Report!S$3,'PQ-Due Dates'!$M:$M,"&lt;="&amp;V_Detailed_Report!S$4)</f>
        <v>0</v>
      </c>
      <c r="T154" s="157">
        <f>SUMIFS('PQ-Due Dates'!$L:$L,'PQ-Due Dates'!$A:$A,V_Detailed_Report!$C154,'PQ-Due Dates'!$M:$M,"&gt;="&amp;V_Detailed_Report!T$3,'PQ-Due Dates'!$M:$M,"&lt;="&amp;V_Detailed_Report!T$4)</f>
        <v>0</v>
      </c>
      <c r="U154" s="157">
        <f t="shared" si="17"/>
        <v>0</v>
      </c>
      <c r="V154" s="157">
        <f t="shared" si="18"/>
        <v>300000</v>
      </c>
      <c r="W154" s="157">
        <f t="shared" si="19"/>
        <v>300000</v>
      </c>
    </row>
    <row r="155" spans="1:23" x14ac:dyDescent="0.25">
      <c r="A155" s="162" t="s">
        <v>152</v>
      </c>
      <c r="B155" s="162" t="s">
        <v>19</v>
      </c>
      <c r="C155" s="162" t="s">
        <v>534</v>
      </c>
      <c r="D155" s="162" t="str">
        <f>VLOOKUP(C155,'M_LC Summary'!A:F,6,0)</f>
        <v>SAB</v>
      </c>
      <c r="E155" s="162" t="str">
        <f>VLOOKUP(C155,'M_LC Summary'!A:C,3,0)</f>
        <v>TECHNICAL TOOLS TRADING CO.</v>
      </c>
      <c r="F155" s="157">
        <f>VLOOKUP(C155,'M_LC Summary'!A:K,11,0)</f>
        <v>200000</v>
      </c>
      <c r="G155" s="157">
        <f>VLOOKUP(C155,'M_LC Summary'!A:L,12,0)</f>
        <v>0</v>
      </c>
      <c r="H155" s="157">
        <f t="shared" si="16"/>
        <v>200000</v>
      </c>
      <c r="I155" s="157">
        <f>SUMIFS('PQ-Due Dates'!$L:$L,'PQ-Due Dates'!$A:$A,V_Detailed_Report!$C155,'PQ-Due Dates'!$M:$M,"&gt;="&amp;V_Detailed_Report!I$3,'PQ-Due Dates'!$M:$M,"&lt;="&amp;V_Detailed_Report!I$4)</f>
        <v>0</v>
      </c>
      <c r="J155" s="157">
        <f>SUMIFS('PQ-Due Dates'!$L:$L,'PQ-Due Dates'!$A:$A,V_Detailed_Report!$C155,'PQ-Due Dates'!$M:$M,"&gt;="&amp;V_Detailed_Report!J$3,'PQ-Due Dates'!$M:$M,"&lt;="&amp;V_Detailed_Report!J$4)</f>
        <v>0</v>
      </c>
      <c r="K155" s="157">
        <f>SUMIFS('PQ-Due Dates'!$L:$L,'PQ-Due Dates'!$A:$A,V_Detailed_Report!$C155,'PQ-Due Dates'!$M:$M,"&gt;="&amp;V_Detailed_Report!K$3,'PQ-Due Dates'!$M:$M,"&lt;="&amp;V_Detailed_Report!K$4)</f>
        <v>0</v>
      </c>
      <c r="L155" s="157">
        <f>SUMIFS('PQ-Due Dates'!$L:$L,'PQ-Due Dates'!$A:$A,V_Detailed_Report!$C155,'PQ-Due Dates'!$M:$M,"&gt;="&amp;V_Detailed_Report!L$3,'PQ-Due Dates'!$M:$M,"&lt;="&amp;V_Detailed_Report!L$4)</f>
        <v>0</v>
      </c>
      <c r="M155" s="157">
        <f>SUMIFS('PQ-Due Dates'!$L:$L,'PQ-Due Dates'!$A:$A,V_Detailed_Report!$C155,'PQ-Due Dates'!$M:$M,"&gt;="&amp;V_Detailed_Report!M$3,'PQ-Due Dates'!$M:$M,"&lt;="&amp;V_Detailed_Report!M$4)</f>
        <v>0</v>
      </c>
      <c r="N155" s="157">
        <f>SUMIFS('PQ-Due Dates'!$L:$L,'PQ-Due Dates'!$A:$A,V_Detailed_Report!$C155,'PQ-Due Dates'!$M:$M,"&gt;="&amp;V_Detailed_Report!N$3,'PQ-Due Dates'!$M:$M,"&lt;="&amp;V_Detailed_Report!N$4)</f>
        <v>0</v>
      </c>
      <c r="O155" s="157">
        <f>SUMIFS('PQ-Due Dates'!$L:$L,'PQ-Due Dates'!$A:$A,V_Detailed_Report!$C155,'PQ-Due Dates'!$M:$M,"&gt;="&amp;V_Detailed_Report!O$3,'PQ-Due Dates'!$M:$M,"&lt;="&amp;V_Detailed_Report!O$4)</f>
        <v>0</v>
      </c>
      <c r="P155" s="157">
        <f>SUMIFS('PQ-Due Dates'!$L:$L,'PQ-Due Dates'!$A:$A,V_Detailed_Report!$C155,'PQ-Due Dates'!$M:$M,"&gt;="&amp;V_Detailed_Report!P$3,'PQ-Due Dates'!$M:$M,"&lt;="&amp;V_Detailed_Report!P$4)</f>
        <v>0</v>
      </c>
      <c r="Q155" s="157">
        <f>SUMIFS('PQ-Due Dates'!$L:$L,'PQ-Due Dates'!$A:$A,V_Detailed_Report!$C155,'PQ-Due Dates'!$M:$M,"&gt;="&amp;V_Detailed_Report!Q$3,'PQ-Due Dates'!$M:$M,"&lt;="&amp;V_Detailed_Report!Q$4)</f>
        <v>0</v>
      </c>
      <c r="R155" s="157">
        <f>SUMIFS('PQ-Due Dates'!$L:$L,'PQ-Due Dates'!$A:$A,V_Detailed_Report!$C155,'PQ-Due Dates'!$M:$M,"&gt;="&amp;V_Detailed_Report!R$3,'PQ-Due Dates'!$M:$M,"&lt;="&amp;V_Detailed_Report!R$4)</f>
        <v>0</v>
      </c>
      <c r="S155" s="157">
        <f>SUMIFS('PQ-Due Dates'!$L:$L,'PQ-Due Dates'!$A:$A,V_Detailed_Report!$C155,'PQ-Due Dates'!$M:$M,"&gt;="&amp;V_Detailed_Report!S$3,'PQ-Due Dates'!$M:$M,"&lt;="&amp;V_Detailed_Report!S$4)</f>
        <v>0</v>
      </c>
      <c r="T155" s="157">
        <f>SUMIFS('PQ-Due Dates'!$L:$L,'PQ-Due Dates'!$A:$A,V_Detailed_Report!$C155,'PQ-Due Dates'!$M:$M,"&gt;="&amp;V_Detailed_Report!T$3,'PQ-Due Dates'!$M:$M,"&lt;="&amp;V_Detailed_Report!T$4)</f>
        <v>0</v>
      </c>
      <c r="U155" s="157">
        <f t="shared" si="17"/>
        <v>0</v>
      </c>
      <c r="V155" s="157">
        <f t="shared" si="18"/>
        <v>200000</v>
      </c>
      <c r="W155" s="157">
        <f t="shared" si="19"/>
        <v>200000</v>
      </c>
    </row>
    <row r="156" spans="1:23" ht="15.75" thickBot="1" x14ac:dyDescent="0.3">
      <c r="A156" s="171" t="s">
        <v>152</v>
      </c>
      <c r="B156" s="171" t="s">
        <v>19</v>
      </c>
      <c r="C156" s="171" t="s">
        <v>535</v>
      </c>
      <c r="D156" s="171" t="str">
        <f>VLOOKUP(C156,'M_LC Summary'!A:F,6,0)</f>
        <v>SAB</v>
      </c>
      <c r="E156" s="171" t="str">
        <f>VLOOKUP(C156,'M_LC Summary'!A:C,3,0)</f>
        <v>TEN POINTS EST.</v>
      </c>
      <c r="F156" s="158">
        <f>VLOOKUP(C156,'M_LC Summary'!A:K,11,0)</f>
        <v>450000</v>
      </c>
      <c r="G156" s="158">
        <f>VLOOKUP(C156,'M_LC Summary'!A:L,12,0)</f>
        <v>0</v>
      </c>
      <c r="H156" s="158">
        <f t="shared" si="16"/>
        <v>450000</v>
      </c>
      <c r="I156" s="158">
        <f>SUMIFS('PQ-Due Dates'!$L:$L,'PQ-Due Dates'!$A:$A,V_Detailed_Report!$C156,'PQ-Due Dates'!$M:$M,"&gt;="&amp;V_Detailed_Report!I$3,'PQ-Due Dates'!$M:$M,"&lt;="&amp;V_Detailed_Report!I$4)</f>
        <v>0</v>
      </c>
      <c r="J156" s="158">
        <f>SUMIFS('PQ-Due Dates'!$L:$L,'PQ-Due Dates'!$A:$A,V_Detailed_Report!$C156,'PQ-Due Dates'!$M:$M,"&gt;="&amp;V_Detailed_Report!J$3,'PQ-Due Dates'!$M:$M,"&lt;="&amp;V_Detailed_Report!J$4)</f>
        <v>0</v>
      </c>
      <c r="K156" s="158">
        <f>SUMIFS('PQ-Due Dates'!$L:$L,'PQ-Due Dates'!$A:$A,V_Detailed_Report!$C156,'PQ-Due Dates'!$M:$M,"&gt;="&amp;V_Detailed_Report!K$3,'PQ-Due Dates'!$M:$M,"&lt;="&amp;V_Detailed_Report!K$4)</f>
        <v>0</v>
      </c>
      <c r="L156" s="158">
        <f>SUMIFS('PQ-Due Dates'!$L:$L,'PQ-Due Dates'!$A:$A,V_Detailed_Report!$C156,'PQ-Due Dates'!$M:$M,"&gt;="&amp;V_Detailed_Report!L$3,'PQ-Due Dates'!$M:$M,"&lt;="&amp;V_Detailed_Report!L$4)</f>
        <v>0</v>
      </c>
      <c r="M156" s="158">
        <f>SUMIFS('PQ-Due Dates'!$L:$L,'PQ-Due Dates'!$A:$A,V_Detailed_Report!$C156,'PQ-Due Dates'!$M:$M,"&gt;="&amp;V_Detailed_Report!M$3,'PQ-Due Dates'!$M:$M,"&lt;="&amp;V_Detailed_Report!M$4)</f>
        <v>0</v>
      </c>
      <c r="N156" s="158">
        <f>SUMIFS('PQ-Due Dates'!$L:$L,'PQ-Due Dates'!$A:$A,V_Detailed_Report!$C156,'PQ-Due Dates'!$M:$M,"&gt;="&amp;V_Detailed_Report!N$3,'PQ-Due Dates'!$M:$M,"&lt;="&amp;V_Detailed_Report!N$4)</f>
        <v>0</v>
      </c>
      <c r="O156" s="158">
        <f>SUMIFS('PQ-Due Dates'!$L:$L,'PQ-Due Dates'!$A:$A,V_Detailed_Report!$C156,'PQ-Due Dates'!$M:$M,"&gt;="&amp;V_Detailed_Report!O$3,'PQ-Due Dates'!$M:$M,"&lt;="&amp;V_Detailed_Report!O$4)</f>
        <v>0</v>
      </c>
      <c r="P156" s="158">
        <f>SUMIFS('PQ-Due Dates'!$L:$L,'PQ-Due Dates'!$A:$A,V_Detailed_Report!$C156,'PQ-Due Dates'!$M:$M,"&gt;="&amp;V_Detailed_Report!P$3,'PQ-Due Dates'!$M:$M,"&lt;="&amp;V_Detailed_Report!P$4)</f>
        <v>0</v>
      </c>
      <c r="Q156" s="158">
        <f>SUMIFS('PQ-Due Dates'!$L:$L,'PQ-Due Dates'!$A:$A,V_Detailed_Report!$C156,'PQ-Due Dates'!$M:$M,"&gt;="&amp;V_Detailed_Report!Q$3,'PQ-Due Dates'!$M:$M,"&lt;="&amp;V_Detailed_Report!Q$4)</f>
        <v>0</v>
      </c>
      <c r="R156" s="158">
        <f>SUMIFS('PQ-Due Dates'!$L:$L,'PQ-Due Dates'!$A:$A,V_Detailed_Report!$C156,'PQ-Due Dates'!$M:$M,"&gt;="&amp;V_Detailed_Report!R$3,'PQ-Due Dates'!$M:$M,"&lt;="&amp;V_Detailed_Report!R$4)</f>
        <v>0</v>
      </c>
      <c r="S156" s="158">
        <f>SUMIFS('PQ-Due Dates'!$L:$L,'PQ-Due Dates'!$A:$A,V_Detailed_Report!$C156,'PQ-Due Dates'!$M:$M,"&gt;="&amp;V_Detailed_Report!S$3,'PQ-Due Dates'!$M:$M,"&lt;="&amp;V_Detailed_Report!S$4)</f>
        <v>0</v>
      </c>
      <c r="T156" s="158">
        <f>SUMIFS('PQ-Due Dates'!$L:$L,'PQ-Due Dates'!$A:$A,V_Detailed_Report!$C156,'PQ-Due Dates'!$M:$M,"&gt;="&amp;V_Detailed_Report!T$3,'PQ-Due Dates'!$M:$M,"&lt;="&amp;V_Detailed_Report!T$4)</f>
        <v>0</v>
      </c>
      <c r="U156" s="158">
        <f t="shared" si="17"/>
        <v>0</v>
      </c>
      <c r="V156" s="158">
        <f t="shared" si="18"/>
        <v>450000</v>
      </c>
      <c r="W156" s="158">
        <f t="shared" si="19"/>
        <v>450000</v>
      </c>
    </row>
    <row r="157" spans="1:23" ht="15.75" thickBot="1" x14ac:dyDescent="0.3">
      <c r="A157" s="61"/>
      <c r="B157" s="60"/>
      <c r="C157" s="68" t="s">
        <v>152</v>
      </c>
      <c r="D157" s="68" t="s">
        <v>19</v>
      </c>
      <c r="E157" s="60" t="s">
        <v>93</v>
      </c>
      <c r="F157" s="64">
        <f>SUMIFS(F:F,$A:$A,$C$157,$B:$B,$157:$157 $D:$D)</f>
        <v>60833412.869999997</v>
      </c>
      <c r="G157" s="64">
        <f>SUMIFS(G:G,$A:$A,$C$157,$B:$B,$157:$157 $D:$D)</f>
        <v>13576364.91</v>
      </c>
      <c r="H157" s="64">
        <f>SUMIFS(H:H,$A:$A,$C$157,$B:$B,$157:$157 $D:$D)</f>
        <v>47257047.959999993</v>
      </c>
      <c r="I157" s="64">
        <f>SUMIFS(I:I,$A:$A,$C$157,$B:$B,$157:$157 $D:$D)</f>
        <v>0</v>
      </c>
      <c r="J157" s="64">
        <f>SUMIFS(J:J,$A:$A,$C$157,$B:$B,$157:$157 $D:$D)</f>
        <v>106205.87</v>
      </c>
      <c r="K157" s="64">
        <f>SUMIFS(K:K,$A:$A,$C$157,$B:$B,$157:$157 $D:$D)</f>
        <v>2474827.52</v>
      </c>
      <c r="L157" s="64">
        <f>SUMIFS(L:L,$A:$A,$C$157,$B:$B,$157:$157 $D:$D)</f>
        <v>5894849.0099999998</v>
      </c>
      <c r="M157" s="64">
        <f>SUMIFS(M:M,$A:$A,$C$157,$B:$B,$157:$157 $D:$D)</f>
        <v>1437768.1099999999</v>
      </c>
      <c r="N157" s="64">
        <f>SUMIFS(N:N,$A:$A,$C$157,$B:$B,$157:$157 $D:$D)</f>
        <v>193353.09</v>
      </c>
      <c r="O157" s="64">
        <f>SUMIFS(O:O,$A:$A,$C$157,$B:$B,$157:$157 $D:$D)</f>
        <v>2330491.2400000002</v>
      </c>
      <c r="P157" s="64">
        <f>SUMIFS(P:P,$A:$A,$C$157,$B:$B,$157:$157 $D:$D)</f>
        <v>200000</v>
      </c>
      <c r="Q157" s="64">
        <f>SUMIFS(Q:Q,$A:$A,$C$157,$B:$B,$157:$157 $D:$D)</f>
        <v>0</v>
      </c>
      <c r="R157" s="64">
        <f>SUMIFS(R:R,$A:$A,$C$157,$B:$B,$157:$157 $D:$D)</f>
        <v>278905.67</v>
      </c>
      <c r="S157" s="64">
        <f>SUMIFS(S:S,$A:$A,$C$157,$B:$B,$157:$157 $D:$D)</f>
        <v>6695743.6200000001</v>
      </c>
      <c r="T157" s="64">
        <f>SUMIFS(T:T,$A:$A,$C$157,$B:$B,$157:$157 $D:$D)</f>
        <v>0</v>
      </c>
      <c r="U157" s="64">
        <f>SUMIFS(U:U,$A:$A,$C$157,$B:$B,$157:$157 $D:$D)</f>
        <v>19612144.129999999</v>
      </c>
      <c r="V157" s="64">
        <f>SUMIFS(V:V,$A:$A,$C$157,$B:$B,$157:$157 $D:$D)</f>
        <v>27644903.830000002</v>
      </c>
      <c r="W157" s="65">
        <f>SUMIFS(W:W,$A:$A,$C$157,$B:$B,$157:$157 $D:$D)</f>
        <v>47257047.959999993</v>
      </c>
    </row>
    <row r="158" spans="1:23" x14ac:dyDescent="0.25">
      <c r="A158" s="173"/>
      <c r="B158" s="173"/>
      <c r="C158" s="173"/>
      <c r="D158" s="173"/>
      <c r="E158" s="173"/>
      <c r="F158" s="159"/>
      <c r="G158" s="159"/>
      <c r="H158" s="159"/>
      <c r="I158" s="159"/>
      <c r="J158" s="159"/>
      <c r="K158" s="159"/>
      <c r="L158" s="159"/>
      <c r="M158" s="159"/>
      <c r="N158" s="159"/>
      <c r="O158" s="159"/>
      <c r="P158" s="159"/>
      <c r="Q158" s="159"/>
      <c r="R158" s="159"/>
      <c r="S158" s="159"/>
      <c r="T158" s="159"/>
      <c r="U158" s="159"/>
      <c r="V158" s="159"/>
      <c r="W158" s="159"/>
    </row>
    <row r="159" spans="1:23" x14ac:dyDescent="0.25">
      <c r="A159" s="162" t="s">
        <v>168</v>
      </c>
      <c r="B159" s="162" t="s">
        <v>32</v>
      </c>
      <c r="C159" s="162" t="s">
        <v>35</v>
      </c>
      <c r="D159" s="162" t="str">
        <f>VLOOKUP(C159,'M_LC Summary'!A:F,6,0)</f>
        <v>Riyad</v>
      </c>
      <c r="E159" s="162" t="str">
        <f>VLOOKUP(C159,'M_LC Summary'!A:C,3,0)</f>
        <v>ATELIER HOSPITALITY SRL</v>
      </c>
      <c r="F159" s="157">
        <f>VLOOKUP(C159,'M_LC Summary'!A:K,11,0)</f>
        <v>211576205.22720003</v>
      </c>
      <c r="G159" s="157">
        <f>VLOOKUP(C159,'M_LC Summary'!A:L,12,0)</f>
        <v>210445911.24020118</v>
      </c>
      <c r="H159" s="157">
        <f t="shared" si="16"/>
        <v>1130293.9869988561</v>
      </c>
      <c r="I159" s="157">
        <f>SUMIFS('PQ-Due Dates'!$L:$L,'PQ-Due Dates'!$A:$A,V_Detailed_Report!$C159,'PQ-Due Dates'!$M:$M,"&gt;="&amp;V_Detailed_Report!I$3,'PQ-Due Dates'!$M:$M,"&lt;="&amp;V_Detailed_Report!I$4)</f>
        <v>0</v>
      </c>
      <c r="J159" s="157">
        <f>SUMIFS('PQ-Due Dates'!$L:$L,'PQ-Due Dates'!$A:$A,V_Detailed_Report!$C159,'PQ-Due Dates'!$M:$M,"&gt;="&amp;V_Detailed_Report!J$3,'PQ-Due Dates'!$M:$M,"&lt;="&amp;V_Detailed_Report!J$4)</f>
        <v>0</v>
      </c>
      <c r="K159" s="157">
        <f>SUMIFS('PQ-Due Dates'!$L:$L,'PQ-Due Dates'!$A:$A,V_Detailed_Report!$C159,'PQ-Due Dates'!$M:$M,"&gt;="&amp;V_Detailed_Report!K$3,'PQ-Due Dates'!$M:$M,"&lt;="&amp;V_Detailed_Report!K$4)</f>
        <v>0</v>
      </c>
      <c r="L159" s="157">
        <f>SUMIFS('PQ-Due Dates'!$L:$L,'PQ-Due Dates'!$A:$A,V_Detailed_Report!$C159,'PQ-Due Dates'!$M:$M,"&gt;="&amp;V_Detailed_Report!L$3,'PQ-Due Dates'!$M:$M,"&lt;="&amp;V_Detailed_Report!L$4)</f>
        <v>0</v>
      </c>
      <c r="M159" s="157">
        <f>SUMIFS('PQ-Due Dates'!$L:$L,'PQ-Due Dates'!$A:$A,V_Detailed_Report!$C159,'PQ-Due Dates'!$M:$M,"&gt;="&amp;V_Detailed_Report!M$3,'PQ-Due Dates'!$M:$M,"&lt;="&amp;V_Detailed_Report!M$4)</f>
        <v>0</v>
      </c>
      <c r="N159" s="157">
        <f>SUMIFS('PQ-Due Dates'!$L:$L,'PQ-Due Dates'!$A:$A,V_Detailed_Report!$C159,'PQ-Due Dates'!$M:$M,"&gt;="&amp;V_Detailed_Report!N$3,'PQ-Due Dates'!$M:$M,"&lt;="&amp;V_Detailed_Report!N$4)</f>
        <v>0</v>
      </c>
      <c r="O159" s="157">
        <f>SUMIFS('PQ-Due Dates'!$L:$L,'PQ-Due Dates'!$A:$A,V_Detailed_Report!$C159,'PQ-Due Dates'!$M:$M,"&gt;="&amp;V_Detailed_Report!O$3,'PQ-Due Dates'!$M:$M,"&lt;="&amp;V_Detailed_Report!O$4)</f>
        <v>0</v>
      </c>
      <c r="P159" s="157">
        <f>SUMIFS('PQ-Due Dates'!$L:$L,'PQ-Due Dates'!$A:$A,V_Detailed_Report!$C159,'PQ-Due Dates'!$M:$M,"&gt;="&amp;V_Detailed_Report!P$3,'PQ-Due Dates'!$M:$M,"&lt;="&amp;V_Detailed_Report!P$4)</f>
        <v>0</v>
      </c>
      <c r="Q159" s="157">
        <f>SUMIFS('PQ-Due Dates'!$L:$L,'PQ-Due Dates'!$A:$A,V_Detailed_Report!$C159,'PQ-Due Dates'!$M:$M,"&gt;="&amp;V_Detailed_Report!Q$3,'PQ-Due Dates'!$M:$M,"&lt;="&amp;V_Detailed_Report!Q$4)</f>
        <v>0</v>
      </c>
      <c r="R159" s="157">
        <f>SUMIFS('PQ-Due Dates'!$L:$L,'PQ-Due Dates'!$A:$A,V_Detailed_Report!$C159,'PQ-Due Dates'!$M:$M,"&gt;="&amp;V_Detailed_Report!R$3,'PQ-Due Dates'!$M:$M,"&lt;="&amp;V_Detailed_Report!R$4)</f>
        <v>0</v>
      </c>
      <c r="S159" s="157">
        <f>SUMIFS('PQ-Due Dates'!$L:$L,'PQ-Due Dates'!$A:$A,V_Detailed_Report!$C159,'PQ-Due Dates'!$M:$M,"&gt;="&amp;V_Detailed_Report!S$3,'PQ-Due Dates'!$M:$M,"&lt;="&amp;V_Detailed_Report!S$4)</f>
        <v>0</v>
      </c>
      <c r="T159" s="157">
        <f>SUMIFS('PQ-Due Dates'!$L:$L,'PQ-Due Dates'!$A:$A,V_Detailed_Report!$C159,'PQ-Due Dates'!$M:$M,"&gt;="&amp;V_Detailed_Report!T$3,'PQ-Due Dates'!$M:$M,"&lt;="&amp;V_Detailed_Report!T$4)</f>
        <v>0</v>
      </c>
      <c r="U159" s="157">
        <f t="shared" si="17"/>
        <v>0</v>
      </c>
      <c r="V159" s="157">
        <f t="shared" si="18"/>
        <v>1130293.9869988561</v>
      </c>
      <c r="W159" s="157">
        <f t="shared" si="19"/>
        <v>1130293.9869988561</v>
      </c>
    </row>
    <row r="160" spans="1:23" ht="15.75" thickBot="1" x14ac:dyDescent="0.3">
      <c r="A160" s="171" t="s">
        <v>168</v>
      </c>
      <c r="B160" s="171" t="s">
        <v>32</v>
      </c>
      <c r="C160" s="171" t="s">
        <v>34</v>
      </c>
      <c r="D160" s="171" t="str">
        <f>VLOOKUP(C160,'M_LC Summary'!A:F,6,0)</f>
        <v>Riyad</v>
      </c>
      <c r="E160" s="171" t="str">
        <f>VLOOKUP(C160,'M_LC Summary'!A:C,3,0)</f>
        <v>Visio INC</v>
      </c>
      <c r="F160" s="158">
        <f>VLOOKUP(C160,'M_LC Summary'!A:K,11,0)</f>
        <v>16327500.880000001</v>
      </c>
      <c r="G160" s="158">
        <f>VLOOKUP(C160,'M_LC Summary'!A:L,12,0)</f>
        <v>15446722.59</v>
      </c>
      <c r="H160" s="158">
        <f t="shared" si="16"/>
        <v>880778.29000000097</v>
      </c>
      <c r="I160" s="158">
        <f>SUMIFS('PQ-Due Dates'!$L:$L,'PQ-Due Dates'!$A:$A,V_Detailed_Report!$C160,'PQ-Due Dates'!$M:$M,"&gt;="&amp;V_Detailed_Report!I$3,'PQ-Due Dates'!$M:$M,"&lt;="&amp;V_Detailed_Report!I$4)</f>
        <v>0</v>
      </c>
      <c r="J160" s="158">
        <f>SUMIFS('PQ-Due Dates'!$L:$L,'PQ-Due Dates'!$A:$A,V_Detailed_Report!$C160,'PQ-Due Dates'!$M:$M,"&gt;="&amp;V_Detailed_Report!J$3,'PQ-Due Dates'!$M:$M,"&lt;="&amp;V_Detailed_Report!J$4)</f>
        <v>0</v>
      </c>
      <c r="K160" s="158">
        <f>SUMIFS('PQ-Due Dates'!$L:$L,'PQ-Due Dates'!$A:$A,V_Detailed_Report!$C160,'PQ-Due Dates'!$M:$M,"&gt;="&amp;V_Detailed_Report!K$3,'PQ-Due Dates'!$M:$M,"&lt;="&amp;V_Detailed_Report!K$4)</f>
        <v>0</v>
      </c>
      <c r="L160" s="158">
        <f>SUMIFS('PQ-Due Dates'!$L:$L,'PQ-Due Dates'!$A:$A,V_Detailed_Report!$C160,'PQ-Due Dates'!$M:$M,"&gt;="&amp;V_Detailed_Report!L$3,'PQ-Due Dates'!$M:$M,"&lt;="&amp;V_Detailed_Report!L$4)</f>
        <v>0</v>
      </c>
      <c r="M160" s="158">
        <f>SUMIFS('PQ-Due Dates'!$L:$L,'PQ-Due Dates'!$A:$A,V_Detailed_Report!$C160,'PQ-Due Dates'!$M:$M,"&gt;="&amp;V_Detailed_Report!M$3,'PQ-Due Dates'!$M:$M,"&lt;="&amp;V_Detailed_Report!M$4)</f>
        <v>0</v>
      </c>
      <c r="N160" s="158">
        <f>SUMIFS('PQ-Due Dates'!$L:$L,'PQ-Due Dates'!$A:$A,V_Detailed_Report!$C160,'PQ-Due Dates'!$M:$M,"&gt;="&amp;V_Detailed_Report!N$3,'PQ-Due Dates'!$M:$M,"&lt;="&amp;V_Detailed_Report!N$4)</f>
        <v>0</v>
      </c>
      <c r="O160" s="158">
        <f>SUMIFS('PQ-Due Dates'!$L:$L,'PQ-Due Dates'!$A:$A,V_Detailed_Report!$C160,'PQ-Due Dates'!$M:$M,"&gt;="&amp;V_Detailed_Report!O$3,'PQ-Due Dates'!$M:$M,"&lt;="&amp;V_Detailed_Report!O$4)</f>
        <v>0</v>
      </c>
      <c r="P160" s="158">
        <f>SUMIFS('PQ-Due Dates'!$L:$L,'PQ-Due Dates'!$A:$A,V_Detailed_Report!$C160,'PQ-Due Dates'!$M:$M,"&gt;="&amp;V_Detailed_Report!P$3,'PQ-Due Dates'!$M:$M,"&lt;="&amp;V_Detailed_Report!P$4)</f>
        <v>0</v>
      </c>
      <c r="Q160" s="158">
        <f>SUMIFS('PQ-Due Dates'!$L:$L,'PQ-Due Dates'!$A:$A,V_Detailed_Report!$C160,'PQ-Due Dates'!$M:$M,"&gt;="&amp;V_Detailed_Report!Q$3,'PQ-Due Dates'!$M:$M,"&lt;="&amp;V_Detailed_Report!Q$4)</f>
        <v>0</v>
      </c>
      <c r="R160" s="158">
        <f>SUMIFS('PQ-Due Dates'!$L:$L,'PQ-Due Dates'!$A:$A,V_Detailed_Report!$C160,'PQ-Due Dates'!$M:$M,"&gt;="&amp;V_Detailed_Report!R$3,'PQ-Due Dates'!$M:$M,"&lt;="&amp;V_Detailed_Report!R$4)</f>
        <v>0</v>
      </c>
      <c r="S160" s="158">
        <f>SUMIFS('PQ-Due Dates'!$L:$L,'PQ-Due Dates'!$A:$A,V_Detailed_Report!$C160,'PQ-Due Dates'!$M:$M,"&gt;="&amp;V_Detailed_Report!S$3,'PQ-Due Dates'!$M:$M,"&lt;="&amp;V_Detailed_Report!S$4)</f>
        <v>0</v>
      </c>
      <c r="T160" s="158">
        <f>SUMIFS('PQ-Due Dates'!$L:$L,'PQ-Due Dates'!$A:$A,V_Detailed_Report!$C160,'PQ-Due Dates'!$M:$M,"&gt;="&amp;V_Detailed_Report!T$3,'PQ-Due Dates'!$M:$M,"&lt;="&amp;V_Detailed_Report!T$4)</f>
        <v>0</v>
      </c>
      <c r="U160" s="158">
        <f t="shared" si="17"/>
        <v>0</v>
      </c>
      <c r="V160" s="158">
        <f t="shared" si="18"/>
        <v>880778.29000000097</v>
      </c>
      <c r="W160" s="158">
        <f t="shared" si="19"/>
        <v>880778.29000000097</v>
      </c>
    </row>
    <row r="161" spans="1:23" ht="15.75" thickBot="1" x14ac:dyDescent="0.3">
      <c r="A161" s="61"/>
      <c r="B161" s="60"/>
      <c r="C161" s="68" t="s">
        <v>168</v>
      </c>
      <c r="D161" s="68" t="s">
        <v>32</v>
      </c>
      <c r="E161" s="60" t="s">
        <v>94</v>
      </c>
      <c r="F161" s="64">
        <f>SUMIFS(F:F,$A:$A,$C$161,$B:$B,$161:$161 $D:$D)</f>
        <v>227903706.10720003</v>
      </c>
      <c r="G161" s="64">
        <f>SUMIFS(G:G,$A:$A,$C$161,$B:$B,$161:$161 $D:$D)</f>
        <v>225892633.83020118</v>
      </c>
      <c r="H161" s="64">
        <f>SUMIFS(H:H,$A:$A,$C$161,$B:$B,$161:$161 $D:$D)</f>
        <v>2011072.276998857</v>
      </c>
      <c r="I161" s="64">
        <f>SUMIFS(I:I,$A:$A,$C$161,$B:$B,$161:$161 $D:$D)</f>
        <v>0</v>
      </c>
      <c r="J161" s="64">
        <f>SUMIFS(J:J,$A:$A,$C$161,$B:$B,$161:$161 $D:$D)</f>
        <v>0</v>
      </c>
      <c r="K161" s="64">
        <f>SUMIFS(K:K,$A:$A,$C$161,$B:$B,$161:$161 $D:$D)</f>
        <v>0</v>
      </c>
      <c r="L161" s="64">
        <f>SUMIFS(L:L,$A:$A,$C$161,$B:$B,$161:$161 $D:$D)</f>
        <v>0</v>
      </c>
      <c r="M161" s="64">
        <f>SUMIFS(M:M,$A:$A,$C$161,$B:$B,$161:$161 $D:$D)</f>
        <v>0</v>
      </c>
      <c r="N161" s="64">
        <f>SUMIFS(N:N,$A:$A,$C$161,$B:$B,$161:$161 $D:$D)</f>
        <v>0</v>
      </c>
      <c r="O161" s="64">
        <f>SUMIFS(O:O,$A:$A,$C$161,$B:$B,$161:$161 $D:$D)</f>
        <v>0</v>
      </c>
      <c r="P161" s="64">
        <f>SUMIFS(P:P,$A:$A,$C$161,$B:$B,$161:$161 $D:$D)</f>
        <v>0</v>
      </c>
      <c r="Q161" s="64">
        <f>SUMIFS(Q:Q,$A:$A,$C$161,$B:$B,$161:$161 $D:$D)</f>
        <v>0</v>
      </c>
      <c r="R161" s="64">
        <f>SUMIFS(R:R,$A:$A,$C$161,$B:$B,$161:$161 $D:$D)</f>
        <v>0</v>
      </c>
      <c r="S161" s="64">
        <f>SUMIFS(S:S,$A:$A,$C$161,$B:$B,$161:$161 $D:$D)</f>
        <v>0</v>
      </c>
      <c r="T161" s="64">
        <f>SUMIFS(T:T,$A:$A,$C$161,$B:$B,$161:$161 $D:$D)</f>
        <v>0</v>
      </c>
      <c r="U161" s="64">
        <f>SUMIFS(U:U,$A:$A,$C$161,$B:$B,$161:$161 $D:$D)</f>
        <v>0</v>
      </c>
      <c r="V161" s="64">
        <f>SUMIFS(V:V,$A:$A,$C$161,$B:$B,$161:$161 $D:$D)</f>
        <v>2011072.276998857</v>
      </c>
      <c r="W161" s="65">
        <f>SUMIFS(W:W,$A:$A,$C$161,$B:$B,$161:$161 $D:$D)</f>
        <v>2011072.276998857</v>
      </c>
    </row>
    <row r="162" spans="1:23" x14ac:dyDescent="0.25">
      <c r="A162" s="173"/>
      <c r="B162" s="173"/>
      <c r="C162" s="173"/>
      <c r="D162" s="173"/>
      <c r="E162" s="173"/>
      <c r="F162" s="159"/>
      <c r="G162" s="159"/>
      <c r="H162" s="159"/>
      <c r="I162" s="159"/>
      <c r="J162" s="159"/>
      <c r="K162" s="159"/>
      <c r="L162" s="159"/>
      <c r="M162" s="159"/>
      <c r="N162" s="159"/>
      <c r="O162" s="159"/>
      <c r="P162" s="159"/>
      <c r="Q162" s="159"/>
      <c r="R162" s="159"/>
      <c r="S162" s="159"/>
      <c r="T162" s="159"/>
      <c r="U162" s="159"/>
      <c r="V162" s="159"/>
      <c r="W162" s="159"/>
    </row>
    <row r="163" spans="1:23" ht="15.75" thickBot="1" x14ac:dyDescent="0.3">
      <c r="A163" s="171" t="s">
        <v>117</v>
      </c>
      <c r="B163" s="171" t="s">
        <v>32</v>
      </c>
      <c r="C163" s="171" t="s">
        <v>257</v>
      </c>
      <c r="D163" s="171" t="str">
        <f>VLOOKUP(C163,'M_LC Summary'!A:F,6,0)</f>
        <v>Riyad</v>
      </c>
      <c r="E163" s="171" t="str">
        <f>VLOOKUP(C163,'M_LC Summary'!A:C,3,0)</f>
        <v>Mat Filtrasyon Teknolojeleri A.S</v>
      </c>
      <c r="F163" s="158">
        <f>VLOOKUP(C163,'M_LC Summary'!A:K,11,0)</f>
        <v>4092796.2399999998</v>
      </c>
      <c r="G163" s="158">
        <f>VLOOKUP(C163,'M_LC Summary'!A:L,12,0)</f>
        <v>4079312.29</v>
      </c>
      <c r="H163" s="158">
        <f t="shared" si="16"/>
        <v>13483.949999999721</v>
      </c>
      <c r="I163" s="158">
        <f>SUMIFS('PQ-Due Dates'!$L:$L,'PQ-Due Dates'!$A:$A,V_Detailed_Report!$C163,'PQ-Due Dates'!$M:$M,"&gt;="&amp;V_Detailed_Report!I$3,'PQ-Due Dates'!$M:$M,"&lt;="&amp;V_Detailed_Report!I$4)</f>
        <v>0</v>
      </c>
      <c r="J163" s="158">
        <f>SUMIFS('PQ-Due Dates'!$L:$L,'PQ-Due Dates'!$A:$A,V_Detailed_Report!$C163,'PQ-Due Dates'!$M:$M,"&gt;="&amp;V_Detailed_Report!J$3,'PQ-Due Dates'!$M:$M,"&lt;="&amp;V_Detailed_Report!J$4)</f>
        <v>0</v>
      </c>
      <c r="K163" s="158">
        <f>SUMIFS('PQ-Due Dates'!$L:$L,'PQ-Due Dates'!$A:$A,V_Detailed_Report!$C163,'PQ-Due Dates'!$M:$M,"&gt;="&amp;V_Detailed_Report!K$3,'PQ-Due Dates'!$M:$M,"&lt;="&amp;V_Detailed_Report!K$4)</f>
        <v>0</v>
      </c>
      <c r="L163" s="158">
        <f>SUMIFS('PQ-Due Dates'!$L:$L,'PQ-Due Dates'!$A:$A,V_Detailed_Report!$C163,'PQ-Due Dates'!$M:$M,"&gt;="&amp;V_Detailed_Report!L$3,'PQ-Due Dates'!$M:$M,"&lt;="&amp;V_Detailed_Report!L$4)</f>
        <v>0</v>
      </c>
      <c r="M163" s="158">
        <f>SUMIFS('PQ-Due Dates'!$L:$L,'PQ-Due Dates'!$A:$A,V_Detailed_Report!$C163,'PQ-Due Dates'!$M:$M,"&gt;="&amp;V_Detailed_Report!M$3,'PQ-Due Dates'!$M:$M,"&lt;="&amp;V_Detailed_Report!M$4)</f>
        <v>0</v>
      </c>
      <c r="N163" s="158">
        <f>SUMIFS('PQ-Due Dates'!$L:$L,'PQ-Due Dates'!$A:$A,V_Detailed_Report!$C163,'PQ-Due Dates'!$M:$M,"&gt;="&amp;V_Detailed_Report!N$3,'PQ-Due Dates'!$M:$M,"&lt;="&amp;V_Detailed_Report!N$4)</f>
        <v>0</v>
      </c>
      <c r="O163" s="158">
        <f>SUMIFS('PQ-Due Dates'!$L:$L,'PQ-Due Dates'!$A:$A,V_Detailed_Report!$C163,'PQ-Due Dates'!$M:$M,"&gt;="&amp;V_Detailed_Report!O$3,'PQ-Due Dates'!$M:$M,"&lt;="&amp;V_Detailed_Report!O$4)</f>
        <v>0</v>
      </c>
      <c r="P163" s="158">
        <f>SUMIFS('PQ-Due Dates'!$L:$L,'PQ-Due Dates'!$A:$A,V_Detailed_Report!$C163,'PQ-Due Dates'!$M:$M,"&gt;="&amp;V_Detailed_Report!P$3,'PQ-Due Dates'!$M:$M,"&lt;="&amp;V_Detailed_Report!P$4)</f>
        <v>0</v>
      </c>
      <c r="Q163" s="158">
        <f>SUMIFS('PQ-Due Dates'!$L:$L,'PQ-Due Dates'!$A:$A,V_Detailed_Report!$C163,'PQ-Due Dates'!$M:$M,"&gt;="&amp;V_Detailed_Report!Q$3,'PQ-Due Dates'!$M:$M,"&lt;="&amp;V_Detailed_Report!Q$4)</f>
        <v>0</v>
      </c>
      <c r="R163" s="158">
        <f>SUMIFS('PQ-Due Dates'!$L:$L,'PQ-Due Dates'!$A:$A,V_Detailed_Report!$C163,'PQ-Due Dates'!$M:$M,"&gt;="&amp;V_Detailed_Report!R$3,'PQ-Due Dates'!$M:$M,"&lt;="&amp;V_Detailed_Report!R$4)</f>
        <v>0</v>
      </c>
      <c r="S163" s="158">
        <f>SUMIFS('PQ-Due Dates'!$L:$L,'PQ-Due Dates'!$A:$A,V_Detailed_Report!$C163,'PQ-Due Dates'!$M:$M,"&gt;="&amp;V_Detailed_Report!S$3,'PQ-Due Dates'!$M:$M,"&lt;="&amp;V_Detailed_Report!S$4)</f>
        <v>0</v>
      </c>
      <c r="T163" s="158">
        <f>SUMIFS('PQ-Due Dates'!$L:$L,'PQ-Due Dates'!$A:$A,V_Detailed_Report!$C163,'PQ-Due Dates'!$M:$M,"&gt;="&amp;V_Detailed_Report!T$3,'PQ-Due Dates'!$M:$M,"&lt;="&amp;V_Detailed_Report!T$4)</f>
        <v>0</v>
      </c>
      <c r="U163" s="158">
        <f t="shared" si="17"/>
        <v>0</v>
      </c>
      <c r="V163" s="158">
        <f t="shared" si="18"/>
        <v>13483.949999999721</v>
      </c>
      <c r="W163" s="158">
        <f t="shared" si="19"/>
        <v>13483.949999999721</v>
      </c>
    </row>
    <row r="164" spans="1:23" ht="15.75" thickBot="1" x14ac:dyDescent="0.3">
      <c r="A164" s="61"/>
      <c r="B164" s="60"/>
      <c r="C164" s="68" t="s">
        <v>117</v>
      </c>
      <c r="D164" s="68" t="s">
        <v>32</v>
      </c>
      <c r="E164" s="60" t="s">
        <v>94</v>
      </c>
      <c r="F164" s="64">
        <f>SUMIFS(F:F,$A:$A,$C$164,$B:$B,$164:$164 $D:$D)</f>
        <v>4092796.2399999998</v>
      </c>
      <c r="G164" s="64">
        <f>SUMIFS(G:G,$A:$A,$C$164,$B:$B,$164:$164 $D:$D)</f>
        <v>4079312.29</v>
      </c>
      <c r="H164" s="64">
        <f>SUMIFS(H:H,$A:$A,$C$164,$B:$B,$164:$164 $D:$D)</f>
        <v>13483.949999999721</v>
      </c>
      <c r="I164" s="64">
        <f>SUMIFS(I:I,$A:$A,$C$164,$B:$B,$164:$164 $D:$D)</f>
        <v>0</v>
      </c>
      <c r="J164" s="64">
        <f>SUMIFS(J:J,$A:$A,$C$164,$B:$B,$164:$164 $D:$D)</f>
        <v>0</v>
      </c>
      <c r="K164" s="64">
        <f>SUMIFS(K:K,$A:$A,$C$164,$B:$B,$164:$164 $D:$D)</f>
        <v>0</v>
      </c>
      <c r="L164" s="64">
        <f>SUMIFS(L:L,$A:$A,$C$164,$B:$B,$164:$164 $D:$D)</f>
        <v>0</v>
      </c>
      <c r="M164" s="64">
        <f>SUMIFS(M:M,$A:$A,$C$164,$B:$B,$164:$164 $D:$D)</f>
        <v>0</v>
      </c>
      <c r="N164" s="64">
        <f>SUMIFS(N:N,$A:$A,$C$164,$B:$B,$164:$164 $D:$D)</f>
        <v>0</v>
      </c>
      <c r="O164" s="64">
        <f>SUMIFS(O:O,$A:$A,$C$164,$B:$B,$164:$164 $D:$D)</f>
        <v>0</v>
      </c>
      <c r="P164" s="64">
        <f>SUMIFS(P:P,$A:$A,$C$164,$B:$B,$164:$164 $D:$D)</f>
        <v>0</v>
      </c>
      <c r="Q164" s="64">
        <f>SUMIFS(Q:Q,$A:$A,$C$164,$B:$B,$164:$164 $D:$D)</f>
        <v>0</v>
      </c>
      <c r="R164" s="64">
        <f>SUMIFS(R:R,$A:$A,$C$164,$B:$B,$164:$164 $D:$D)</f>
        <v>0</v>
      </c>
      <c r="S164" s="64">
        <f>SUMIFS(S:S,$A:$A,$C$164,$B:$B,$164:$164 $D:$D)</f>
        <v>0</v>
      </c>
      <c r="T164" s="64">
        <f>SUMIFS(T:T,$A:$A,$C$164,$B:$B,$164:$164 $D:$D)</f>
        <v>0</v>
      </c>
      <c r="U164" s="64">
        <f>SUMIFS(U:U,$A:$A,$C$164,$B:$B,$164:$164 $D:$D)</f>
        <v>0</v>
      </c>
      <c r="V164" s="64">
        <f>SUMIFS(V:V,$A:$A,$C$164,$B:$B,$164:$164 $D:$D)</f>
        <v>13483.949999999721</v>
      </c>
      <c r="W164" s="65">
        <f>SUMIFS(W:W,$A:$A,$C$164,$B:$B,$164:$164 $D:$D)</f>
        <v>13483.949999999721</v>
      </c>
    </row>
    <row r="165" spans="1:23" x14ac:dyDescent="0.25">
      <c r="A165" s="173"/>
      <c r="B165" s="173"/>
      <c r="C165" s="173"/>
      <c r="D165" s="173"/>
      <c r="E165" s="173"/>
      <c r="F165" s="159"/>
      <c r="G165" s="159"/>
      <c r="H165" s="159"/>
      <c r="I165" s="159"/>
      <c r="J165" s="159"/>
      <c r="K165" s="159"/>
      <c r="L165" s="159"/>
      <c r="M165" s="159"/>
      <c r="N165" s="159"/>
      <c r="O165" s="159"/>
      <c r="P165" s="159"/>
      <c r="Q165" s="159"/>
      <c r="R165" s="159"/>
      <c r="S165" s="159"/>
      <c r="T165" s="159"/>
      <c r="U165" s="159"/>
      <c r="V165" s="159"/>
      <c r="W165" s="159"/>
    </row>
    <row r="166" spans="1:23" x14ac:dyDescent="0.25">
      <c r="A166" s="162" t="s">
        <v>117</v>
      </c>
      <c r="B166" s="162" t="s">
        <v>19</v>
      </c>
      <c r="C166" s="162" t="s">
        <v>245</v>
      </c>
      <c r="D166" s="162" t="str">
        <f>VLOOKUP(C166,'M_LC Summary'!A:F,6,0)</f>
        <v>Riyad</v>
      </c>
      <c r="E166" s="162" t="str">
        <f>VLOOKUP(C166,'M_LC Summary'!A:C,3,0)</f>
        <v>Mat Filtrasyon Teknolojeleri A.S</v>
      </c>
      <c r="F166" s="157">
        <f>VLOOKUP(C166,'M_LC Summary'!A:K,11,0)</f>
        <v>25907203.759999998</v>
      </c>
      <c r="G166" s="157">
        <f>VLOOKUP(C166,'M_LC Summary'!A:L,12,0)</f>
        <v>16605181.220000001</v>
      </c>
      <c r="H166" s="157">
        <f t="shared" si="16"/>
        <v>9302022.5399999972</v>
      </c>
      <c r="I166" s="157">
        <f>SUMIFS('PQ-Due Dates'!$L:$L,'PQ-Due Dates'!$A:$A,V_Detailed_Report!$C166,'PQ-Due Dates'!$M:$M,"&gt;="&amp;V_Detailed_Report!I$3,'PQ-Due Dates'!$M:$M,"&lt;="&amp;V_Detailed_Report!I$4)</f>
        <v>0</v>
      </c>
      <c r="J166" s="157">
        <f>SUMIFS('PQ-Due Dates'!$L:$L,'PQ-Due Dates'!$A:$A,V_Detailed_Report!$C166,'PQ-Due Dates'!$M:$M,"&gt;="&amp;V_Detailed_Report!J$3,'PQ-Due Dates'!$M:$M,"&lt;="&amp;V_Detailed_Report!J$4)</f>
        <v>284755.58</v>
      </c>
      <c r="K166" s="157">
        <f>SUMIFS('PQ-Due Dates'!$L:$L,'PQ-Due Dates'!$A:$A,V_Detailed_Report!$C166,'PQ-Due Dates'!$M:$M,"&gt;="&amp;V_Detailed_Report!K$3,'PQ-Due Dates'!$M:$M,"&lt;="&amp;V_Detailed_Report!K$4)</f>
        <v>467861.1</v>
      </c>
      <c r="L166" s="157">
        <f>SUMIFS('PQ-Due Dates'!$L:$L,'PQ-Due Dates'!$A:$A,V_Detailed_Report!$C166,'PQ-Due Dates'!$M:$M,"&gt;="&amp;V_Detailed_Report!L$3,'PQ-Due Dates'!$M:$M,"&lt;="&amp;V_Detailed_Report!L$4)</f>
        <v>0</v>
      </c>
      <c r="M166" s="157">
        <f>SUMIFS('PQ-Due Dates'!$L:$L,'PQ-Due Dates'!$A:$A,V_Detailed_Report!$C166,'PQ-Due Dates'!$M:$M,"&gt;="&amp;V_Detailed_Report!M$3,'PQ-Due Dates'!$M:$M,"&lt;="&amp;V_Detailed_Report!M$4)</f>
        <v>0</v>
      </c>
      <c r="N166" s="157">
        <f>SUMIFS('PQ-Due Dates'!$L:$L,'PQ-Due Dates'!$A:$A,V_Detailed_Report!$C166,'PQ-Due Dates'!$M:$M,"&gt;="&amp;V_Detailed_Report!N$3,'PQ-Due Dates'!$M:$M,"&lt;="&amp;V_Detailed_Report!N$4)</f>
        <v>0</v>
      </c>
      <c r="O166" s="157">
        <f>SUMIFS('PQ-Due Dates'!$L:$L,'PQ-Due Dates'!$A:$A,V_Detailed_Report!$C166,'PQ-Due Dates'!$M:$M,"&gt;="&amp;V_Detailed_Report!O$3,'PQ-Due Dates'!$M:$M,"&lt;="&amp;V_Detailed_Report!O$4)</f>
        <v>0</v>
      </c>
      <c r="P166" s="157">
        <f>SUMIFS('PQ-Due Dates'!$L:$L,'PQ-Due Dates'!$A:$A,V_Detailed_Report!$C166,'PQ-Due Dates'!$M:$M,"&gt;="&amp;V_Detailed_Report!P$3,'PQ-Due Dates'!$M:$M,"&lt;="&amp;V_Detailed_Report!P$4)</f>
        <v>0</v>
      </c>
      <c r="Q166" s="157">
        <f>SUMIFS('PQ-Due Dates'!$L:$L,'PQ-Due Dates'!$A:$A,V_Detailed_Report!$C166,'PQ-Due Dates'!$M:$M,"&gt;="&amp;V_Detailed_Report!Q$3,'PQ-Due Dates'!$M:$M,"&lt;="&amp;V_Detailed_Report!Q$4)</f>
        <v>0</v>
      </c>
      <c r="R166" s="157">
        <f>SUMIFS('PQ-Due Dates'!$L:$L,'PQ-Due Dates'!$A:$A,V_Detailed_Report!$C166,'PQ-Due Dates'!$M:$M,"&gt;="&amp;V_Detailed_Report!R$3,'PQ-Due Dates'!$M:$M,"&lt;="&amp;V_Detailed_Report!R$4)</f>
        <v>0</v>
      </c>
      <c r="S166" s="157">
        <f>SUMIFS('PQ-Due Dates'!$L:$L,'PQ-Due Dates'!$A:$A,V_Detailed_Report!$C166,'PQ-Due Dates'!$M:$M,"&gt;="&amp;V_Detailed_Report!S$3,'PQ-Due Dates'!$M:$M,"&lt;="&amp;V_Detailed_Report!S$4)</f>
        <v>0</v>
      </c>
      <c r="T166" s="157">
        <f>SUMIFS('PQ-Due Dates'!$L:$L,'PQ-Due Dates'!$A:$A,V_Detailed_Report!$C166,'PQ-Due Dates'!$M:$M,"&gt;="&amp;V_Detailed_Report!T$3,'PQ-Due Dates'!$M:$M,"&lt;="&amp;V_Detailed_Report!T$4)</f>
        <v>0</v>
      </c>
      <c r="U166" s="157">
        <f t="shared" si="17"/>
        <v>752616.67999999993</v>
      </c>
      <c r="V166" s="157">
        <f t="shared" si="18"/>
        <v>8549405.8599999975</v>
      </c>
      <c r="W166" s="157">
        <f t="shared" si="19"/>
        <v>9302022.5399999972</v>
      </c>
    </row>
    <row r="167" spans="1:23" x14ac:dyDescent="0.25">
      <c r="A167" s="162" t="s">
        <v>117</v>
      </c>
      <c r="B167" s="162" t="s">
        <v>19</v>
      </c>
      <c r="C167" s="162" t="s">
        <v>265</v>
      </c>
      <c r="D167" s="162" t="str">
        <f>VLOOKUP(C167,'M_LC Summary'!A:F,6,0)</f>
        <v>Riyad</v>
      </c>
      <c r="E167" s="162" t="str">
        <f>VLOOKUP(C167,'M_LC Summary'!A:C,3,0)</f>
        <v>IBA MIDDLE EAST FZE</v>
      </c>
      <c r="F167" s="157">
        <f>VLOOKUP(C167,'M_LC Summary'!A:K,11,0)</f>
        <v>1615774.2562500001</v>
      </c>
      <c r="G167" s="157">
        <f>VLOOKUP(C167,'M_LC Summary'!A:L,12,0)</f>
        <v>386882.11667999998</v>
      </c>
      <c r="H167" s="157">
        <f t="shared" si="16"/>
        <v>1228892.1395700001</v>
      </c>
      <c r="I167" s="157">
        <f>SUMIFS('PQ-Due Dates'!$L:$L,'PQ-Due Dates'!$A:$A,V_Detailed_Report!$C167,'PQ-Due Dates'!$M:$M,"&gt;="&amp;V_Detailed_Report!I$3,'PQ-Due Dates'!$M:$M,"&lt;="&amp;V_Detailed_Report!I$4)</f>
        <v>0</v>
      </c>
      <c r="J167" s="157">
        <f>SUMIFS('PQ-Due Dates'!$L:$L,'PQ-Due Dates'!$A:$A,V_Detailed_Report!$C167,'PQ-Due Dates'!$M:$M,"&gt;="&amp;V_Detailed_Report!J$3,'PQ-Due Dates'!$M:$M,"&lt;="&amp;V_Detailed_Report!J$4)</f>
        <v>0</v>
      </c>
      <c r="K167" s="157">
        <f>SUMIFS('PQ-Due Dates'!$L:$L,'PQ-Due Dates'!$A:$A,V_Detailed_Report!$C167,'PQ-Due Dates'!$M:$M,"&gt;="&amp;V_Detailed_Report!K$3,'PQ-Due Dates'!$M:$M,"&lt;="&amp;V_Detailed_Report!K$4)</f>
        <v>0</v>
      </c>
      <c r="L167" s="157">
        <f>SUMIFS('PQ-Due Dates'!$L:$L,'PQ-Due Dates'!$A:$A,V_Detailed_Report!$C167,'PQ-Due Dates'!$M:$M,"&gt;="&amp;V_Detailed_Report!L$3,'PQ-Due Dates'!$M:$M,"&lt;="&amp;V_Detailed_Report!L$4)</f>
        <v>0</v>
      </c>
      <c r="M167" s="157">
        <f>SUMIFS('PQ-Due Dates'!$L:$L,'PQ-Due Dates'!$A:$A,V_Detailed_Report!$C167,'PQ-Due Dates'!$M:$M,"&gt;="&amp;V_Detailed_Report!M$3,'PQ-Due Dates'!$M:$M,"&lt;="&amp;V_Detailed_Report!M$4)</f>
        <v>0</v>
      </c>
      <c r="N167" s="157">
        <f>SUMIFS('PQ-Due Dates'!$L:$L,'PQ-Due Dates'!$A:$A,V_Detailed_Report!$C167,'PQ-Due Dates'!$M:$M,"&gt;="&amp;V_Detailed_Report!N$3,'PQ-Due Dates'!$M:$M,"&lt;="&amp;V_Detailed_Report!N$4)</f>
        <v>0</v>
      </c>
      <c r="O167" s="157">
        <f>SUMIFS('PQ-Due Dates'!$L:$L,'PQ-Due Dates'!$A:$A,V_Detailed_Report!$C167,'PQ-Due Dates'!$M:$M,"&gt;="&amp;V_Detailed_Report!O$3,'PQ-Due Dates'!$M:$M,"&lt;="&amp;V_Detailed_Report!O$4)</f>
        <v>0</v>
      </c>
      <c r="P167" s="157">
        <f>SUMIFS('PQ-Due Dates'!$L:$L,'PQ-Due Dates'!$A:$A,V_Detailed_Report!$C167,'PQ-Due Dates'!$M:$M,"&gt;="&amp;V_Detailed_Report!P$3,'PQ-Due Dates'!$M:$M,"&lt;="&amp;V_Detailed_Report!P$4)</f>
        <v>0</v>
      </c>
      <c r="Q167" s="157">
        <f>SUMIFS('PQ-Due Dates'!$L:$L,'PQ-Due Dates'!$A:$A,V_Detailed_Report!$C167,'PQ-Due Dates'!$M:$M,"&gt;="&amp;V_Detailed_Report!Q$3,'PQ-Due Dates'!$M:$M,"&lt;="&amp;V_Detailed_Report!Q$4)</f>
        <v>0</v>
      </c>
      <c r="R167" s="157">
        <f>SUMIFS('PQ-Due Dates'!$L:$L,'PQ-Due Dates'!$A:$A,V_Detailed_Report!$C167,'PQ-Due Dates'!$M:$M,"&gt;="&amp;V_Detailed_Report!R$3,'PQ-Due Dates'!$M:$M,"&lt;="&amp;V_Detailed_Report!R$4)</f>
        <v>0</v>
      </c>
      <c r="S167" s="157">
        <f>SUMIFS('PQ-Due Dates'!$L:$L,'PQ-Due Dates'!$A:$A,V_Detailed_Report!$C167,'PQ-Due Dates'!$M:$M,"&gt;="&amp;V_Detailed_Report!S$3,'PQ-Due Dates'!$M:$M,"&lt;="&amp;V_Detailed_Report!S$4)</f>
        <v>0</v>
      </c>
      <c r="T167" s="157">
        <f>SUMIFS('PQ-Due Dates'!$L:$L,'PQ-Due Dates'!$A:$A,V_Detailed_Report!$C167,'PQ-Due Dates'!$M:$M,"&gt;="&amp;V_Detailed_Report!T$3,'PQ-Due Dates'!$M:$M,"&lt;="&amp;V_Detailed_Report!T$4)</f>
        <v>0</v>
      </c>
      <c r="U167" s="157">
        <f t="shared" si="17"/>
        <v>0</v>
      </c>
      <c r="V167" s="157">
        <f t="shared" si="18"/>
        <v>1228892.1395700001</v>
      </c>
      <c r="W167" s="157">
        <f t="shared" si="19"/>
        <v>1228892.1395700001</v>
      </c>
    </row>
    <row r="168" spans="1:23" x14ac:dyDescent="0.25">
      <c r="A168" s="162" t="s">
        <v>117</v>
      </c>
      <c r="B168" s="162" t="s">
        <v>19</v>
      </c>
      <c r="C168" s="162" t="s">
        <v>268</v>
      </c>
      <c r="D168" s="162" t="str">
        <f>VLOOKUP(C168,'M_LC Summary'!A:F,6,0)</f>
        <v>Riyad</v>
      </c>
      <c r="E168" s="162" t="str">
        <f>VLOOKUP(C168,'M_LC Summary'!A:C,3,0)</f>
        <v>IBA MIDDLE EAST FZE</v>
      </c>
      <c r="F168" s="157">
        <f>VLOOKUP(C168,'M_LC Summary'!A:K,11,0)</f>
        <v>3003197.5670400006</v>
      </c>
      <c r="G168" s="157">
        <f>VLOOKUP(C168,'M_LC Summary'!A:L,12,0)</f>
        <v>992843.09680000006</v>
      </c>
      <c r="H168" s="157">
        <f t="shared" si="16"/>
        <v>2010354.4702400006</v>
      </c>
      <c r="I168" s="157">
        <f>SUMIFS('PQ-Due Dates'!$L:$L,'PQ-Due Dates'!$A:$A,V_Detailed_Report!$C168,'PQ-Due Dates'!$M:$M,"&gt;="&amp;V_Detailed_Report!I$3,'PQ-Due Dates'!$M:$M,"&lt;="&amp;V_Detailed_Report!I$4)</f>
        <v>0</v>
      </c>
      <c r="J168" s="157">
        <f>SUMIFS('PQ-Due Dates'!$L:$L,'PQ-Due Dates'!$A:$A,V_Detailed_Report!$C168,'PQ-Due Dates'!$M:$M,"&gt;="&amp;V_Detailed_Report!J$3,'PQ-Due Dates'!$M:$M,"&lt;="&amp;V_Detailed_Report!J$4)</f>
        <v>0</v>
      </c>
      <c r="K168" s="157">
        <f>SUMIFS('PQ-Due Dates'!$L:$L,'PQ-Due Dates'!$A:$A,V_Detailed_Report!$C168,'PQ-Due Dates'!$M:$M,"&gt;="&amp;V_Detailed_Report!K$3,'PQ-Due Dates'!$M:$M,"&lt;="&amp;V_Detailed_Report!K$4)</f>
        <v>0</v>
      </c>
      <c r="L168" s="157">
        <f>SUMIFS('PQ-Due Dates'!$L:$L,'PQ-Due Dates'!$A:$A,V_Detailed_Report!$C168,'PQ-Due Dates'!$M:$M,"&gt;="&amp;V_Detailed_Report!L$3,'PQ-Due Dates'!$M:$M,"&lt;="&amp;V_Detailed_Report!L$4)</f>
        <v>0</v>
      </c>
      <c r="M168" s="157">
        <f>SUMIFS('PQ-Due Dates'!$L:$L,'PQ-Due Dates'!$A:$A,V_Detailed_Report!$C168,'PQ-Due Dates'!$M:$M,"&gt;="&amp;V_Detailed_Report!M$3,'PQ-Due Dates'!$M:$M,"&lt;="&amp;V_Detailed_Report!M$4)</f>
        <v>0</v>
      </c>
      <c r="N168" s="157">
        <f>SUMIFS('PQ-Due Dates'!$L:$L,'PQ-Due Dates'!$A:$A,V_Detailed_Report!$C168,'PQ-Due Dates'!$M:$M,"&gt;="&amp;V_Detailed_Report!N$3,'PQ-Due Dates'!$M:$M,"&lt;="&amp;V_Detailed_Report!N$4)</f>
        <v>0</v>
      </c>
      <c r="O168" s="157">
        <f>SUMIFS('PQ-Due Dates'!$L:$L,'PQ-Due Dates'!$A:$A,V_Detailed_Report!$C168,'PQ-Due Dates'!$M:$M,"&gt;="&amp;V_Detailed_Report!O$3,'PQ-Due Dates'!$M:$M,"&lt;="&amp;V_Detailed_Report!O$4)</f>
        <v>0</v>
      </c>
      <c r="P168" s="157">
        <f>SUMIFS('PQ-Due Dates'!$L:$L,'PQ-Due Dates'!$A:$A,V_Detailed_Report!$C168,'PQ-Due Dates'!$M:$M,"&gt;="&amp;V_Detailed_Report!P$3,'PQ-Due Dates'!$M:$M,"&lt;="&amp;V_Detailed_Report!P$4)</f>
        <v>0</v>
      </c>
      <c r="Q168" s="157">
        <f>SUMIFS('PQ-Due Dates'!$L:$L,'PQ-Due Dates'!$A:$A,V_Detailed_Report!$C168,'PQ-Due Dates'!$M:$M,"&gt;="&amp;V_Detailed_Report!Q$3,'PQ-Due Dates'!$M:$M,"&lt;="&amp;V_Detailed_Report!Q$4)</f>
        <v>0</v>
      </c>
      <c r="R168" s="157">
        <f>SUMIFS('PQ-Due Dates'!$L:$L,'PQ-Due Dates'!$A:$A,V_Detailed_Report!$C168,'PQ-Due Dates'!$M:$M,"&gt;="&amp;V_Detailed_Report!R$3,'PQ-Due Dates'!$M:$M,"&lt;="&amp;V_Detailed_Report!R$4)</f>
        <v>0</v>
      </c>
      <c r="S168" s="157">
        <f>SUMIFS('PQ-Due Dates'!$L:$L,'PQ-Due Dates'!$A:$A,V_Detailed_Report!$C168,'PQ-Due Dates'!$M:$M,"&gt;="&amp;V_Detailed_Report!S$3,'PQ-Due Dates'!$M:$M,"&lt;="&amp;V_Detailed_Report!S$4)</f>
        <v>0</v>
      </c>
      <c r="T168" s="157">
        <f>SUMIFS('PQ-Due Dates'!$L:$L,'PQ-Due Dates'!$A:$A,V_Detailed_Report!$C168,'PQ-Due Dates'!$M:$M,"&gt;="&amp;V_Detailed_Report!T$3,'PQ-Due Dates'!$M:$M,"&lt;="&amp;V_Detailed_Report!T$4)</f>
        <v>0</v>
      </c>
      <c r="U168" s="157">
        <f t="shared" si="17"/>
        <v>0</v>
      </c>
      <c r="V168" s="157">
        <f t="shared" si="18"/>
        <v>2010354.4702400006</v>
      </c>
      <c r="W168" s="157">
        <f t="shared" si="19"/>
        <v>2010354.4702400006</v>
      </c>
    </row>
    <row r="169" spans="1:23" x14ac:dyDescent="0.25">
      <c r="A169" s="162" t="s">
        <v>117</v>
      </c>
      <c r="B169" s="162" t="s">
        <v>19</v>
      </c>
      <c r="C169" s="162" t="s">
        <v>292</v>
      </c>
      <c r="D169" s="162" t="str">
        <f>VLOOKUP(C169,'M_LC Summary'!A:F,6,0)</f>
        <v>Riyad</v>
      </c>
      <c r="E169" s="162" t="str">
        <f>VLOOKUP(C169,'M_LC Summary'!A:C,3,0)</f>
        <v>ALFANAR ELECTRICAL SYSTEMS</v>
      </c>
      <c r="F169" s="157">
        <f>VLOOKUP(C169,'M_LC Summary'!A:K,11,0)</f>
        <v>1044853.45</v>
      </c>
      <c r="G169" s="157">
        <f>VLOOKUP(C169,'M_LC Summary'!A:L,12,0)</f>
        <v>0</v>
      </c>
      <c r="H169" s="157">
        <f t="shared" si="16"/>
        <v>1044853.45</v>
      </c>
      <c r="I169" s="157">
        <f>SUMIFS('PQ-Due Dates'!$L:$L,'PQ-Due Dates'!$A:$A,V_Detailed_Report!$C169,'PQ-Due Dates'!$M:$M,"&gt;="&amp;V_Detailed_Report!I$3,'PQ-Due Dates'!$M:$M,"&lt;="&amp;V_Detailed_Report!I$4)</f>
        <v>0</v>
      </c>
      <c r="J169" s="157">
        <f>SUMIFS('PQ-Due Dates'!$L:$L,'PQ-Due Dates'!$A:$A,V_Detailed_Report!$C169,'PQ-Due Dates'!$M:$M,"&gt;="&amp;V_Detailed_Report!J$3,'PQ-Due Dates'!$M:$M,"&lt;="&amp;V_Detailed_Report!J$4)</f>
        <v>0</v>
      </c>
      <c r="K169" s="157">
        <f>SUMIFS('PQ-Due Dates'!$L:$L,'PQ-Due Dates'!$A:$A,V_Detailed_Report!$C169,'PQ-Due Dates'!$M:$M,"&gt;="&amp;V_Detailed_Report!K$3,'PQ-Due Dates'!$M:$M,"&lt;="&amp;V_Detailed_Report!K$4)</f>
        <v>0</v>
      </c>
      <c r="L169" s="157">
        <f>SUMIFS('PQ-Due Dates'!$L:$L,'PQ-Due Dates'!$A:$A,V_Detailed_Report!$C169,'PQ-Due Dates'!$M:$M,"&gt;="&amp;V_Detailed_Report!L$3,'PQ-Due Dates'!$M:$M,"&lt;="&amp;V_Detailed_Report!L$4)</f>
        <v>0</v>
      </c>
      <c r="M169" s="157">
        <f>SUMIFS('PQ-Due Dates'!$L:$L,'PQ-Due Dates'!$A:$A,V_Detailed_Report!$C169,'PQ-Due Dates'!$M:$M,"&gt;="&amp;V_Detailed_Report!M$3,'PQ-Due Dates'!$M:$M,"&lt;="&amp;V_Detailed_Report!M$4)</f>
        <v>0</v>
      </c>
      <c r="N169" s="157">
        <f>SUMIFS('PQ-Due Dates'!$L:$L,'PQ-Due Dates'!$A:$A,V_Detailed_Report!$C169,'PQ-Due Dates'!$M:$M,"&gt;="&amp;V_Detailed_Report!N$3,'PQ-Due Dates'!$M:$M,"&lt;="&amp;V_Detailed_Report!N$4)</f>
        <v>0</v>
      </c>
      <c r="O169" s="157">
        <f>SUMIFS('PQ-Due Dates'!$L:$L,'PQ-Due Dates'!$A:$A,V_Detailed_Report!$C169,'PQ-Due Dates'!$M:$M,"&gt;="&amp;V_Detailed_Report!O$3,'PQ-Due Dates'!$M:$M,"&lt;="&amp;V_Detailed_Report!O$4)</f>
        <v>567743.27</v>
      </c>
      <c r="P169" s="157">
        <f>SUMIFS('PQ-Due Dates'!$L:$L,'PQ-Due Dates'!$A:$A,V_Detailed_Report!$C169,'PQ-Due Dates'!$M:$M,"&gt;="&amp;V_Detailed_Report!P$3,'PQ-Due Dates'!$M:$M,"&lt;="&amp;V_Detailed_Report!P$4)</f>
        <v>0</v>
      </c>
      <c r="Q169" s="157">
        <f>SUMIFS('PQ-Due Dates'!$L:$L,'PQ-Due Dates'!$A:$A,V_Detailed_Report!$C169,'PQ-Due Dates'!$M:$M,"&gt;="&amp;V_Detailed_Report!Q$3,'PQ-Due Dates'!$M:$M,"&lt;="&amp;V_Detailed_Report!Q$4)</f>
        <v>0</v>
      </c>
      <c r="R169" s="157">
        <f>SUMIFS('PQ-Due Dates'!$L:$L,'PQ-Due Dates'!$A:$A,V_Detailed_Report!$C169,'PQ-Due Dates'!$M:$M,"&gt;="&amp;V_Detailed_Report!R$3,'PQ-Due Dates'!$M:$M,"&lt;="&amp;V_Detailed_Report!R$4)</f>
        <v>0</v>
      </c>
      <c r="S169" s="157">
        <f>SUMIFS('PQ-Due Dates'!$L:$L,'PQ-Due Dates'!$A:$A,V_Detailed_Report!$C169,'PQ-Due Dates'!$M:$M,"&gt;="&amp;V_Detailed_Report!S$3,'PQ-Due Dates'!$M:$M,"&lt;="&amp;V_Detailed_Report!S$4)</f>
        <v>0</v>
      </c>
      <c r="T169" s="157">
        <f>SUMIFS('PQ-Due Dates'!$L:$L,'PQ-Due Dates'!$A:$A,V_Detailed_Report!$C169,'PQ-Due Dates'!$M:$M,"&gt;="&amp;V_Detailed_Report!T$3,'PQ-Due Dates'!$M:$M,"&lt;="&amp;V_Detailed_Report!T$4)</f>
        <v>0</v>
      </c>
      <c r="U169" s="157">
        <f t="shared" si="17"/>
        <v>567743.27</v>
      </c>
      <c r="V169" s="157">
        <f t="shared" si="18"/>
        <v>477110.17999999993</v>
      </c>
      <c r="W169" s="157">
        <f t="shared" si="19"/>
        <v>1044853.45</v>
      </c>
    </row>
    <row r="170" spans="1:23" x14ac:dyDescent="0.25">
      <c r="A170" s="162" t="s">
        <v>117</v>
      </c>
      <c r="B170" s="162" t="s">
        <v>19</v>
      </c>
      <c r="C170" s="162" t="s">
        <v>294</v>
      </c>
      <c r="D170" s="162" t="str">
        <f>VLOOKUP(C170,'M_LC Summary'!A:F,6,0)</f>
        <v>Riyad</v>
      </c>
      <c r="E170" s="162" t="str">
        <f>VLOOKUP(C170,'M_LC Summary'!A:C,3,0)</f>
        <v>ISAM KABBANI &amp; PARTNERS LTD-UNITECH</v>
      </c>
      <c r="F170" s="157">
        <f>VLOOKUP(C170,'M_LC Summary'!A:K,11,0)</f>
        <v>500000</v>
      </c>
      <c r="G170" s="157">
        <f>VLOOKUP(C170,'M_LC Summary'!A:L,12,0)</f>
        <v>0</v>
      </c>
      <c r="H170" s="157">
        <f t="shared" si="16"/>
        <v>500000</v>
      </c>
      <c r="I170" s="157">
        <f>SUMIFS('PQ-Due Dates'!$L:$L,'PQ-Due Dates'!$A:$A,V_Detailed_Report!$C170,'PQ-Due Dates'!$M:$M,"&gt;="&amp;V_Detailed_Report!I$3,'PQ-Due Dates'!$M:$M,"&lt;="&amp;V_Detailed_Report!I$4)</f>
        <v>0</v>
      </c>
      <c r="J170" s="157">
        <f>SUMIFS('PQ-Due Dates'!$L:$L,'PQ-Due Dates'!$A:$A,V_Detailed_Report!$C170,'PQ-Due Dates'!$M:$M,"&gt;="&amp;V_Detailed_Report!J$3,'PQ-Due Dates'!$M:$M,"&lt;="&amp;V_Detailed_Report!J$4)</f>
        <v>0</v>
      </c>
      <c r="K170" s="157">
        <f>SUMIFS('PQ-Due Dates'!$L:$L,'PQ-Due Dates'!$A:$A,V_Detailed_Report!$C170,'PQ-Due Dates'!$M:$M,"&gt;="&amp;V_Detailed_Report!K$3,'PQ-Due Dates'!$M:$M,"&lt;="&amp;V_Detailed_Report!K$4)</f>
        <v>0</v>
      </c>
      <c r="L170" s="157">
        <f>SUMIFS('PQ-Due Dates'!$L:$L,'PQ-Due Dates'!$A:$A,V_Detailed_Report!$C170,'PQ-Due Dates'!$M:$M,"&gt;="&amp;V_Detailed_Report!L$3,'PQ-Due Dates'!$M:$M,"&lt;="&amp;V_Detailed_Report!L$4)</f>
        <v>500000</v>
      </c>
      <c r="M170" s="157">
        <f>SUMIFS('PQ-Due Dates'!$L:$L,'PQ-Due Dates'!$A:$A,V_Detailed_Report!$C170,'PQ-Due Dates'!$M:$M,"&gt;="&amp;V_Detailed_Report!M$3,'PQ-Due Dates'!$M:$M,"&lt;="&amp;V_Detailed_Report!M$4)</f>
        <v>0</v>
      </c>
      <c r="N170" s="157">
        <f>SUMIFS('PQ-Due Dates'!$L:$L,'PQ-Due Dates'!$A:$A,V_Detailed_Report!$C170,'PQ-Due Dates'!$M:$M,"&gt;="&amp;V_Detailed_Report!N$3,'PQ-Due Dates'!$M:$M,"&lt;="&amp;V_Detailed_Report!N$4)</f>
        <v>0</v>
      </c>
      <c r="O170" s="157">
        <f>SUMIFS('PQ-Due Dates'!$L:$L,'PQ-Due Dates'!$A:$A,V_Detailed_Report!$C170,'PQ-Due Dates'!$M:$M,"&gt;="&amp;V_Detailed_Report!O$3,'PQ-Due Dates'!$M:$M,"&lt;="&amp;V_Detailed_Report!O$4)</f>
        <v>0</v>
      </c>
      <c r="P170" s="157">
        <f>SUMIFS('PQ-Due Dates'!$L:$L,'PQ-Due Dates'!$A:$A,V_Detailed_Report!$C170,'PQ-Due Dates'!$M:$M,"&gt;="&amp;V_Detailed_Report!P$3,'PQ-Due Dates'!$M:$M,"&lt;="&amp;V_Detailed_Report!P$4)</f>
        <v>0</v>
      </c>
      <c r="Q170" s="157">
        <f>SUMIFS('PQ-Due Dates'!$L:$L,'PQ-Due Dates'!$A:$A,V_Detailed_Report!$C170,'PQ-Due Dates'!$M:$M,"&gt;="&amp;V_Detailed_Report!Q$3,'PQ-Due Dates'!$M:$M,"&lt;="&amp;V_Detailed_Report!Q$4)</f>
        <v>0</v>
      </c>
      <c r="R170" s="157">
        <f>SUMIFS('PQ-Due Dates'!$L:$L,'PQ-Due Dates'!$A:$A,V_Detailed_Report!$C170,'PQ-Due Dates'!$M:$M,"&gt;="&amp;V_Detailed_Report!R$3,'PQ-Due Dates'!$M:$M,"&lt;="&amp;V_Detailed_Report!R$4)</f>
        <v>0</v>
      </c>
      <c r="S170" s="157">
        <f>SUMIFS('PQ-Due Dates'!$L:$L,'PQ-Due Dates'!$A:$A,V_Detailed_Report!$C170,'PQ-Due Dates'!$M:$M,"&gt;="&amp;V_Detailed_Report!S$3,'PQ-Due Dates'!$M:$M,"&lt;="&amp;V_Detailed_Report!S$4)</f>
        <v>0</v>
      </c>
      <c r="T170" s="157">
        <f>SUMIFS('PQ-Due Dates'!$L:$L,'PQ-Due Dates'!$A:$A,V_Detailed_Report!$C170,'PQ-Due Dates'!$M:$M,"&gt;="&amp;V_Detailed_Report!T$3,'PQ-Due Dates'!$M:$M,"&lt;="&amp;V_Detailed_Report!T$4)</f>
        <v>0</v>
      </c>
      <c r="U170" s="157">
        <f t="shared" si="17"/>
        <v>500000</v>
      </c>
      <c r="V170" s="157">
        <f t="shared" si="18"/>
        <v>0</v>
      </c>
      <c r="W170" s="157">
        <f t="shared" si="19"/>
        <v>500000</v>
      </c>
    </row>
    <row r="171" spans="1:23" x14ac:dyDescent="0.25">
      <c r="A171" s="162" t="s">
        <v>117</v>
      </c>
      <c r="B171" s="162" t="s">
        <v>19</v>
      </c>
      <c r="C171" s="162" t="s">
        <v>295</v>
      </c>
      <c r="D171" s="162" t="str">
        <f>VLOOKUP(C171,'M_LC Summary'!A:F,6,0)</f>
        <v>Riyad</v>
      </c>
      <c r="E171" s="162" t="str">
        <f>VLOOKUP(C171,'M_LC Summary'!A:C,3,0)</f>
        <v>Riyadh Unity for Trading</v>
      </c>
      <c r="F171" s="157">
        <f>VLOOKUP(C171,'M_LC Summary'!A:K,11,0)</f>
        <v>500000</v>
      </c>
      <c r="G171" s="157">
        <f>VLOOKUP(C171,'M_LC Summary'!A:L,12,0)</f>
        <v>326709.94</v>
      </c>
      <c r="H171" s="157">
        <f t="shared" si="16"/>
        <v>173290.06</v>
      </c>
      <c r="I171" s="157">
        <f>SUMIFS('PQ-Due Dates'!$L:$L,'PQ-Due Dates'!$A:$A,V_Detailed_Report!$C171,'PQ-Due Dates'!$M:$M,"&gt;="&amp;V_Detailed_Report!I$3,'PQ-Due Dates'!$M:$M,"&lt;="&amp;V_Detailed_Report!I$4)</f>
        <v>0</v>
      </c>
      <c r="J171" s="157">
        <f>SUMIFS('PQ-Due Dates'!$L:$L,'PQ-Due Dates'!$A:$A,V_Detailed_Report!$C171,'PQ-Due Dates'!$M:$M,"&gt;="&amp;V_Detailed_Report!J$3,'PQ-Due Dates'!$M:$M,"&lt;="&amp;V_Detailed_Report!J$4)</f>
        <v>0</v>
      </c>
      <c r="K171" s="157">
        <f>SUMIFS('PQ-Due Dates'!$L:$L,'PQ-Due Dates'!$A:$A,V_Detailed_Report!$C171,'PQ-Due Dates'!$M:$M,"&gt;="&amp;V_Detailed_Report!K$3,'PQ-Due Dates'!$M:$M,"&lt;="&amp;V_Detailed_Report!K$4)</f>
        <v>0</v>
      </c>
      <c r="L171" s="157">
        <f>SUMIFS('PQ-Due Dates'!$L:$L,'PQ-Due Dates'!$A:$A,V_Detailed_Report!$C171,'PQ-Due Dates'!$M:$M,"&gt;="&amp;V_Detailed_Report!L$3,'PQ-Due Dates'!$M:$M,"&lt;="&amp;V_Detailed_Report!L$4)</f>
        <v>0</v>
      </c>
      <c r="M171" s="157">
        <f>SUMIFS('PQ-Due Dates'!$L:$L,'PQ-Due Dates'!$A:$A,V_Detailed_Report!$C171,'PQ-Due Dates'!$M:$M,"&gt;="&amp;V_Detailed_Report!M$3,'PQ-Due Dates'!$M:$M,"&lt;="&amp;V_Detailed_Report!M$4)</f>
        <v>0</v>
      </c>
      <c r="N171" s="157">
        <f>SUMIFS('PQ-Due Dates'!$L:$L,'PQ-Due Dates'!$A:$A,V_Detailed_Report!$C171,'PQ-Due Dates'!$M:$M,"&gt;="&amp;V_Detailed_Report!N$3,'PQ-Due Dates'!$M:$M,"&lt;="&amp;V_Detailed_Report!N$4)</f>
        <v>0</v>
      </c>
      <c r="O171" s="157">
        <f>SUMIFS('PQ-Due Dates'!$L:$L,'PQ-Due Dates'!$A:$A,V_Detailed_Report!$C171,'PQ-Due Dates'!$M:$M,"&gt;="&amp;V_Detailed_Report!O$3,'PQ-Due Dates'!$M:$M,"&lt;="&amp;V_Detailed_Report!O$4)</f>
        <v>0</v>
      </c>
      <c r="P171" s="157">
        <f>SUMIFS('PQ-Due Dates'!$L:$L,'PQ-Due Dates'!$A:$A,V_Detailed_Report!$C171,'PQ-Due Dates'!$M:$M,"&gt;="&amp;V_Detailed_Report!P$3,'PQ-Due Dates'!$M:$M,"&lt;="&amp;V_Detailed_Report!P$4)</f>
        <v>0</v>
      </c>
      <c r="Q171" s="157">
        <f>SUMIFS('PQ-Due Dates'!$L:$L,'PQ-Due Dates'!$A:$A,V_Detailed_Report!$C171,'PQ-Due Dates'!$M:$M,"&gt;="&amp;V_Detailed_Report!Q$3,'PQ-Due Dates'!$M:$M,"&lt;="&amp;V_Detailed_Report!Q$4)</f>
        <v>0</v>
      </c>
      <c r="R171" s="157">
        <f>SUMIFS('PQ-Due Dates'!$L:$L,'PQ-Due Dates'!$A:$A,V_Detailed_Report!$C171,'PQ-Due Dates'!$M:$M,"&gt;="&amp;V_Detailed_Report!R$3,'PQ-Due Dates'!$M:$M,"&lt;="&amp;V_Detailed_Report!R$4)</f>
        <v>0</v>
      </c>
      <c r="S171" s="157">
        <f>SUMIFS('PQ-Due Dates'!$L:$L,'PQ-Due Dates'!$A:$A,V_Detailed_Report!$C171,'PQ-Due Dates'!$M:$M,"&gt;="&amp;V_Detailed_Report!S$3,'PQ-Due Dates'!$M:$M,"&lt;="&amp;V_Detailed_Report!S$4)</f>
        <v>0</v>
      </c>
      <c r="T171" s="157">
        <f>SUMIFS('PQ-Due Dates'!$L:$L,'PQ-Due Dates'!$A:$A,V_Detailed_Report!$C171,'PQ-Due Dates'!$M:$M,"&gt;="&amp;V_Detailed_Report!T$3,'PQ-Due Dates'!$M:$M,"&lt;="&amp;V_Detailed_Report!T$4)</f>
        <v>0</v>
      </c>
      <c r="U171" s="157">
        <f t="shared" si="17"/>
        <v>0</v>
      </c>
      <c r="V171" s="157">
        <f t="shared" si="18"/>
        <v>173290.06</v>
      </c>
      <c r="W171" s="157">
        <f t="shared" si="19"/>
        <v>173290.06</v>
      </c>
    </row>
    <row r="172" spans="1:23" x14ac:dyDescent="0.25">
      <c r="A172" s="162" t="s">
        <v>117</v>
      </c>
      <c r="B172" s="162" t="s">
        <v>19</v>
      </c>
      <c r="C172" s="162" t="s">
        <v>296</v>
      </c>
      <c r="D172" s="162" t="str">
        <f>VLOOKUP(C172,'M_LC Summary'!A:F,6,0)</f>
        <v>Riyad</v>
      </c>
      <c r="E172" s="162" t="str">
        <f>VLOOKUP(C172,'M_LC Summary'!A:C,3,0)</f>
        <v>SCHNEIDER ELECTRIC SAUDI ARABIA CO</v>
      </c>
      <c r="F172" s="157">
        <f>VLOOKUP(C172,'M_LC Summary'!A:K,11,0)</f>
        <v>1350790.07</v>
      </c>
      <c r="G172" s="157">
        <f>VLOOKUP(C172,'M_LC Summary'!A:L,12,0)</f>
        <v>0</v>
      </c>
      <c r="H172" s="157">
        <f t="shared" si="16"/>
        <v>1350790.07</v>
      </c>
      <c r="I172" s="157">
        <f>SUMIFS('PQ-Due Dates'!$L:$L,'PQ-Due Dates'!$A:$A,V_Detailed_Report!$C172,'PQ-Due Dates'!$M:$M,"&gt;="&amp;V_Detailed_Report!I$3,'PQ-Due Dates'!$M:$M,"&lt;="&amp;V_Detailed_Report!I$4)</f>
        <v>0</v>
      </c>
      <c r="J172" s="157">
        <f>SUMIFS('PQ-Due Dates'!$L:$L,'PQ-Due Dates'!$A:$A,V_Detailed_Report!$C172,'PQ-Due Dates'!$M:$M,"&gt;="&amp;V_Detailed_Report!J$3,'PQ-Due Dates'!$M:$M,"&lt;="&amp;V_Detailed_Report!J$4)</f>
        <v>0</v>
      </c>
      <c r="K172" s="157">
        <f>SUMIFS('PQ-Due Dates'!$L:$L,'PQ-Due Dates'!$A:$A,V_Detailed_Report!$C172,'PQ-Due Dates'!$M:$M,"&gt;="&amp;V_Detailed_Report!K$3,'PQ-Due Dates'!$M:$M,"&lt;="&amp;V_Detailed_Report!K$4)</f>
        <v>0</v>
      </c>
      <c r="L172" s="157">
        <f>SUMIFS('PQ-Due Dates'!$L:$L,'PQ-Due Dates'!$A:$A,V_Detailed_Report!$C172,'PQ-Due Dates'!$M:$M,"&gt;="&amp;V_Detailed_Report!L$3,'PQ-Due Dates'!$M:$M,"&lt;="&amp;V_Detailed_Report!L$4)</f>
        <v>0</v>
      </c>
      <c r="M172" s="157">
        <f>SUMIFS('PQ-Due Dates'!$L:$L,'PQ-Due Dates'!$A:$A,V_Detailed_Report!$C172,'PQ-Due Dates'!$M:$M,"&gt;="&amp;V_Detailed_Report!M$3,'PQ-Due Dates'!$M:$M,"&lt;="&amp;V_Detailed_Report!M$4)</f>
        <v>0</v>
      </c>
      <c r="N172" s="157">
        <f>SUMIFS('PQ-Due Dates'!$L:$L,'PQ-Due Dates'!$A:$A,V_Detailed_Report!$C172,'PQ-Due Dates'!$M:$M,"&gt;="&amp;V_Detailed_Report!N$3,'PQ-Due Dates'!$M:$M,"&lt;="&amp;V_Detailed_Report!N$4)</f>
        <v>0</v>
      </c>
      <c r="O172" s="157">
        <f>SUMIFS('PQ-Due Dates'!$L:$L,'PQ-Due Dates'!$A:$A,V_Detailed_Report!$C172,'PQ-Due Dates'!$M:$M,"&gt;="&amp;V_Detailed_Report!O$3,'PQ-Due Dates'!$M:$M,"&lt;="&amp;V_Detailed_Report!O$4)</f>
        <v>0</v>
      </c>
      <c r="P172" s="157">
        <f>SUMIFS('PQ-Due Dates'!$L:$L,'PQ-Due Dates'!$A:$A,V_Detailed_Report!$C172,'PQ-Due Dates'!$M:$M,"&gt;="&amp;V_Detailed_Report!P$3,'PQ-Due Dates'!$M:$M,"&lt;="&amp;V_Detailed_Report!P$4)</f>
        <v>0</v>
      </c>
      <c r="Q172" s="157">
        <f>SUMIFS('PQ-Due Dates'!$L:$L,'PQ-Due Dates'!$A:$A,V_Detailed_Report!$C172,'PQ-Due Dates'!$M:$M,"&gt;="&amp;V_Detailed_Report!Q$3,'PQ-Due Dates'!$M:$M,"&lt;="&amp;V_Detailed_Report!Q$4)</f>
        <v>0</v>
      </c>
      <c r="R172" s="157">
        <f>SUMIFS('PQ-Due Dates'!$L:$L,'PQ-Due Dates'!$A:$A,V_Detailed_Report!$C172,'PQ-Due Dates'!$M:$M,"&gt;="&amp;V_Detailed_Report!R$3,'PQ-Due Dates'!$M:$M,"&lt;="&amp;V_Detailed_Report!R$4)</f>
        <v>0</v>
      </c>
      <c r="S172" s="157">
        <f>SUMIFS('PQ-Due Dates'!$L:$L,'PQ-Due Dates'!$A:$A,V_Detailed_Report!$C172,'PQ-Due Dates'!$M:$M,"&gt;="&amp;V_Detailed_Report!S$3,'PQ-Due Dates'!$M:$M,"&lt;="&amp;V_Detailed_Report!S$4)</f>
        <v>0</v>
      </c>
      <c r="T172" s="157">
        <f>SUMIFS('PQ-Due Dates'!$L:$L,'PQ-Due Dates'!$A:$A,V_Detailed_Report!$C172,'PQ-Due Dates'!$M:$M,"&gt;="&amp;V_Detailed_Report!T$3,'PQ-Due Dates'!$M:$M,"&lt;="&amp;V_Detailed_Report!T$4)</f>
        <v>0</v>
      </c>
      <c r="U172" s="157">
        <f t="shared" si="17"/>
        <v>0</v>
      </c>
      <c r="V172" s="157">
        <f t="shared" si="18"/>
        <v>1350790.07</v>
      </c>
      <c r="W172" s="157">
        <f t="shared" si="19"/>
        <v>1350790.07</v>
      </c>
    </row>
    <row r="173" spans="1:23" x14ac:dyDescent="0.25">
      <c r="A173" s="162" t="s">
        <v>117</v>
      </c>
      <c r="B173" s="162" t="s">
        <v>19</v>
      </c>
      <c r="C173" s="162" t="s">
        <v>297</v>
      </c>
      <c r="D173" s="162" t="str">
        <f>VLOOKUP(C173,'M_LC Summary'!A:F,6,0)</f>
        <v>Riyad</v>
      </c>
      <c r="E173" s="162" t="str">
        <f>VLOOKUP(C173,'M_LC Summary'!A:C,3,0)</f>
        <v>SKM Air Conditioning Company</v>
      </c>
      <c r="F173" s="157">
        <f>VLOOKUP(C173,'M_LC Summary'!A:K,11,0)</f>
        <v>500000</v>
      </c>
      <c r="G173" s="157">
        <f>VLOOKUP(C173,'M_LC Summary'!A:L,12,0)</f>
        <v>0</v>
      </c>
      <c r="H173" s="157">
        <f t="shared" si="16"/>
        <v>500000</v>
      </c>
      <c r="I173" s="157">
        <f>SUMIFS('PQ-Due Dates'!$L:$L,'PQ-Due Dates'!$A:$A,V_Detailed_Report!$C173,'PQ-Due Dates'!$M:$M,"&gt;="&amp;V_Detailed_Report!I$3,'PQ-Due Dates'!$M:$M,"&lt;="&amp;V_Detailed_Report!I$4)</f>
        <v>0</v>
      </c>
      <c r="J173" s="157">
        <f>SUMIFS('PQ-Due Dates'!$L:$L,'PQ-Due Dates'!$A:$A,V_Detailed_Report!$C173,'PQ-Due Dates'!$M:$M,"&gt;="&amp;V_Detailed_Report!J$3,'PQ-Due Dates'!$M:$M,"&lt;="&amp;V_Detailed_Report!J$4)</f>
        <v>0</v>
      </c>
      <c r="K173" s="157">
        <f>SUMIFS('PQ-Due Dates'!$L:$L,'PQ-Due Dates'!$A:$A,V_Detailed_Report!$C173,'PQ-Due Dates'!$M:$M,"&gt;="&amp;V_Detailed_Report!K$3,'PQ-Due Dates'!$M:$M,"&lt;="&amp;V_Detailed_Report!K$4)</f>
        <v>0</v>
      </c>
      <c r="L173" s="157">
        <f>SUMIFS('PQ-Due Dates'!$L:$L,'PQ-Due Dates'!$A:$A,V_Detailed_Report!$C173,'PQ-Due Dates'!$M:$M,"&gt;="&amp;V_Detailed_Report!L$3,'PQ-Due Dates'!$M:$M,"&lt;="&amp;V_Detailed_Report!L$4)</f>
        <v>0</v>
      </c>
      <c r="M173" s="157">
        <f>SUMIFS('PQ-Due Dates'!$L:$L,'PQ-Due Dates'!$A:$A,V_Detailed_Report!$C173,'PQ-Due Dates'!$M:$M,"&gt;="&amp;V_Detailed_Report!M$3,'PQ-Due Dates'!$M:$M,"&lt;="&amp;V_Detailed_Report!M$4)</f>
        <v>500000</v>
      </c>
      <c r="N173" s="157">
        <f>SUMIFS('PQ-Due Dates'!$L:$L,'PQ-Due Dates'!$A:$A,V_Detailed_Report!$C173,'PQ-Due Dates'!$M:$M,"&gt;="&amp;V_Detailed_Report!N$3,'PQ-Due Dates'!$M:$M,"&lt;="&amp;V_Detailed_Report!N$4)</f>
        <v>0</v>
      </c>
      <c r="O173" s="157">
        <f>SUMIFS('PQ-Due Dates'!$L:$L,'PQ-Due Dates'!$A:$A,V_Detailed_Report!$C173,'PQ-Due Dates'!$M:$M,"&gt;="&amp;V_Detailed_Report!O$3,'PQ-Due Dates'!$M:$M,"&lt;="&amp;V_Detailed_Report!O$4)</f>
        <v>0</v>
      </c>
      <c r="P173" s="157">
        <f>SUMIFS('PQ-Due Dates'!$L:$L,'PQ-Due Dates'!$A:$A,V_Detailed_Report!$C173,'PQ-Due Dates'!$M:$M,"&gt;="&amp;V_Detailed_Report!P$3,'PQ-Due Dates'!$M:$M,"&lt;="&amp;V_Detailed_Report!P$4)</f>
        <v>0</v>
      </c>
      <c r="Q173" s="157">
        <f>SUMIFS('PQ-Due Dates'!$L:$L,'PQ-Due Dates'!$A:$A,V_Detailed_Report!$C173,'PQ-Due Dates'!$M:$M,"&gt;="&amp;V_Detailed_Report!Q$3,'PQ-Due Dates'!$M:$M,"&lt;="&amp;V_Detailed_Report!Q$4)</f>
        <v>0</v>
      </c>
      <c r="R173" s="157">
        <f>SUMIFS('PQ-Due Dates'!$L:$L,'PQ-Due Dates'!$A:$A,V_Detailed_Report!$C173,'PQ-Due Dates'!$M:$M,"&gt;="&amp;V_Detailed_Report!R$3,'PQ-Due Dates'!$M:$M,"&lt;="&amp;V_Detailed_Report!R$4)</f>
        <v>0</v>
      </c>
      <c r="S173" s="157">
        <f>SUMIFS('PQ-Due Dates'!$L:$L,'PQ-Due Dates'!$A:$A,V_Detailed_Report!$C173,'PQ-Due Dates'!$M:$M,"&gt;="&amp;V_Detailed_Report!S$3,'PQ-Due Dates'!$M:$M,"&lt;="&amp;V_Detailed_Report!S$4)</f>
        <v>0</v>
      </c>
      <c r="T173" s="157">
        <f>SUMIFS('PQ-Due Dates'!$L:$L,'PQ-Due Dates'!$A:$A,V_Detailed_Report!$C173,'PQ-Due Dates'!$M:$M,"&gt;="&amp;V_Detailed_Report!T$3,'PQ-Due Dates'!$M:$M,"&lt;="&amp;V_Detailed_Report!T$4)</f>
        <v>0</v>
      </c>
      <c r="U173" s="157">
        <f t="shared" si="17"/>
        <v>500000</v>
      </c>
      <c r="V173" s="157">
        <f t="shared" si="18"/>
        <v>0</v>
      </c>
      <c r="W173" s="157">
        <f t="shared" si="19"/>
        <v>500000</v>
      </c>
    </row>
    <row r="174" spans="1:23" x14ac:dyDescent="0.25">
      <c r="A174" s="162" t="s">
        <v>117</v>
      </c>
      <c r="B174" s="162" t="s">
        <v>19</v>
      </c>
      <c r="C174" s="162" t="s">
        <v>298</v>
      </c>
      <c r="D174" s="162" t="str">
        <f>VLOOKUP(C174,'M_LC Summary'!A:F,6,0)</f>
        <v>Riyad</v>
      </c>
      <c r="E174" s="162" t="str">
        <f>VLOOKUP(C174,'M_LC Summary'!A:C,3,0)</f>
        <v>Teqniye Al-Majra For Contracting</v>
      </c>
      <c r="F174" s="157">
        <f>VLOOKUP(C174,'M_LC Summary'!A:K,11,0)</f>
        <v>500000</v>
      </c>
      <c r="G174" s="157">
        <f>VLOOKUP(C174,'M_LC Summary'!A:L,12,0)</f>
        <v>0</v>
      </c>
      <c r="H174" s="157">
        <f t="shared" si="16"/>
        <v>500000</v>
      </c>
      <c r="I174" s="157">
        <f>SUMIFS('PQ-Due Dates'!$L:$L,'PQ-Due Dates'!$A:$A,V_Detailed_Report!$C174,'PQ-Due Dates'!$M:$M,"&gt;="&amp;V_Detailed_Report!I$3,'PQ-Due Dates'!$M:$M,"&lt;="&amp;V_Detailed_Report!I$4)</f>
        <v>0</v>
      </c>
      <c r="J174" s="157">
        <f>SUMIFS('PQ-Due Dates'!$L:$L,'PQ-Due Dates'!$A:$A,V_Detailed_Report!$C174,'PQ-Due Dates'!$M:$M,"&gt;="&amp;V_Detailed_Report!J$3,'PQ-Due Dates'!$M:$M,"&lt;="&amp;V_Detailed_Report!J$4)</f>
        <v>0</v>
      </c>
      <c r="K174" s="157">
        <f>SUMIFS('PQ-Due Dates'!$L:$L,'PQ-Due Dates'!$A:$A,V_Detailed_Report!$C174,'PQ-Due Dates'!$M:$M,"&gt;="&amp;V_Detailed_Report!K$3,'PQ-Due Dates'!$M:$M,"&lt;="&amp;V_Detailed_Report!K$4)</f>
        <v>0</v>
      </c>
      <c r="L174" s="157">
        <f>SUMIFS('PQ-Due Dates'!$L:$L,'PQ-Due Dates'!$A:$A,V_Detailed_Report!$C174,'PQ-Due Dates'!$M:$M,"&gt;="&amp;V_Detailed_Report!L$3,'PQ-Due Dates'!$M:$M,"&lt;="&amp;V_Detailed_Report!L$4)</f>
        <v>0</v>
      </c>
      <c r="M174" s="157">
        <f>SUMIFS('PQ-Due Dates'!$L:$L,'PQ-Due Dates'!$A:$A,V_Detailed_Report!$C174,'PQ-Due Dates'!$M:$M,"&gt;="&amp;V_Detailed_Report!M$3,'PQ-Due Dates'!$M:$M,"&lt;="&amp;V_Detailed_Report!M$4)</f>
        <v>0</v>
      </c>
      <c r="N174" s="157">
        <f>SUMIFS('PQ-Due Dates'!$L:$L,'PQ-Due Dates'!$A:$A,V_Detailed_Report!$C174,'PQ-Due Dates'!$M:$M,"&gt;="&amp;V_Detailed_Report!N$3,'PQ-Due Dates'!$M:$M,"&lt;="&amp;V_Detailed_Report!N$4)</f>
        <v>0</v>
      </c>
      <c r="O174" s="157">
        <f>SUMIFS('PQ-Due Dates'!$L:$L,'PQ-Due Dates'!$A:$A,V_Detailed_Report!$C174,'PQ-Due Dates'!$M:$M,"&gt;="&amp;V_Detailed_Report!O$3,'PQ-Due Dates'!$M:$M,"&lt;="&amp;V_Detailed_Report!O$4)</f>
        <v>489669.97</v>
      </c>
      <c r="P174" s="157">
        <f>SUMIFS('PQ-Due Dates'!$L:$L,'PQ-Due Dates'!$A:$A,V_Detailed_Report!$C174,'PQ-Due Dates'!$M:$M,"&gt;="&amp;V_Detailed_Report!P$3,'PQ-Due Dates'!$M:$M,"&lt;="&amp;V_Detailed_Report!P$4)</f>
        <v>0</v>
      </c>
      <c r="Q174" s="157">
        <f>SUMIFS('PQ-Due Dates'!$L:$L,'PQ-Due Dates'!$A:$A,V_Detailed_Report!$C174,'PQ-Due Dates'!$M:$M,"&gt;="&amp;V_Detailed_Report!Q$3,'PQ-Due Dates'!$M:$M,"&lt;="&amp;V_Detailed_Report!Q$4)</f>
        <v>0</v>
      </c>
      <c r="R174" s="157">
        <f>SUMIFS('PQ-Due Dates'!$L:$L,'PQ-Due Dates'!$A:$A,V_Detailed_Report!$C174,'PQ-Due Dates'!$M:$M,"&gt;="&amp;V_Detailed_Report!R$3,'PQ-Due Dates'!$M:$M,"&lt;="&amp;V_Detailed_Report!R$4)</f>
        <v>0</v>
      </c>
      <c r="S174" s="157">
        <f>SUMIFS('PQ-Due Dates'!$L:$L,'PQ-Due Dates'!$A:$A,V_Detailed_Report!$C174,'PQ-Due Dates'!$M:$M,"&gt;="&amp;V_Detailed_Report!S$3,'PQ-Due Dates'!$M:$M,"&lt;="&amp;V_Detailed_Report!S$4)</f>
        <v>0</v>
      </c>
      <c r="T174" s="157">
        <f>SUMIFS('PQ-Due Dates'!$L:$L,'PQ-Due Dates'!$A:$A,V_Detailed_Report!$C174,'PQ-Due Dates'!$M:$M,"&gt;="&amp;V_Detailed_Report!T$3,'PQ-Due Dates'!$M:$M,"&lt;="&amp;V_Detailed_Report!T$4)</f>
        <v>0</v>
      </c>
      <c r="U174" s="157">
        <f t="shared" si="17"/>
        <v>489669.97</v>
      </c>
      <c r="V174" s="157">
        <f t="shared" si="18"/>
        <v>10330.030000000028</v>
      </c>
      <c r="W174" s="157">
        <f t="shared" si="19"/>
        <v>500000</v>
      </c>
    </row>
    <row r="175" spans="1:23" x14ac:dyDescent="0.25">
      <c r="A175" s="162" t="s">
        <v>117</v>
      </c>
      <c r="B175" s="162" t="s">
        <v>19</v>
      </c>
      <c r="C175" s="162" t="s">
        <v>334</v>
      </c>
      <c r="D175" s="162" t="str">
        <f>VLOOKUP(C175,'M_LC Summary'!A:F,6,0)</f>
        <v>Riyad</v>
      </c>
      <c r="E175" s="162" t="str">
        <f>VLOOKUP(C175,'M_LC Summary'!A:C,3,0)</f>
        <v>Khorayef Industries</v>
      </c>
      <c r="F175" s="157">
        <f>VLOOKUP(C175,'M_LC Summary'!A:K,11,0)</f>
        <v>1000000</v>
      </c>
      <c r="G175" s="157">
        <f>VLOOKUP(C175,'M_LC Summary'!A:L,12,0)</f>
        <v>0</v>
      </c>
      <c r="H175" s="157">
        <f t="shared" si="16"/>
        <v>1000000</v>
      </c>
      <c r="I175" s="157">
        <f>SUMIFS('PQ-Due Dates'!$L:$L,'PQ-Due Dates'!$A:$A,V_Detailed_Report!$C175,'PQ-Due Dates'!$M:$M,"&gt;="&amp;V_Detailed_Report!I$3,'PQ-Due Dates'!$M:$M,"&lt;="&amp;V_Detailed_Report!I$4)</f>
        <v>0</v>
      </c>
      <c r="J175" s="157">
        <f>SUMIFS('PQ-Due Dates'!$L:$L,'PQ-Due Dates'!$A:$A,V_Detailed_Report!$C175,'PQ-Due Dates'!$M:$M,"&gt;="&amp;V_Detailed_Report!J$3,'PQ-Due Dates'!$M:$M,"&lt;="&amp;V_Detailed_Report!J$4)</f>
        <v>0</v>
      </c>
      <c r="K175" s="157">
        <f>SUMIFS('PQ-Due Dates'!$L:$L,'PQ-Due Dates'!$A:$A,V_Detailed_Report!$C175,'PQ-Due Dates'!$M:$M,"&gt;="&amp;V_Detailed_Report!K$3,'PQ-Due Dates'!$M:$M,"&lt;="&amp;V_Detailed_Report!K$4)</f>
        <v>0</v>
      </c>
      <c r="L175" s="157">
        <f>SUMIFS('PQ-Due Dates'!$L:$L,'PQ-Due Dates'!$A:$A,V_Detailed_Report!$C175,'PQ-Due Dates'!$M:$M,"&gt;="&amp;V_Detailed_Report!L$3,'PQ-Due Dates'!$M:$M,"&lt;="&amp;V_Detailed_Report!L$4)</f>
        <v>1000000</v>
      </c>
      <c r="M175" s="157">
        <f>SUMIFS('PQ-Due Dates'!$L:$L,'PQ-Due Dates'!$A:$A,V_Detailed_Report!$C175,'PQ-Due Dates'!$M:$M,"&gt;="&amp;V_Detailed_Report!M$3,'PQ-Due Dates'!$M:$M,"&lt;="&amp;V_Detailed_Report!M$4)</f>
        <v>0</v>
      </c>
      <c r="N175" s="157">
        <f>SUMIFS('PQ-Due Dates'!$L:$L,'PQ-Due Dates'!$A:$A,V_Detailed_Report!$C175,'PQ-Due Dates'!$M:$M,"&gt;="&amp;V_Detailed_Report!N$3,'PQ-Due Dates'!$M:$M,"&lt;="&amp;V_Detailed_Report!N$4)</f>
        <v>0</v>
      </c>
      <c r="O175" s="157">
        <f>SUMIFS('PQ-Due Dates'!$L:$L,'PQ-Due Dates'!$A:$A,V_Detailed_Report!$C175,'PQ-Due Dates'!$M:$M,"&gt;="&amp;V_Detailed_Report!O$3,'PQ-Due Dates'!$M:$M,"&lt;="&amp;V_Detailed_Report!O$4)</f>
        <v>0</v>
      </c>
      <c r="P175" s="157">
        <f>SUMIFS('PQ-Due Dates'!$L:$L,'PQ-Due Dates'!$A:$A,V_Detailed_Report!$C175,'PQ-Due Dates'!$M:$M,"&gt;="&amp;V_Detailed_Report!P$3,'PQ-Due Dates'!$M:$M,"&lt;="&amp;V_Detailed_Report!P$4)</f>
        <v>0</v>
      </c>
      <c r="Q175" s="157">
        <f>SUMIFS('PQ-Due Dates'!$L:$L,'PQ-Due Dates'!$A:$A,V_Detailed_Report!$C175,'PQ-Due Dates'!$M:$M,"&gt;="&amp;V_Detailed_Report!Q$3,'PQ-Due Dates'!$M:$M,"&lt;="&amp;V_Detailed_Report!Q$4)</f>
        <v>0</v>
      </c>
      <c r="R175" s="157">
        <f>SUMIFS('PQ-Due Dates'!$L:$L,'PQ-Due Dates'!$A:$A,V_Detailed_Report!$C175,'PQ-Due Dates'!$M:$M,"&gt;="&amp;V_Detailed_Report!R$3,'PQ-Due Dates'!$M:$M,"&lt;="&amp;V_Detailed_Report!R$4)</f>
        <v>0</v>
      </c>
      <c r="S175" s="157">
        <f>SUMIFS('PQ-Due Dates'!$L:$L,'PQ-Due Dates'!$A:$A,V_Detailed_Report!$C175,'PQ-Due Dates'!$M:$M,"&gt;="&amp;V_Detailed_Report!S$3,'PQ-Due Dates'!$M:$M,"&lt;="&amp;V_Detailed_Report!S$4)</f>
        <v>0</v>
      </c>
      <c r="T175" s="157">
        <f>SUMIFS('PQ-Due Dates'!$L:$L,'PQ-Due Dates'!$A:$A,V_Detailed_Report!$C175,'PQ-Due Dates'!$M:$M,"&gt;="&amp;V_Detailed_Report!T$3,'PQ-Due Dates'!$M:$M,"&lt;="&amp;V_Detailed_Report!T$4)</f>
        <v>0</v>
      </c>
      <c r="U175" s="157">
        <f t="shared" si="17"/>
        <v>1000000</v>
      </c>
      <c r="V175" s="157">
        <f t="shared" si="18"/>
        <v>0</v>
      </c>
      <c r="W175" s="157">
        <f t="shared" si="19"/>
        <v>1000000</v>
      </c>
    </row>
    <row r="176" spans="1:23" x14ac:dyDescent="0.25">
      <c r="A176" s="162" t="s">
        <v>117</v>
      </c>
      <c r="B176" s="162" t="s">
        <v>19</v>
      </c>
      <c r="C176" s="162" t="s">
        <v>335</v>
      </c>
      <c r="D176" s="162" t="str">
        <f>VLOOKUP(C176,'M_LC Summary'!A:F,6,0)</f>
        <v>Riyad</v>
      </c>
      <c r="E176" s="162" t="str">
        <f>VLOOKUP(C176,'M_LC Summary'!A:C,3,0)</f>
        <v>Schneider Electric Saudi Arabia Co</v>
      </c>
      <c r="F176" s="157">
        <f>VLOOKUP(C176,'M_LC Summary'!A:K,11,0)</f>
        <v>750000</v>
      </c>
      <c r="G176" s="157">
        <f>VLOOKUP(C176,'M_LC Summary'!A:L,12,0)</f>
        <v>0</v>
      </c>
      <c r="H176" s="157">
        <f t="shared" si="16"/>
        <v>750000</v>
      </c>
      <c r="I176" s="157">
        <f>SUMIFS('PQ-Due Dates'!$L:$L,'PQ-Due Dates'!$A:$A,V_Detailed_Report!$C176,'PQ-Due Dates'!$M:$M,"&gt;="&amp;V_Detailed_Report!I$3,'PQ-Due Dates'!$M:$M,"&lt;="&amp;V_Detailed_Report!I$4)</f>
        <v>0</v>
      </c>
      <c r="J176" s="157">
        <f>SUMIFS('PQ-Due Dates'!$L:$L,'PQ-Due Dates'!$A:$A,V_Detailed_Report!$C176,'PQ-Due Dates'!$M:$M,"&gt;="&amp;V_Detailed_Report!J$3,'PQ-Due Dates'!$M:$M,"&lt;="&amp;V_Detailed_Report!J$4)</f>
        <v>0</v>
      </c>
      <c r="K176" s="157">
        <f>SUMIFS('PQ-Due Dates'!$L:$L,'PQ-Due Dates'!$A:$A,V_Detailed_Report!$C176,'PQ-Due Dates'!$M:$M,"&gt;="&amp;V_Detailed_Report!K$3,'PQ-Due Dates'!$M:$M,"&lt;="&amp;V_Detailed_Report!K$4)</f>
        <v>0</v>
      </c>
      <c r="L176" s="157">
        <f>SUMIFS('PQ-Due Dates'!$L:$L,'PQ-Due Dates'!$A:$A,V_Detailed_Report!$C176,'PQ-Due Dates'!$M:$M,"&gt;="&amp;V_Detailed_Report!L$3,'PQ-Due Dates'!$M:$M,"&lt;="&amp;V_Detailed_Report!L$4)</f>
        <v>710700</v>
      </c>
      <c r="M176" s="157">
        <f>SUMIFS('PQ-Due Dates'!$L:$L,'PQ-Due Dates'!$A:$A,V_Detailed_Report!$C176,'PQ-Due Dates'!$M:$M,"&gt;="&amp;V_Detailed_Report!M$3,'PQ-Due Dates'!$M:$M,"&lt;="&amp;V_Detailed_Report!M$4)</f>
        <v>0</v>
      </c>
      <c r="N176" s="157">
        <f>SUMIFS('PQ-Due Dates'!$L:$L,'PQ-Due Dates'!$A:$A,V_Detailed_Report!$C176,'PQ-Due Dates'!$M:$M,"&gt;="&amp;V_Detailed_Report!N$3,'PQ-Due Dates'!$M:$M,"&lt;="&amp;V_Detailed_Report!N$4)</f>
        <v>0</v>
      </c>
      <c r="O176" s="157">
        <f>SUMIFS('PQ-Due Dates'!$L:$L,'PQ-Due Dates'!$A:$A,V_Detailed_Report!$C176,'PQ-Due Dates'!$M:$M,"&gt;="&amp;V_Detailed_Report!O$3,'PQ-Due Dates'!$M:$M,"&lt;="&amp;V_Detailed_Report!O$4)</f>
        <v>0</v>
      </c>
      <c r="P176" s="157">
        <f>SUMIFS('PQ-Due Dates'!$L:$L,'PQ-Due Dates'!$A:$A,V_Detailed_Report!$C176,'PQ-Due Dates'!$M:$M,"&gt;="&amp;V_Detailed_Report!P$3,'PQ-Due Dates'!$M:$M,"&lt;="&amp;V_Detailed_Report!P$4)</f>
        <v>0</v>
      </c>
      <c r="Q176" s="157">
        <f>SUMIFS('PQ-Due Dates'!$L:$L,'PQ-Due Dates'!$A:$A,V_Detailed_Report!$C176,'PQ-Due Dates'!$M:$M,"&gt;="&amp;V_Detailed_Report!Q$3,'PQ-Due Dates'!$M:$M,"&lt;="&amp;V_Detailed_Report!Q$4)</f>
        <v>0</v>
      </c>
      <c r="R176" s="157">
        <f>SUMIFS('PQ-Due Dates'!$L:$L,'PQ-Due Dates'!$A:$A,V_Detailed_Report!$C176,'PQ-Due Dates'!$M:$M,"&gt;="&amp;V_Detailed_Report!R$3,'PQ-Due Dates'!$M:$M,"&lt;="&amp;V_Detailed_Report!R$4)</f>
        <v>0</v>
      </c>
      <c r="S176" s="157">
        <f>SUMIFS('PQ-Due Dates'!$L:$L,'PQ-Due Dates'!$A:$A,V_Detailed_Report!$C176,'PQ-Due Dates'!$M:$M,"&gt;="&amp;V_Detailed_Report!S$3,'PQ-Due Dates'!$M:$M,"&lt;="&amp;V_Detailed_Report!S$4)</f>
        <v>0</v>
      </c>
      <c r="T176" s="157">
        <f>SUMIFS('PQ-Due Dates'!$L:$L,'PQ-Due Dates'!$A:$A,V_Detailed_Report!$C176,'PQ-Due Dates'!$M:$M,"&gt;="&amp;V_Detailed_Report!T$3,'PQ-Due Dates'!$M:$M,"&lt;="&amp;V_Detailed_Report!T$4)</f>
        <v>0</v>
      </c>
      <c r="U176" s="157">
        <f t="shared" si="17"/>
        <v>710700</v>
      </c>
      <c r="V176" s="157">
        <f t="shared" si="18"/>
        <v>39300</v>
      </c>
      <c r="W176" s="157">
        <f t="shared" si="19"/>
        <v>750000</v>
      </c>
    </row>
    <row r="177" spans="1:23" x14ac:dyDescent="0.25">
      <c r="A177" s="162" t="s">
        <v>117</v>
      </c>
      <c r="B177" s="162" t="s">
        <v>19</v>
      </c>
      <c r="C177" s="162" t="s">
        <v>336</v>
      </c>
      <c r="D177" s="162" t="str">
        <f>VLOOKUP(C177,'M_LC Summary'!A:F,6,0)</f>
        <v>Riyad</v>
      </c>
      <c r="E177" s="162" t="str">
        <f>VLOOKUP(C177,'M_LC Summary'!A:C,3,0)</f>
        <v>SKM Air Conditioning Company</v>
      </c>
      <c r="F177" s="157">
        <f>VLOOKUP(C177,'M_LC Summary'!A:K,11,0)</f>
        <v>500000</v>
      </c>
      <c r="G177" s="157">
        <f>VLOOKUP(C177,'M_LC Summary'!A:L,12,0)</f>
        <v>0</v>
      </c>
      <c r="H177" s="157">
        <f t="shared" si="16"/>
        <v>500000</v>
      </c>
      <c r="I177" s="157">
        <f>SUMIFS('PQ-Due Dates'!$L:$L,'PQ-Due Dates'!$A:$A,V_Detailed_Report!$C177,'PQ-Due Dates'!$M:$M,"&gt;="&amp;V_Detailed_Report!I$3,'PQ-Due Dates'!$M:$M,"&lt;="&amp;V_Detailed_Report!I$4)</f>
        <v>0</v>
      </c>
      <c r="J177" s="157">
        <f>SUMIFS('PQ-Due Dates'!$L:$L,'PQ-Due Dates'!$A:$A,V_Detailed_Report!$C177,'PQ-Due Dates'!$M:$M,"&gt;="&amp;V_Detailed_Report!J$3,'PQ-Due Dates'!$M:$M,"&lt;="&amp;V_Detailed_Report!J$4)</f>
        <v>0</v>
      </c>
      <c r="K177" s="157">
        <f>SUMIFS('PQ-Due Dates'!$L:$L,'PQ-Due Dates'!$A:$A,V_Detailed_Report!$C177,'PQ-Due Dates'!$M:$M,"&gt;="&amp;V_Detailed_Report!K$3,'PQ-Due Dates'!$M:$M,"&lt;="&amp;V_Detailed_Report!K$4)</f>
        <v>500000</v>
      </c>
      <c r="L177" s="157">
        <f>SUMIFS('PQ-Due Dates'!$L:$L,'PQ-Due Dates'!$A:$A,V_Detailed_Report!$C177,'PQ-Due Dates'!$M:$M,"&gt;="&amp;V_Detailed_Report!L$3,'PQ-Due Dates'!$M:$M,"&lt;="&amp;V_Detailed_Report!L$4)</f>
        <v>0</v>
      </c>
      <c r="M177" s="157">
        <f>SUMIFS('PQ-Due Dates'!$L:$L,'PQ-Due Dates'!$A:$A,V_Detailed_Report!$C177,'PQ-Due Dates'!$M:$M,"&gt;="&amp;V_Detailed_Report!M$3,'PQ-Due Dates'!$M:$M,"&lt;="&amp;V_Detailed_Report!M$4)</f>
        <v>0</v>
      </c>
      <c r="N177" s="157">
        <f>SUMIFS('PQ-Due Dates'!$L:$L,'PQ-Due Dates'!$A:$A,V_Detailed_Report!$C177,'PQ-Due Dates'!$M:$M,"&gt;="&amp;V_Detailed_Report!N$3,'PQ-Due Dates'!$M:$M,"&lt;="&amp;V_Detailed_Report!N$4)</f>
        <v>0</v>
      </c>
      <c r="O177" s="157">
        <f>SUMIFS('PQ-Due Dates'!$L:$L,'PQ-Due Dates'!$A:$A,V_Detailed_Report!$C177,'PQ-Due Dates'!$M:$M,"&gt;="&amp;V_Detailed_Report!O$3,'PQ-Due Dates'!$M:$M,"&lt;="&amp;V_Detailed_Report!O$4)</f>
        <v>0</v>
      </c>
      <c r="P177" s="157">
        <f>SUMIFS('PQ-Due Dates'!$L:$L,'PQ-Due Dates'!$A:$A,V_Detailed_Report!$C177,'PQ-Due Dates'!$M:$M,"&gt;="&amp;V_Detailed_Report!P$3,'PQ-Due Dates'!$M:$M,"&lt;="&amp;V_Detailed_Report!P$4)</f>
        <v>0</v>
      </c>
      <c r="Q177" s="157">
        <f>SUMIFS('PQ-Due Dates'!$L:$L,'PQ-Due Dates'!$A:$A,V_Detailed_Report!$C177,'PQ-Due Dates'!$M:$M,"&gt;="&amp;V_Detailed_Report!Q$3,'PQ-Due Dates'!$M:$M,"&lt;="&amp;V_Detailed_Report!Q$4)</f>
        <v>0</v>
      </c>
      <c r="R177" s="157">
        <f>SUMIFS('PQ-Due Dates'!$L:$L,'PQ-Due Dates'!$A:$A,V_Detailed_Report!$C177,'PQ-Due Dates'!$M:$M,"&gt;="&amp;V_Detailed_Report!R$3,'PQ-Due Dates'!$M:$M,"&lt;="&amp;V_Detailed_Report!R$4)</f>
        <v>0</v>
      </c>
      <c r="S177" s="157">
        <f>SUMIFS('PQ-Due Dates'!$L:$L,'PQ-Due Dates'!$A:$A,V_Detailed_Report!$C177,'PQ-Due Dates'!$M:$M,"&gt;="&amp;V_Detailed_Report!S$3,'PQ-Due Dates'!$M:$M,"&lt;="&amp;V_Detailed_Report!S$4)</f>
        <v>0</v>
      </c>
      <c r="T177" s="157">
        <f>SUMIFS('PQ-Due Dates'!$L:$L,'PQ-Due Dates'!$A:$A,V_Detailed_Report!$C177,'PQ-Due Dates'!$M:$M,"&gt;="&amp;V_Detailed_Report!T$3,'PQ-Due Dates'!$M:$M,"&lt;="&amp;V_Detailed_Report!T$4)</f>
        <v>0</v>
      </c>
      <c r="U177" s="157">
        <f t="shared" si="17"/>
        <v>500000</v>
      </c>
      <c r="V177" s="157">
        <f t="shared" si="18"/>
        <v>0</v>
      </c>
      <c r="W177" s="157">
        <f t="shared" si="19"/>
        <v>500000</v>
      </c>
    </row>
    <row r="178" spans="1:23" x14ac:dyDescent="0.25">
      <c r="A178" s="162" t="s">
        <v>117</v>
      </c>
      <c r="B178" s="162" t="s">
        <v>19</v>
      </c>
      <c r="C178" s="162" t="s">
        <v>337</v>
      </c>
      <c r="D178" s="162" t="str">
        <f>VLOOKUP(C178,'M_LC Summary'!A:F,6,0)</f>
        <v>Riyad</v>
      </c>
      <c r="E178" s="162" t="str">
        <f>VLOOKUP(C178,'M_LC Summary'!A:C,3,0)</f>
        <v>Systemair For Electrical Equipment Co.</v>
      </c>
      <c r="F178" s="157">
        <f>VLOOKUP(C178,'M_LC Summary'!A:K,11,0)</f>
        <v>500000</v>
      </c>
      <c r="G178" s="157">
        <f>VLOOKUP(C178,'M_LC Summary'!A:L,12,0)</f>
        <v>0</v>
      </c>
      <c r="H178" s="157">
        <f t="shared" si="16"/>
        <v>500000</v>
      </c>
      <c r="I178" s="157">
        <f>SUMIFS('PQ-Due Dates'!$L:$L,'PQ-Due Dates'!$A:$A,V_Detailed_Report!$C178,'PQ-Due Dates'!$M:$M,"&gt;="&amp;V_Detailed_Report!I$3,'PQ-Due Dates'!$M:$M,"&lt;="&amp;V_Detailed_Report!I$4)</f>
        <v>0</v>
      </c>
      <c r="J178" s="157">
        <f>SUMIFS('PQ-Due Dates'!$L:$L,'PQ-Due Dates'!$A:$A,V_Detailed_Report!$C178,'PQ-Due Dates'!$M:$M,"&gt;="&amp;V_Detailed_Report!J$3,'PQ-Due Dates'!$M:$M,"&lt;="&amp;V_Detailed_Report!J$4)</f>
        <v>0</v>
      </c>
      <c r="K178" s="157">
        <f>SUMIFS('PQ-Due Dates'!$L:$L,'PQ-Due Dates'!$A:$A,V_Detailed_Report!$C178,'PQ-Due Dates'!$M:$M,"&gt;="&amp;V_Detailed_Report!K$3,'PQ-Due Dates'!$M:$M,"&lt;="&amp;V_Detailed_Report!K$4)</f>
        <v>0</v>
      </c>
      <c r="L178" s="157">
        <f>SUMIFS('PQ-Due Dates'!$L:$L,'PQ-Due Dates'!$A:$A,V_Detailed_Report!$C178,'PQ-Due Dates'!$M:$M,"&gt;="&amp;V_Detailed_Report!L$3,'PQ-Due Dates'!$M:$M,"&lt;="&amp;V_Detailed_Report!L$4)</f>
        <v>0</v>
      </c>
      <c r="M178" s="157">
        <f>SUMIFS('PQ-Due Dates'!$L:$L,'PQ-Due Dates'!$A:$A,V_Detailed_Report!$C178,'PQ-Due Dates'!$M:$M,"&gt;="&amp;V_Detailed_Report!M$3,'PQ-Due Dates'!$M:$M,"&lt;="&amp;V_Detailed_Report!M$4)</f>
        <v>0</v>
      </c>
      <c r="N178" s="157">
        <f>SUMIFS('PQ-Due Dates'!$L:$L,'PQ-Due Dates'!$A:$A,V_Detailed_Report!$C178,'PQ-Due Dates'!$M:$M,"&gt;="&amp;V_Detailed_Report!N$3,'PQ-Due Dates'!$M:$M,"&lt;="&amp;V_Detailed_Report!N$4)</f>
        <v>0</v>
      </c>
      <c r="O178" s="157">
        <f>SUMIFS('PQ-Due Dates'!$L:$L,'PQ-Due Dates'!$A:$A,V_Detailed_Report!$C178,'PQ-Due Dates'!$M:$M,"&gt;="&amp;V_Detailed_Report!O$3,'PQ-Due Dates'!$M:$M,"&lt;="&amp;V_Detailed_Report!O$4)</f>
        <v>0</v>
      </c>
      <c r="P178" s="157">
        <f>SUMIFS('PQ-Due Dates'!$L:$L,'PQ-Due Dates'!$A:$A,V_Detailed_Report!$C178,'PQ-Due Dates'!$M:$M,"&gt;="&amp;V_Detailed_Report!P$3,'PQ-Due Dates'!$M:$M,"&lt;="&amp;V_Detailed_Report!P$4)</f>
        <v>0</v>
      </c>
      <c r="Q178" s="157">
        <f>SUMIFS('PQ-Due Dates'!$L:$L,'PQ-Due Dates'!$A:$A,V_Detailed_Report!$C178,'PQ-Due Dates'!$M:$M,"&gt;="&amp;V_Detailed_Report!Q$3,'PQ-Due Dates'!$M:$M,"&lt;="&amp;V_Detailed_Report!Q$4)</f>
        <v>0</v>
      </c>
      <c r="R178" s="157">
        <f>SUMIFS('PQ-Due Dates'!$L:$L,'PQ-Due Dates'!$A:$A,V_Detailed_Report!$C178,'PQ-Due Dates'!$M:$M,"&gt;="&amp;V_Detailed_Report!R$3,'PQ-Due Dates'!$M:$M,"&lt;="&amp;V_Detailed_Report!R$4)</f>
        <v>0</v>
      </c>
      <c r="S178" s="157">
        <f>SUMIFS('PQ-Due Dates'!$L:$L,'PQ-Due Dates'!$A:$A,V_Detailed_Report!$C178,'PQ-Due Dates'!$M:$M,"&gt;="&amp;V_Detailed_Report!S$3,'PQ-Due Dates'!$M:$M,"&lt;="&amp;V_Detailed_Report!S$4)</f>
        <v>0</v>
      </c>
      <c r="T178" s="157">
        <f>SUMIFS('PQ-Due Dates'!$L:$L,'PQ-Due Dates'!$A:$A,V_Detailed_Report!$C178,'PQ-Due Dates'!$M:$M,"&gt;="&amp;V_Detailed_Report!T$3,'PQ-Due Dates'!$M:$M,"&lt;="&amp;V_Detailed_Report!T$4)</f>
        <v>0</v>
      </c>
      <c r="U178" s="157">
        <f t="shared" si="17"/>
        <v>0</v>
      </c>
      <c r="V178" s="157">
        <f t="shared" si="18"/>
        <v>500000</v>
      </c>
      <c r="W178" s="157">
        <f t="shared" si="19"/>
        <v>500000</v>
      </c>
    </row>
    <row r="179" spans="1:23" ht="15.75" thickBot="1" x14ac:dyDescent="0.3">
      <c r="A179" s="171" t="s">
        <v>117</v>
      </c>
      <c r="B179" s="171" t="s">
        <v>19</v>
      </c>
      <c r="C179" s="171" t="s">
        <v>379</v>
      </c>
      <c r="D179" s="171" t="str">
        <f>VLOOKUP(C179,'M_LC Summary'!A:F,6,0)</f>
        <v>Riyad</v>
      </c>
      <c r="E179" s="171" t="str">
        <f>VLOOKUP(C179,'M_LC Summary'!A:C,3,0)</f>
        <v>Mat Filtrasyon Teknolojeleri A.S</v>
      </c>
      <c r="F179" s="158">
        <f>VLOOKUP(C179,'M_LC Summary'!A:K,11,0)</f>
        <v>17932603.559999999</v>
      </c>
      <c r="G179" s="158">
        <f>VLOOKUP(C179,'M_LC Summary'!A:L,12,0)</f>
        <v>4576500</v>
      </c>
      <c r="H179" s="158">
        <f t="shared" si="16"/>
        <v>13356103.559999999</v>
      </c>
      <c r="I179" s="158">
        <f>SUMIFS('PQ-Due Dates'!$L:$L,'PQ-Due Dates'!$A:$A,V_Detailed_Report!$C179,'PQ-Due Dates'!$M:$M,"&gt;="&amp;V_Detailed_Report!I$3,'PQ-Due Dates'!$M:$M,"&lt;="&amp;V_Detailed_Report!I$4)</f>
        <v>0</v>
      </c>
      <c r="J179" s="158">
        <f>SUMIFS('PQ-Due Dates'!$L:$L,'PQ-Due Dates'!$A:$A,V_Detailed_Report!$C179,'PQ-Due Dates'!$M:$M,"&gt;="&amp;V_Detailed_Report!J$3,'PQ-Due Dates'!$M:$M,"&lt;="&amp;V_Detailed_Report!J$4)</f>
        <v>0</v>
      </c>
      <c r="K179" s="158">
        <f>SUMIFS('PQ-Due Dates'!$L:$L,'PQ-Due Dates'!$A:$A,V_Detailed_Report!$C179,'PQ-Due Dates'!$M:$M,"&gt;="&amp;V_Detailed_Report!K$3,'PQ-Due Dates'!$M:$M,"&lt;="&amp;V_Detailed_Report!K$4)</f>
        <v>735540</v>
      </c>
      <c r="L179" s="158">
        <f>SUMIFS('PQ-Due Dates'!$L:$L,'PQ-Due Dates'!$A:$A,V_Detailed_Report!$C179,'PQ-Due Dates'!$M:$M,"&gt;="&amp;V_Detailed_Report!L$3,'PQ-Due Dates'!$M:$M,"&lt;="&amp;V_Detailed_Report!L$4)</f>
        <v>0</v>
      </c>
      <c r="M179" s="158">
        <f>SUMIFS('PQ-Due Dates'!$L:$L,'PQ-Due Dates'!$A:$A,V_Detailed_Report!$C179,'PQ-Due Dates'!$M:$M,"&gt;="&amp;V_Detailed_Report!M$3,'PQ-Due Dates'!$M:$M,"&lt;="&amp;V_Detailed_Report!M$4)</f>
        <v>0</v>
      </c>
      <c r="N179" s="158">
        <f>SUMIFS('PQ-Due Dates'!$L:$L,'PQ-Due Dates'!$A:$A,V_Detailed_Report!$C179,'PQ-Due Dates'!$M:$M,"&gt;="&amp;V_Detailed_Report!N$3,'PQ-Due Dates'!$M:$M,"&lt;="&amp;V_Detailed_Report!N$4)</f>
        <v>0</v>
      </c>
      <c r="O179" s="158">
        <f>SUMIFS('PQ-Due Dates'!$L:$L,'PQ-Due Dates'!$A:$A,V_Detailed_Report!$C179,'PQ-Due Dates'!$M:$M,"&gt;="&amp;V_Detailed_Report!O$3,'PQ-Due Dates'!$M:$M,"&lt;="&amp;V_Detailed_Report!O$4)</f>
        <v>0</v>
      </c>
      <c r="P179" s="158">
        <f>SUMIFS('PQ-Due Dates'!$L:$L,'PQ-Due Dates'!$A:$A,V_Detailed_Report!$C179,'PQ-Due Dates'!$M:$M,"&gt;="&amp;V_Detailed_Report!P$3,'PQ-Due Dates'!$M:$M,"&lt;="&amp;V_Detailed_Report!P$4)</f>
        <v>0</v>
      </c>
      <c r="Q179" s="158">
        <f>SUMIFS('PQ-Due Dates'!$L:$L,'PQ-Due Dates'!$A:$A,V_Detailed_Report!$C179,'PQ-Due Dates'!$M:$M,"&gt;="&amp;V_Detailed_Report!Q$3,'PQ-Due Dates'!$M:$M,"&lt;="&amp;V_Detailed_Report!Q$4)</f>
        <v>0</v>
      </c>
      <c r="R179" s="158">
        <f>SUMIFS('PQ-Due Dates'!$L:$L,'PQ-Due Dates'!$A:$A,V_Detailed_Report!$C179,'PQ-Due Dates'!$M:$M,"&gt;="&amp;V_Detailed_Report!R$3,'PQ-Due Dates'!$M:$M,"&lt;="&amp;V_Detailed_Report!R$4)</f>
        <v>0</v>
      </c>
      <c r="S179" s="158">
        <f>SUMIFS('PQ-Due Dates'!$L:$L,'PQ-Due Dates'!$A:$A,V_Detailed_Report!$C179,'PQ-Due Dates'!$M:$M,"&gt;="&amp;V_Detailed_Report!S$3,'PQ-Due Dates'!$M:$M,"&lt;="&amp;V_Detailed_Report!S$4)</f>
        <v>0</v>
      </c>
      <c r="T179" s="158">
        <f>SUMIFS('PQ-Due Dates'!$L:$L,'PQ-Due Dates'!$A:$A,V_Detailed_Report!$C179,'PQ-Due Dates'!$M:$M,"&gt;="&amp;V_Detailed_Report!T$3,'PQ-Due Dates'!$M:$M,"&lt;="&amp;V_Detailed_Report!T$4)</f>
        <v>0</v>
      </c>
      <c r="U179" s="158">
        <f t="shared" si="17"/>
        <v>735540</v>
      </c>
      <c r="V179" s="158">
        <f t="shared" si="18"/>
        <v>12620563.559999999</v>
      </c>
      <c r="W179" s="158">
        <f t="shared" si="19"/>
        <v>13356103.559999999</v>
      </c>
    </row>
    <row r="180" spans="1:23" ht="15.75" thickBot="1" x14ac:dyDescent="0.3">
      <c r="A180" s="61"/>
      <c r="B180" s="60"/>
      <c r="C180" s="68" t="s">
        <v>117</v>
      </c>
      <c r="D180" s="68" t="s">
        <v>19</v>
      </c>
      <c r="E180" s="60" t="s">
        <v>93</v>
      </c>
      <c r="F180" s="64">
        <f>SUMIFS(F:F,$A:$A,$C$180,$B:$B,$180:$180 $D:$D)</f>
        <v>55604422.663289994</v>
      </c>
      <c r="G180" s="64">
        <f>SUMIFS(G:G,$A:$A,$C$180,$B:$B,$180:$180 $D:$D)</f>
        <v>22888116.373480003</v>
      </c>
      <c r="H180" s="64">
        <f>SUMIFS(H:H,$A:$A,$C$180,$B:$B,$180:$180 $D:$D)</f>
        <v>32716306.289809998</v>
      </c>
      <c r="I180" s="64">
        <f>SUMIFS(I:I,$A:$A,$C$180,$B:$B,$180:$180 $D:$D)</f>
        <v>0</v>
      </c>
      <c r="J180" s="64">
        <f>SUMIFS(J:J,$A:$A,$C$180,$B:$B,$180:$180 $D:$D)</f>
        <v>284755.58</v>
      </c>
      <c r="K180" s="64">
        <f>SUMIFS(K:K,$A:$A,$C$180,$B:$B,$180:$180 $D:$D)</f>
        <v>1703401.1</v>
      </c>
      <c r="L180" s="64">
        <f>SUMIFS(L:L,$A:$A,$C$180,$B:$B,$180:$180 $D:$D)</f>
        <v>2210700</v>
      </c>
      <c r="M180" s="64">
        <f>SUMIFS(M:M,$A:$A,$C$180,$B:$B,$180:$180 $D:$D)</f>
        <v>500000</v>
      </c>
      <c r="N180" s="64">
        <f>SUMIFS(N:N,$A:$A,$C$180,$B:$B,$180:$180 $D:$D)</f>
        <v>0</v>
      </c>
      <c r="O180" s="64">
        <f>SUMIFS(O:O,$A:$A,$C$180,$B:$B,$180:$180 $D:$D)</f>
        <v>1057413.24</v>
      </c>
      <c r="P180" s="64">
        <f>SUMIFS(P:P,$A:$A,$C$180,$B:$B,$180:$180 $D:$D)</f>
        <v>0</v>
      </c>
      <c r="Q180" s="64">
        <f>SUMIFS(Q:Q,$A:$A,$C$180,$B:$B,$180:$180 $D:$D)</f>
        <v>0</v>
      </c>
      <c r="R180" s="64">
        <f>SUMIFS(R:R,$A:$A,$C$180,$B:$B,$180:$180 $D:$D)</f>
        <v>0</v>
      </c>
      <c r="S180" s="64">
        <f>SUMIFS(S:S,$A:$A,$C$180,$B:$B,$180:$180 $D:$D)</f>
        <v>0</v>
      </c>
      <c r="T180" s="64">
        <f>SUMIFS(T:T,$A:$A,$C$180,$B:$B,$180:$180 $D:$D)</f>
        <v>0</v>
      </c>
      <c r="U180" s="64">
        <f>SUMIFS(U:U,$A:$A,$C$180,$B:$B,$180:$180 $D:$D)</f>
        <v>5756269.9199999999</v>
      </c>
      <c r="V180" s="64">
        <f>SUMIFS(V:V,$A:$A,$C$180,$B:$B,$180:$180 $D:$D)</f>
        <v>26960036.369809996</v>
      </c>
      <c r="W180" s="65">
        <f>SUMIFS(W:W,$A:$A,$C$180,$B:$B,$180:$180 $D:$D)</f>
        <v>32716306.289809998</v>
      </c>
    </row>
    <row r="181" spans="1:23" x14ac:dyDescent="0.25">
      <c r="A181" s="173"/>
      <c r="B181" s="173"/>
      <c r="C181" s="173"/>
      <c r="D181" s="173"/>
      <c r="E181" s="173"/>
      <c r="F181" s="159"/>
      <c r="G181" s="159"/>
      <c r="H181" s="159"/>
      <c r="I181" s="159"/>
      <c r="J181" s="159"/>
      <c r="K181" s="159"/>
      <c r="L181" s="159"/>
      <c r="M181" s="159"/>
      <c r="N181" s="159"/>
      <c r="O181" s="159"/>
      <c r="P181" s="159"/>
      <c r="Q181" s="159"/>
      <c r="R181" s="159"/>
      <c r="S181" s="159"/>
      <c r="T181" s="159"/>
      <c r="U181" s="159"/>
      <c r="V181" s="159"/>
      <c r="W181" s="159"/>
    </row>
    <row r="182" spans="1:23" ht="15.75" thickBot="1" x14ac:dyDescent="0.3">
      <c r="A182" s="171" t="s">
        <v>267</v>
      </c>
      <c r="B182" s="171" t="s">
        <v>19</v>
      </c>
      <c r="C182" s="171" t="s">
        <v>397</v>
      </c>
      <c r="D182" s="171" t="str">
        <f>VLOOKUP(C182,'M_LC Summary'!A:F,6,0)</f>
        <v>NBK</v>
      </c>
      <c r="E182" s="171" t="str">
        <f>VLOOKUP(C182,'M_LC Summary'!A:C,3,0)</f>
        <v>Ready Mix Company Limited.</v>
      </c>
      <c r="F182" s="158">
        <f>VLOOKUP(C182,'M_LC Summary'!A:K,11,0)</f>
        <v>5000000</v>
      </c>
      <c r="G182" s="158">
        <f>VLOOKUP(C182,'M_LC Summary'!A:L,12,0)</f>
        <v>2707269.5</v>
      </c>
      <c r="H182" s="158">
        <f t="shared" si="16"/>
        <v>2292730.5</v>
      </c>
      <c r="I182" s="158">
        <f>SUMIFS('PQ-Due Dates'!$L:$L,'PQ-Due Dates'!$A:$A,V_Detailed_Report!$C182,'PQ-Due Dates'!$M:$M,"&gt;="&amp;V_Detailed_Report!I$3,'PQ-Due Dates'!$M:$M,"&lt;="&amp;V_Detailed_Report!I$4)</f>
        <v>0</v>
      </c>
      <c r="J182" s="158">
        <f>SUMIFS('PQ-Due Dates'!$L:$L,'PQ-Due Dates'!$A:$A,V_Detailed_Report!$C182,'PQ-Due Dates'!$M:$M,"&gt;="&amp;V_Detailed_Report!J$3,'PQ-Due Dates'!$M:$M,"&lt;="&amp;V_Detailed_Report!J$4)</f>
        <v>0</v>
      </c>
      <c r="K182" s="158">
        <f>SUMIFS('PQ-Due Dates'!$L:$L,'PQ-Due Dates'!$A:$A,V_Detailed_Report!$C182,'PQ-Due Dates'!$M:$M,"&gt;="&amp;V_Detailed_Report!K$3,'PQ-Due Dates'!$M:$M,"&lt;="&amp;V_Detailed_Report!K$4)</f>
        <v>0</v>
      </c>
      <c r="L182" s="158">
        <f>SUMIFS('PQ-Due Dates'!$L:$L,'PQ-Due Dates'!$A:$A,V_Detailed_Report!$C182,'PQ-Due Dates'!$M:$M,"&gt;="&amp;V_Detailed_Report!L$3,'PQ-Due Dates'!$M:$M,"&lt;="&amp;V_Detailed_Report!L$4)</f>
        <v>949900</v>
      </c>
      <c r="M182" s="158">
        <f>SUMIFS('PQ-Due Dates'!$L:$L,'PQ-Due Dates'!$A:$A,V_Detailed_Report!$C182,'PQ-Due Dates'!$M:$M,"&gt;="&amp;V_Detailed_Report!M$3,'PQ-Due Dates'!$M:$M,"&lt;="&amp;V_Detailed_Report!M$4)</f>
        <v>0</v>
      </c>
      <c r="N182" s="158">
        <f>SUMIFS('PQ-Due Dates'!$L:$L,'PQ-Due Dates'!$A:$A,V_Detailed_Report!$C182,'PQ-Due Dates'!$M:$M,"&gt;="&amp;V_Detailed_Report!N$3,'PQ-Due Dates'!$M:$M,"&lt;="&amp;V_Detailed_Report!N$4)</f>
        <v>0</v>
      </c>
      <c r="O182" s="158">
        <f>SUMIFS('PQ-Due Dates'!$L:$L,'PQ-Due Dates'!$A:$A,V_Detailed_Report!$C182,'PQ-Due Dates'!$M:$M,"&gt;="&amp;V_Detailed_Report!O$3,'PQ-Due Dates'!$M:$M,"&lt;="&amp;V_Detailed_Report!O$4)</f>
        <v>0</v>
      </c>
      <c r="P182" s="158">
        <f>SUMIFS('PQ-Due Dates'!$L:$L,'PQ-Due Dates'!$A:$A,V_Detailed_Report!$C182,'PQ-Due Dates'!$M:$M,"&gt;="&amp;V_Detailed_Report!P$3,'PQ-Due Dates'!$M:$M,"&lt;="&amp;V_Detailed_Report!P$4)</f>
        <v>0</v>
      </c>
      <c r="Q182" s="158">
        <f>SUMIFS('PQ-Due Dates'!$L:$L,'PQ-Due Dates'!$A:$A,V_Detailed_Report!$C182,'PQ-Due Dates'!$M:$M,"&gt;="&amp;V_Detailed_Report!Q$3,'PQ-Due Dates'!$M:$M,"&lt;="&amp;V_Detailed_Report!Q$4)</f>
        <v>0</v>
      </c>
      <c r="R182" s="158">
        <f>SUMIFS('PQ-Due Dates'!$L:$L,'PQ-Due Dates'!$A:$A,V_Detailed_Report!$C182,'PQ-Due Dates'!$M:$M,"&gt;="&amp;V_Detailed_Report!R$3,'PQ-Due Dates'!$M:$M,"&lt;="&amp;V_Detailed_Report!R$4)</f>
        <v>0</v>
      </c>
      <c r="S182" s="158">
        <f>SUMIFS('PQ-Due Dates'!$L:$L,'PQ-Due Dates'!$A:$A,V_Detailed_Report!$C182,'PQ-Due Dates'!$M:$M,"&gt;="&amp;V_Detailed_Report!S$3,'PQ-Due Dates'!$M:$M,"&lt;="&amp;V_Detailed_Report!S$4)</f>
        <v>0</v>
      </c>
      <c r="T182" s="158">
        <f>SUMIFS('PQ-Due Dates'!$L:$L,'PQ-Due Dates'!$A:$A,V_Detailed_Report!$C182,'PQ-Due Dates'!$M:$M,"&gt;="&amp;V_Detailed_Report!T$3,'PQ-Due Dates'!$M:$M,"&lt;="&amp;V_Detailed_Report!T$4)</f>
        <v>0</v>
      </c>
      <c r="U182" s="158">
        <f t="shared" si="17"/>
        <v>949900</v>
      </c>
      <c r="V182" s="158">
        <f t="shared" si="18"/>
        <v>1342830.5</v>
      </c>
      <c r="W182" s="158">
        <f t="shared" si="19"/>
        <v>2292730.5</v>
      </c>
    </row>
    <row r="183" spans="1:23" ht="15.75" thickBot="1" x14ac:dyDescent="0.3">
      <c r="A183" s="61"/>
      <c r="B183" s="60"/>
      <c r="C183" s="68" t="s">
        <v>267</v>
      </c>
      <c r="D183" s="68" t="s">
        <v>19</v>
      </c>
      <c r="E183" s="60" t="s">
        <v>93</v>
      </c>
      <c r="F183" s="64">
        <f>SUMIFS(F:F,$A:$A,$C$183,$B:$B,$183:$183 $D:$D)</f>
        <v>5000000</v>
      </c>
      <c r="G183" s="64">
        <f>SUMIFS(G:G,$A:$A,$C$183,$B:$B,$183:$183 $D:$D)</f>
        <v>2707269.5</v>
      </c>
      <c r="H183" s="64">
        <f>SUMIFS(H:H,$A:$A,$C$183,$B:$B,$183:$183 $D:$D)</f>
        <v>2292730.5</v>
      </c>
      <c r="I183" s="64">
        <f>SUMIFS(I:I,$A:$A,$C$183,$B:$B,$183:$183 $D:$D)</f>
        <v>0</v>
      </c>
      <c r="J183" s="64">
        <f>SUMIFS(J:J,$A:$A,$C$183,$B:$B,$183:$183 $D:$D)</f>
        <v>0</v>
      </c>
      <c r="K183" s="64">
        <f>SUMIFS(K:K,$A:$A,$C$183,$B:$B,$183:$183 $D:$D)</f>
        <v>0</v>
      </c>
      <c r="L183" s="64">
        <f>SUMIFS(L:L,$A:$A,$C$183,$B:$B,$183:$183 $D:$D)</f>
        <v>949900</v>
      </c>
      <c r="M183" s="64">
        <f>SUMIFS(M:M,$A:$A,$C$183,$B:$B,$183:$183 $D:$D)</f>
        <v>0</v>
      </c>
      <c r="N183" s="64">
        <f>SUMIFS(N:N,$A:$A,$C$183,$B:$B,$183:$183 $D:$D)</f>
        <v>0</v>
      </c>
      <c r="O183" s="64">
        <f>SUMIFS(O:O,$A:$A,$C$183,$B:$B,$183:$183 $D:$D)</f>
        <v>0</v>
      </c>
      <c r="P183" s="64">
        <f>SUMIFS(P:P,$A:$A,$C$183,$B:$B,$183:$183 $D:$D)</f>
        <v>0</v>
      </c>
      <c r="Q183" s="64">
        <f>SUMIFS(Q:Q,$A:$A,$C$183,$B:$B,$183:$183 $D:$D)</f>
        <v>0</v>
      </c>
      <c r="R183" s="64">
        <f>SUMIFS(R:R,$A:$A,$C$183,$B:$B,$183:$183 $D:$D)</f>
        <v>0</v>
      </c>
      <c r="S183" s="64">
        <f>SUMIFS(S:S,$A:$A,$C$183,$B:$B,$183:$183 $D:$D)</f>
        <v>0</v>
      </c>
      <c r="T183" s="64">
        <f>SUMIFS(T:T,$A:$A,$C$183,$B:$B,$183:$183 $D:$D)</f>
        <v>0</v>
      </c>
      <c r="U183" s="64">
        <f>SUMIFS(U:U,$A:$A,$C$183,$B:$B,$183:$183 $D:$D)</f>
        <v>949900</v>
      </c>
      <c r="V183" s="64">
        <f>SUMIFS(V:V,$A:$A,$C$183,$B:$B,$183:$183 $D:$D)</f>
        <v>1342830.5</v>
      </c>
      <c r="W183" s="65">
        <f>SUMIFS(W:W,$A:$A,$C$183,$B:$B,$183:$183 $D:$D)</f>
        <v>2292730.5</v>
      </c>
    </row>
    <row r="184" spans="1:23" ht="15.75" thickBot="1" x14ac:dyDescent="0.3">
      <c r="F184" s="21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</row>
    <row r="185" spans="1:23" ht="15.75" thickBot="1" x14ac:dyDescent="0.3">
      <c r="A185" s="62"/>
      <c r="B185" s="63"/>
      <c r="C185" s="63"/>
      <c r="D185" s="63"/>
      <c r="E185" s="63" t="s">
        <v>95</v>
      </c>
      <c r="F185" s="66">
        <f t="shared" ref="F185:W185" si="20">SUMIF($E:$E,"Total Cash:",F:F)</f>
        <v>231996502.34720004</v>
      </c>
      <c r="G185" s="66">
        <f t="shared" si="20"/>
        <v>229971946.12020117</v>
      </c>
      <c r="H185" s="66">
        <f t="shared" si="20"/>
        <v>2024556.2269988568</v>
      </c>
      <c r="I185" s="66">
        <f t="shared" si="20"/>
        <v>0</v>
      </c>
      <c r="J185" s="66">
        <f t="shared" si="20"/>
        <v>0</v>
      </c>
      <c r="K185" s="66">
        <f t="shared" si="20"/>
        <v>0</v>
      </c>
      <c r="L185" s="66">
        <f t="shared" si="20"/>
        <v>0</v>
      </c>
      <c r="M185" s="66">
        <f t="shared" si="20"/>
        <v>0</v>
      </c>
      <c r="N185" s="66">
        <f t="shared" si="20"/>
        <v>0</v>
      </c>
      <c r="O185" s="66">
        <f t="shared" si="20"/>
        <v>0</v>
      </c>
      <c r="P185" s="66">
        <f t="shared" si="20"/>
        <v>0</v>
      </c>
      <c r="Q185" s="66">
        <f t="shared" si="20"/>
        <v>0</v>
      </c>
      <c r="R185" s="66">
        <f t="shared" si="20"/>
        <v>0</v>
      </c>
      <c r="S185" s="66">
        <f t="shared" si="20"/>
        <v>0</v>
      </c>
      <c r="T185" s="66">
        <f t="shared" si="20"/>
        <v>0</v>
      </c>
      <c r="U185" s="66">
        <f t="shared" si="20"/>
        <v>0</v>
      </c>
      <c r="V185" s="66">
        <f t="shared" si="20"/>
        <v>2024556.2269988568</v>
      </c>
      <c r="W185" s="67">
        <f t="shared" si="20"/>
        <v>2024556.2269988568</v>
      </c>
    </row>
    <row r="186" spans="1:23" ht="15.75" thickBot="1" x14ac:dyDescent="0.3">
      <c r="A186" s="62"/>
      <c r="B186" s="63"/>
      <c r="C186" s="63"/>
      <c r="D186" s="63"/>
      <c r="E186" s="63" t="s">
        <v>96</v>
      </c>
      <c r="F186" s="66">
        <f t="shared" ref="F186:W186" si="21">SUMIF($E:$E,"Total Credit:",F:F)</f>
        <v>552906280.44279003</v>
      </c>
      <c r="G186" s="66">
        <f t="shared" si="21"/>
        <v>169750343.22829887</v>
      </c>
      <c r="H186" s="66">
        <f t="shared" si="21"/>
        <v>383155937.21449107</v>
      </c>
      <c r="I186" s="66">
        <f t="shared" si="21"/>
        <v>7061735.4619200006</v>
      </c>
      <c r="J186" s="66">
        <f t="shared" si="21"/>
        <v>54022857.19816</v>
      </c>
      <c r="K186" s="66">
        <f t="shared" si="21"/>
        <v>4377622.5199999996</v>
      </c>
      <c r="L186" s="66">
        <f t="shared" si="21"/>
        <v>21391983.850000001</v>
      </c>
      <c r="M186" s="66">
        <f t="shared" si="21"/>
        <v>13774561.559999999</v>
      </c>
      <c r="N186" s="66">
        <f t="shared" si="21"/>
        <v>895940.76</v>
      </c>
      <c r="O186" s="66">
        <f t="shared" si="21"/>
        <v>34868937.480000004</v>
      </c>
      <c r="P186" s="66">
        <f t="shared" si="21"/>
        <v>2793391.53</v>
      </c>
      <c r="Q186" s="66">
        <f t="shared" si="21"/>
        <v>386858.95</v>
      </c>
      <c r="R186" s="66">
        <f t="shared" si="21"/>
        <v>278905.67</v>
      </c>
      <c r="S186" s="66">
        <f t="shared" si="21"/>
        <v>6695743.6200000001</v>
      </c>
      <c r="T186" s="66">
        <f t="shared" si="21"/>
        <v>197064</v>
      </c>
      <c r="U186" s="66">
        <f t="shared" si="21"/>
        <v>146745602.60007998</v>
      </c>
      <c r="V186" s="66">
        <f t="shared" si="21"/>
        <v>236410334.61441109</v>
      </c>
      <c r="W186" s="67">
        <f t="shared" si="21"/>
        <v>383155937.21449107</v>
      </c>
    </row>
    <row r="187" spans="1:23" ht="15.75" thickBot="1" x14ac:dyDescent="0.3">
      <c r="A187" s="61"/>
      <c r="B187" s="60"/>
      <c r="C187" s="60"/>
      <c r="D187" s="60"/>
      <c r="E187" s="60" t="s">
        <v>55</v>
      </c>
      <c r="F187" s="69">
        <f t="shared" ref="F187:W187" si="22">F185+F186</f>
        <v>784902782.78999007</v>
      </c>
      <c r="G187" s="70">
        <f t="shared" si="22"/>
        <v>399722289.34850001</v>
      </c>
      <c r="H187" s="64">
        <f t="shared" si="22"/>
        <v>385180493.44148993</v>
      </c>
      <c r="I187" s="64">
        <f t="shared" si="22"/>
        <v>7061735.4619200006</v>
      </c>
      <c r="J187" s="64">
        <f t="shared" si="22"/>
        <v>54022857.19816</v>
      </c>
      <c r="K187" s="64">
        <f t="shared" si="22"/>
        <v>4377622.5199999996</v>
      </c>
      <c r="L187" s="64">
        <f t="shared" si="22"/>
        <v>21391983.850000001</v>
      </c>
      <c r="M187" s="64">
        <f t="shared" si="22"/>
        <v>13774561.559999999</v>
      </c>
      <c r="N187" s="64">
        <f t="shared" si="22"/>
        <v>895940.76</v>
      </c>
      <c r="O187" s="64">
        <f t="shared" si="22"/>
        <v>34868937.480000004</v>
      </c>
      <c r="P187" s="64">
        <f t="shared" si="22"/>
        <v>2793391.53</v>
      </c>
      <c r="Q187" s="64">
        <f t="shared" si="22"/>
        <v>386858.95</v>
      </c>
      <c r="R187" s="64">
        <f t="shared" si="22"/>
        <v>278905.67</v>
      </c>
      <c r="S187" s="64">
        <f t="shared" si="22"/>
        <v>6695743.6200000001</v>
      </c>
      <c r="T187" s="64">
        <f t="shared" si="22"/>
        <v>197064</v>
      </c>
      <c r="U187" s="71">
        <f t="shared" si="22"/>
        <v>146745602.60007998</v>
      </c>
      <c r="V187" s="72">
        <f t="shared" si="22"/>
        <v>238434890.84140995</v>
      </c>
      <c r="W187" s="131">
        <f t="shared" si="22"/>
        <v>385180493.44148993</v>
      </c>
    </row>
  </sheetData>
  <mergeCells count="1">
    <mergeCell ref="A2:H2"/>
  </mergeCells>
  <conditionalFormatting sqref="A3:T184">
    <cfRule type="expression" dxfId="167" priority="33">
      <formula>$B3="Cash"</formula>
    </cfRule>
  </conditionalFormatting>
  <conditionalFormatting sqref="E6:Z187">
    <cfRule type="expression" dxfId="166" priority="2">
      <formula>$E6="Cash Total:"</formula>
    </cfRule>
    <cfRule type="expression" dxfId="165" priority="4">
      <formula>$E6="Cash Total:"</formula>
    </cfRule>
    <cfRule type="expression" dxfId="164" priority="6">
      <formula>$E6="Cash Total:"</formula>
    </cfRule>
    <cfRule type="expression" dxfId="163" priority="8">
      <formula>$E6="Cash Total:"</formula>
    </cfRule>
    <cfRule type="expression" dxfId="162" priority="10">
      <formula>$E6="Cash Total:"</formula>
    </cfRule>
    <cfRule type="expression" dxfId="161" priority="12">
      <formula>$E6="Cash Total:"</formula>
    </cfRule>
    <cfRule type="expression" dxfId="160" priority="14">
      <formula>$E6="Cash Total:"</formula>
    </cfRule>
    <cfRule type="expression" dxfId="159" priority="16">
      <formula>$E6="Cash Total:"</formula>
    </cfRule>
    <cfRule type="expression" dxfId="158" priority="18">
      <formula>$E6="Cash Total:"</formula>
    </cfRule>
    <cfRule type="expression" dxfId="157" priority="20">
      <formula>$E6="Cash Total:"</formula>
    </cfRule>
    <cfRule type="expression" dxfId="156" priority="22">
      <formula>$E6="Cash Total:"</formula>
    </cfRule>
    <cfRule type="expression" dxfId="155" priority="24">
      <formula>$E6="Cash Total:"</formula>
    </cfRule>
    <cfRule type="expression" dxfId="154" priority="26">
      <formula>$E6="Cash Total:"</formula>
    </cfRule>
    <cfRule type="expression" dxfId="153" priority="28">
      <formula>$E6="Cash Total:"</formula>
    </cfRule>
    <cfRule type="expression" dxfId="152" priority="30">
      <formula>$E6="Cash Total:"</formula>
    </cfRule>
    <cfRule type="expression" dxfId="151" priority="32">
      <formula>$E6="Cash Total:"</formula>
    </cfRule>
  </conditionalFormatting>
  <conditionalFormatting sqref="E6:Z183">
    <cfRule type="expression" dxfId="150" priority="1">
      <formula>$E6="Total Cash:"</formula>
    </cfRule>
    <cfRule type="expression" dxfId="149" priority="3">
      <formula>$E6="Total Cash:"</formula>
    </cfRule>
    <cfRule type="expression" dxfId="148" priority="5">
      <formula>$E6="Total Cash:"</formula>
    </cfRule>
    <cfRule type="expression" dxfId="147" priority="7">
      <formula>$E6="Total Cash:"</formula>
    </cfRule>
    <cfRule type="expression" dxfId="146" priority="9">
      <formula>$E6="Total Cash:"</formula>
    </cfRule>
    <cfRule type="expression" dxfId="145" priority="11">
      <formula>$E6="Total Cash:"</formula>
    </cfRule>
    <cfRule type="expression" dxfId="144" priority="13">
      <formula>$E6="Total Cash:"</formula>
    </cfRule>
    <cfRule type="expression" dxfId="143" priority="15">
      <formula>$E6="Total Cash:"</formula>
    </cfRule>
    <cfRule type="expression" dxfId="142" priority="17">
      <formula>$E6="Total Cash:"</formula>
    </cfRule>
    <cfRule type="expression" dxfId="141" priority="19">
      <formula>$E6="Total Cash:"</formula>
    </cfRule>
    <cfRule type="expression" dxfId="140" priority="21">
      <formula>$E6="Total Cash:"</formula>
    </cfRule>
    <cfRule type="expression" dxfId="139" priority="23">
      <formula>$E6="Total Cash:"</formula>
    </cfRule>
    <cfRule type="expression" dxfId="138" priority="25">
      <formula>$E6="Total Cash:"</formula>
    </cfRule>
    <cfRule type="expression" dxfId="137" priority="27">
      <formula>$E6="Total Cash:"</formula>
    </cfRule>
    <cfRule type="expression" dxfId="136" priority="29">
      <formula>$E6="Total Cash:"</formula>
    </cfRule>
    <cfRule type="expression" dxfId="135" priority="31">
      <formula>$E6="Total Cash:"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DBE3C4-2E80-4093-91A2-00A7BA3D48BD}">
  <sheetPr codeName="PT_Projectwise_Summary"/>
  <dimension ref="A1:G31"/>
  <sheetViews>
    <sheetView workbookViewId="0">
      <selection activeCell="A4" sqref="A4"/>
    </sheetView>
  </sheetViews>
  <sheetFormatPr defaultRowHeight="15" x14ac:dyDescent="0.25"/>
  <cols>
    <col min="1" max="1" width="17.28515625" bestFit="1" customWidth="1"/>
    <col min="2" max="2" width="16.5703125" bestFit="1" customWidth="1"/>
    <col min="3" max="3" width="7.85546875" bestFit="1" customWidth="1"/>
    <col min="4" max="5" width="15.28515625" bestFit="1" customWidth="1"/>
    <col min="6" max="6" width="19.42578125" bestFit="1" customWidth="1"/>
    <col min="7" max="7" width="15.28515625" bestFit="1" customWidth="1"/>
    <col min="8" max="50" width="25.140625" bestFit="1" customWidth="1"/>
  </cols>
  <sheetData>
    <row r="1" spans="1:7" ht="15.75" x14ac:dyDescent="0.25">
      <c r="C1" s="53" t="s">
        <v>43</v>
      </c>
    </row>
    <row r="2" spans="1:7" ht="15.75" x14ac:dyDescent="0.25">
      <c r="B2" s="8"/>
      <c r="C2" s="53"/>
      <c r="D2" s="8"/>
      <c r="E2" s="8"/>
      <c r="F2" s="8"/>
      <c r="G2" s="8"/>
    </row>
    <row r="3" spans="1:7" x14ac:dyDescent="0.25">
      <c r="A3" s="5" t="s">
        <v>3</v>
      </c>
      <c r="B3" s="5" t="s">
        <v>4</v>
      </c>
      <c r="C3" s="5" t="s">
        <v>15</v>
      </c>
      <c r="D3" s="5" t="s">
        <v>47</v>
      </c>
      <c r="E3" s="6" t="s">
        <v>46</v>
      </c>
      <c r="F3" s="6" t="s">
        <v>45</v>
      </c>
      <c r="G3" s="7" t="s">
        <v>44</v>
      </c>
    </row>
    <row r="4" spans="1:7" x14ac:dyDescent="0.25">
      <c r="A4" s="164" t="s">
        <v>20</v>
      </c>
      <c r="B4" s="183" t="s">
        <v>27</v>
      </c>
      <c r="C4" s="183" t="s">
        <v>19</v>
      </c>
      <c r="D4" s="161">
        <v>69450000.150000006</v>
      </c>
      <c r="E4" s="161">
        <v>26966794.75</v>
      </c>
      <c r="F4" s="161">
        <v>42000000</v>
      </c>
      <c r="G4" s="161">
        <v>483205.4</v>
      </c>
    </row>
    <row r="5" spans="1:7" x14ac:dyDescent="0.25">
      <c r="A5" s="164" t="s">
        <v>20</v>
      </c>
      <c r="B5" s="164" t="s">
        <v>17</v>
      </c>
      <c r="C5" s="164" t="s">
        <v>19</v>
      </c>
      <c r="D5" s="161">
        <v>4433367.32</v>
      </c>
      <c r="E5" s="161">
        <v>2462752.0299999998</v>
      </c>
      <c r="F5" s="161">
        <v>0</v>
      </c>
      <c r="G5" s="163">
        <v>1970615.2899999998</v>
      </c>
    </row>
    <row r="6" spans="1:7" x14ac:dyDescent="0.25">
      <c r="A6" s="164" t="s">
        <v>20</v>
      </c>
      <c r="B6" s="56" t="s">
        <v>103</v>
      </c>
      <c r="C6" s="56" t="s">
        <v>19</v>
      </c>
      <c r="D6" s="161">
        <v>2072106.5699999998</v>
      </c>
      <c r="E6" s="161">
        <v>989482.66</v>
      </c>
      <c r="F6" s="161">
        <v>702587.67</v>
      </c>
      <c r="G6" s="161">
        <v>380036.24</v>
      </c>
    </row>
    <row r="7" spans="1:7" x14ac:dyDescent="0.25">
      <c r="A7" s="164" t="s">
        <v>20</v>
      </c>
      <c r="B7" s="56" t="s">
        <v>105</v>
      </c>
      <c r="C7" s="56" t="s">
        <v>19</v>
      </c>
      <c r="D7" s="161">
        <v>19000000</v>
      </c>
      <c r="E7" s="161">
        <v>13000000</v>
      </c>
      <c r="F7" s="161">
        <v>6000000</v>
      </c>
      <c r="G7" s="161">
        <v>0</v>
      </c>
    </row>
    <row r="8" spans="1:7" x14ac:dyDescent="0.25">
      <c r="A8" s="164" t="s">
        <v>20</v>
      </c>
      <c r="B8" s="56" t="s">
        <v>75</v>
      </c>
      <c r="C8" s="56" t="s">
        <v>19</v>
      </c>
      <c r="D8" s="161">
        <v>6254742.4400000004</v>
      </c>
      <c r="E8" s="161">
        <v>2651073.1399999997</v>
      </c>
      <c r="F8" s="161">
        <v>199393.9</v>
      </c>
      <c r="G8" s="161">
        <v>3404275.3999999994</v>
      </c>
    </row>
    <row r="9" spans="1:7" x14ac:dyDescent="0.25">
      <c r="A9" s="164" t="s">
        <v>20</v>
      </c>
      <c r="B9" s="56" t="s">
        <v>152</v>
      </c>
      <c r="C9" s="56" t="s">
        <v>19</v>
      </c>
      <c r="D9" s="161">
        <v>60833412.870000005</v>
      </c>
      <c r="E9" s="161">
        <v>13576364.91</v>
      </c>
      <c r="F9" s="161">
        <v>19612144.129999999</v>
      </c>
      <c r="G9" s="161">
        <v>27644903.829999998</v>
      </c>
    </row>
    <row r="10" spans="1:7" x14ac:dyDescent="0.25">
      <c r="A10" s="164" t="s">
        <v>20</v>
      </c>
      <c r="B10" s="56" t="s">
        <v>117</v>
      </c>
      <c r="C10" s="56" t="s">
        <v>19</v>
      </c>
      <c r="D10" s="161">
        <v>7145643.5200000005</v>
      </c>
      <c r="E10" s="161">
        <v>326709.94</v>
      </c>
      <c r="F10" s="161">
        <v>4268113.24</v>
      </c>
      <c r="G10" s="161">
        <v>2550820.34</v>
      </c>
    </row>
    <row r="11" spans="1:7" x14ac:dyDescent="0.25">
      <c r="A11" s="164" t="s">
        <v>183</v>
      </c>
      <c r="B11" s="56" t="s">
        <v>17</v>
      </c>
      <c r="C11" s="56" t="s">
        <v>19</v>
      </c>
      <c r="D11" s="161">
        <v>15049478.6414</v>
      </c>
      <c r="E11" s="161">
        <v>1066915.4528088849</v>
      </c>
      <c r="F11" s="161">
        <v>0</v>
      </c>
      <c r="G11" s="161">
        <v>13982563.189999999</v>
      </c>
    </row>
    <row r="12" spans="1:7" x14ac:dyDescent="0.25">
      <c r="A12" s="164" t="s">
        <v>183</v>
      </c>
      <c r="B12" s="56" t="s">
        <v>105</v>
      </c>
      <c r="C12" s="56" t="s">
        <v>19</v>
      </c>
      <c r="D12" s="161">
        <v>26538110.359999999</v>
      </c>
      <c r="E12" s="161">
        <v>0</v>
      </c>
      <c r="F12" s="161">
        <v>15724333.939999999</v>
      </c>
      <c r="G12" s="161">
        <v>10813776.42</v>
      </c>
    </row>
    <row r="13" spans="1:7" x14ac:dyDescent="0.25">
      <c r="A13" s="164" t="s">
        <v>24</v>
      </c>
      <c r="B13" s="164" t="s">
        <v>31</v>
      </c>
      <c r="C13" s="164" t="s">
        <v>19</v>
      </c>
      <c r="D13" s="161">
        <v>6066341</v>
      </c>
      <c r="E13" s="161">
        <v>1641337.5</v>
      </c>
      <c r="F13" s="161">
        <v>1099687.5</v>
      </c>
      <c r="G13" s="163">
        <v>3325316</v>
      </c>
    </row>
    <row r="14" spans="1:7" x14ac:dyDescent="0.25">
      <c r="A14" s="164" t="s">
        <v>24</v>
      </c>
      <c r="B14" s="164" t="s">
        <v>27</v>
      </c>
      <c r="C14" s="164" t="s">
        <v>19</v>
      </c>
      <c r="D14" s="161">
        <v>31481033</v>
      </c>
      <c r="E14" s="161">
        <v>0</v>
      </c>
      <c r="F14" s="161">
        <v>31481033</v>
      </c>
      <c r="G14" s="163">
        <v>0</v>
      </c>
    </row>
    <row r="15" spans="1:7" x14ac:dyDescent="0.25">
      <c r="A15" s="164" t="s">
        <v>24</v>
      </c>
      <c r="B15" s="164" t="s">
        <v>17</v>
      </c>
      <c r="C15" s="164" t="s">
        <v>19</v>
      </c>
      <c r="D15" s="161">
        <v>20000000</v>
      </c>
      <c r="E15" s="161">
        <v>0</v>
      </c>
      <c r="F15" s="161">
        <v>8237108.9800000004</v>
      </c>
      <c r="G15" s="163">
        <v>11762891.02</v>
      </c>
    </row>
    <row r="16" spans="1:7" x14ac:dyDescent="0.25">
      <c r="A16" s="164" t="s">
        <v>24</v>
      </c>
      <c r="B16" s="164" t="s">
        <v>151</v>
      </c>
      <c r="C16" s="164" t="s">
        <v>19</v>
      </c>
      <c r="D16" s="161">
        <v>2896770</v>
      </c>
      <c r="E16" s="161">
        <v>0</v>
      </c>
      <c r="F16" s="161">
        <v>386858.95</v>
      </c>
      <c r="G16" s="163">
        <v>2509911.0499999998</v>
      </c>
    </row>
    <row r="17" spans="1:7" x14ac:dyDescent="0.25">
      <c r="A17" s="164" t="s">
        <v>24</v>
      </c>
      <c r="B17" s="56" t="s">
        <v>105</v>
      </c>
      <c r="C17" s="56" t="s">
        <v>19</v>
      </c>
      <c r="D17" s="161">
        <v>24200000.000000004</v>
      </c>
      <c r="E17" s="161">
        <v>20908277</v>
      </c>
      <c r="F17" s="161">
        <v>1198665</v>
      </c>
      <c r="G17" s="161">
        <v>2093058</v>
      </c>
    </row>
    <row r="18" spans="1:7" x14ac:dyDescent="0.25">
      <c r="A18" s="164" t="s">
        <v>24</v>
      </c>
      <c r="B18" s="56" t="s">
        <v>106</v>
      </c>
      <c r="C18" s="56" t="s">
        <v>19</v>
      </c>
      <c r="D18" s="161">
        <v>25524849.240000002</v>
      </c>
      <c r="E18" s="161">
        <v>17142741.799999997</v>
      </c>
      <c r="F18" s="161">
        <v>412500</v>
      </c>
      <c r="G18" s="161">
        <v>7969607.4399999995</v>
      </c>
    </row>
    <row r="19" spans="1:7" x14ac:dyDescent="0.25">
      <c r="A19" s="164" t="s">
        <v>24</v>
      </c>
      <c r="B19" s="56" t="s">
        <v>75</v>
      </c>
      <c r="C19" s="56" t="s">
        <v>19</v>
      </c>
      <c r="D19" s="161">
        <v>51090665.200000003</v>
      </c>
      <c r="E19" s="161">
        <v>10661908.869999999</v>
      </c>
      <c r="F19" s="161">
        <v>112200.9</v>
      </c>
      <c r="G19" s="161">
        <v>40316555.43</v>
      </c>
    </row>
    <row r="20" spans="1:7" x14ac:dyDescent="0.25">
      <c r="A20" s="164" t="s">
        <v>24</v>
      </c>
      <c r="B20" s="56" t="s">
        <v>168</v>
      </c>
      <c r="C20" s="56" t="s">
        <v>32</v>
      </c>
      <c r="D20" s="161">
        <v>227903706.10720003</v>
      </c>
      <c r="E20" s="161">
        <v>225892633.83020118</v>
      </c>
      <c r="F20" s="161">
        <v>0</v>
      </c>
      <c r="G20" s="161">
        <v>2011072.28</v>
      </c>
    </row>
    <row r="21" spans="1:7" x14ac:dyDescent="0.25">
      <c r="A21" s="164" t="s">
        <v>24</v>
      </c>
      <c r="B21" s="56" t="s">
        <v>117</v>
      </c>
      <c r="C21" s="56" t="s">
        <v>32</v>
      </c>
      <c r="D21" s="161">
        <v>4092796.2399999998</v>
      </c>
      <c r="E21" s="161">
        <v>4079312.29</v>
      </c>
      <c r="F21" s="161">
        <v>0</v>
      </c>
      <c r="G21" s="161">
        <v>13483.95</v>
      </c>
    </row>
    <row r="22" spans="1:7" x14ac:dyDescent="0.25">
      <c r="A22" s="164" t="s">
        <v>24</v>
      </c>
      <c r="B22" s="56" t="s">
        <v>117</v>
      </c>
      <c r="C22" s="56" t="s">
        <v>19</v>
      </c>
      <c r="D22" s="161">
        <v>43839807.319999993</v>
      </c>
      <c r="E22" s="161">
        <v>21181681.219999999</v>
      </c>
      <c r="F22" s="161">
        <v>1488156.6800000002</v>
      </c>
      <c r="G22" s="161">
        <v>21169969.420000002</v>
      </c>
    </row>
    <row r="23" spans="1:7" x14ac:dyDescent="0.25">
      <c r="A23" s="164" t="s">
        <v>24</v>
      </c>
      <c r="B23" s="56" t="s">
        <v>267</v>
      </c>
      <c r="C23" s="56" t="s">
        <v>19</v>
      </c>
      <c r="D23" s="161">
        <v>5000000</v>
      </c>
      <c r="E23" s="161">
        <v>2707269.5</v>
      </c>
      <c r="F23" s="161">
        <v>949900</v>
      </c>
      <c r="G23" s="161">
        <v>1342830.5</v>
      </c>
    </row>
    <row r="24" spans="1:7" x14ac:dyDescent="0.25">
      <c r="A24" s="162" t="s">
        <v>219</v>
      </c>
      <c r="B24" s="56" t="s">
        <v>31</v>
      </c>
      <c r="C24" s="56" t="s">
        <v>19</v>
      </c>
      <c r="D24" s="161">
        <v>1507901</v>
      </c>
      <c r="E24" s="161">
        <v>0</v>
      </c>
      <c r="F24" s="161">
        <v>0</v>
      </c>
      <c r="G24" s="161">
        <v>1507901</v>
      </c>
    </row>
    <row r="25" spans="1:7" x14ac:dyDescent="0.25">
      <c r="A25" s="162" t="s">
        <v>219</v>
      </c>
      <c r="B25" s="56" t="s">
        <v>151</v>
      </c>
      <c r="C25" s="56" t="s">
        <v>19</v>
      </c>
      <c r="D25" s="161">
        <v>69893646.700000003</v>
      </c>
      <c r="E25" s="161">
        <v>12335918.542009998</v>
      </c>
      <c r="F25" s="161">
        <v>12220413.310000001</v>
      </c>
      <c r="G25" s="161">
        <v>45337314.849999994</v>
      </c>
    </row>
    <row r="26" spans="1:7" x14ac:dyDescent="0.25">
      <c r="A26" s="162" t="s">
        <v>275</v>
      </c>
      <c r="B26" s="56" t="s">
        <v>151</v>
      </c>
      <c r="C26" s="56" t="s">
        <v>19</v>
      </c>
      <c r="D26" s="161">
        <v>20775425.050000001</v>
      </c>
      <c r="E26" s="161">
        <v>18251390.700000003</v>
      </c>
      <c r="F26" s="161">
        <v>652505.4</v>
      </c>
      <c r="G26" s="161">
        <v>1871528.95</v>
      </c>
    </row>
    <row r="27" spans="1:7" x14ac:dyDescent="0.25">
      <c r="A27" s="162" t="s">
        <v>326</v>
      </c>
      <c r="B27" s="56" t="s">
        <v>27</v>
      </c>
      <c r="C27" s="56" t="s">
        <v>19</v>
      </c>
      <c r="D27" s="161">
        <v>1269458.03</v>
      </c>
      <c r="E27" s="161">
        <v>0</v>
      </c>
      <c r="F27" s="161">
        <v>0</v>
      </c>
      <c r="G27" s="161">
        <v>1269458.03</v>
      </c>
    </row>
    <row r="28" spans="1:7" x14ac:dyDescent="0.25">
      <c r="A28" s="162" t="s">
        <v>358</v>
      </c>
      <c r="B28" s="56" t="s">
        <v>117</v>
      </c>
      <c r="C28" s="56" t="s">
        <v>19</v>
      </c>
      <c r="D28" s="161">
        <v>4618971.8232900007</v>
      </c>
      <c r="E28" s="161">
        <v>1379725.2134799999</v>
      </c>
      <c r="F28" s="161">
        <v>0</v>
      </c>
      <c r="G28" s="161">
        <v>3239246.61</v>
      </c>
    </row>
    <row r="29" spans="1:7" x14ac:dyDescent="0.25">
      <c r="A29" s="162" t="s">
        <v>453</v>
      </c>
      <c r="B29" s="56" t="s">
        <v>151</v>
      </c>
      <c r="C29" s="56" t="s">
        <v>19</v>
      </c>
      <c r="D29" s="161">
        <v>7446132.75</v>
      </c>
      <c r="E29" s="161">
        <v>2500000</v>
      </c>
      <c r="F29" s="161">
        <v>0</v>
      </c>
      <c r="G29" s="161">
        <v>4946132.75</v>
      </c>
    </row>
    <row r="30" spans="1:7" x14ac:dyDescent="0.25">
      <c r="A30" s="162" t="s">
        <v>450</v>
      </c>
      <c r="B30" s="56" t="s">
        <v>151</v>
      </c>
      <c r="C30" s="56" t="s">
        <v>19</v>
      </c>
      <c r="D30" s="161">
        <v>26518417.458099999</v>
      </c>
      <c r="E30" s="161">
        <v>0</v>
      </c>
      <c r="F30" s="161">
        <v>0</v>
      </c>
      <c r="G30" s="161">
        <v>26518417.460000001</v>
      </c>
    </row>
    <row r="31" spans="1:7" x14ac:dyDescent="0.25">
      <c r="A31" s="13" t="s">
        <v>40</v>
      </c>
      <c r="B31" s="14"/>
      <c r="C31" s="14"/>
      <c r="D31" s="163">
        <v>784902782.78998995</v>
      </c>
      <c r="E31" s="163">
        <v>399722289.34850001</v>
      </c>
      <c r="F31" s="163">
        <v>146745602.60000002</v>
      </c>
      <c r="G31" s="163">
        <v>238434890.84999999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6BF44-E9F9-42FE-85C7-F69EA8CEC8B4}">
  <sheetPr codeName="V_Projectwise_Summary"/>
  <dimension ref="C2:I79"/>
  <sheetViews>
    <sheetView showGridLines="0" workbookViewId="0"/>
  </sheetViews>
  <sheetFormatPr defaultRowHeight="15" x14ac:dyDescent="0.25"/>
  <cols>
    <col min="3" max="3" width="29.140625" bestFit="1" customWidth="1"/>
    <col min="4" max="4" width="18.42578125" bestFit="1" customWidth="1"/>
    <col min="5" max="5" width="11.85546875" bestFit="1" customWidth="1"/>
    <col min="6" max="7" width="15.28515625" bestFit="1" customWidth="1"/>
    <col min="8" max="8" width="19.42578125" bestFit="1" customWidth="1"/>
    <col min="9" max="9" width="15.28515625" bestFit="1" customWidth="1"/>
  </cols>
  <sheetData>
    <row r="2" spans="3:9" ht="20.25" x14ac:dyDescent="0.3">
      <c r="C2" s="250" t="s">
        <v>43</v>
      </c>
      <c r="D2" s="250"/>
      <c r="E2" s="250"/>
      <c r="F2" s="250"/>
      <c r="G2" s="250"/>
      <c r="H2" s="250"/>
      <c r="I2" s="250"/>
    </row>
    <row r="3" spans="3:9" x14ac:dyDescent="0.25">
      <c r="C3" s="160" t="s">
        <v>3</v>
      </c>
      <c r="D3" s="160" t="s">
        <v>4</v>
      </c>
      <c r="E3" s="160" t="s">
        <v>15</v>
      </c>
      <c r="F3" s="160" t="s">
        <v>47</v>
      </c>
      <c r="G3" s="160" t="s">
        <v>46</v>
      </c>
      <c r="H3" s="160" t="s">
        <v>45</v>
      </c>
      <c r="I3" s="160" t="s">
        <v>44</v>
      </c>
    </row>
    <row r="4" spans="3:9" ht="15.75" thickBot="1" x14ac:dyDescent="0.3">
      <c r="C4" s="171" t="s">
        <v>20</v>
      </c>
      <c r="D4" s="171" t="s">
        <v>27</v>
      </c>
      <c r="E4" s="171" t="s">
        <v>19</v>
      </c>
      <c r="F4" s="158">
        <f>SUMIFS('M_LC Summary'!$K:$K,'M_LC Summary'!$D:$D,'V_Project-wise Summary'!$C4,'M_LC Summary'!$E:$E,'V_Project-wise Summary'!$D4,'M_LC Summary'!$G:$G,'V_Project-wise Summary'!$E4)</f>
        <v>69450000.150000006</v>
      </c>
      <c r="G4" s="158">
        <f>SUMIFS('M_LC Summary'!$L:$L,'M_LC Summary'!$D:$D,'V_Project-wise Summary'!$C4,'M_LC Summary'!$E:$E,'V_Project-wise Summary'!$D4,'M_LC Summary'!$G:$G,'V_Project-wise Summary'!$E4)</f>
        <v>26966794.75</v>
      </c>
      <c r="H4" s="158">
        <f>SUMIFS('M_LC Summary'!$M:$M,'M_LC Summary'!$D:$D,'V_Project-wise Summary'!$C4,'M_LC Summary'!$E:$E,'V_Project-wise Summary'!$D4,'M_LC Summary'!$G:$G,'V_Project-wise Summary'!$E4)</f>
        <v>42000000</v>
      </c>
      <c r="I4" s="158">
        <f t="shared" ref="I4:I76" si="0">F4-G4-H4</f>
        <v>483205.40000000596</v>
      </c>
    </row>
    <row r="5" spans="3:9" ht="15.75" thickBot="1" x14ac:dyDescent="0.3">
      <c r="C5" s="22"/>
      <c r="D5" s="23"/>
      <c r="E5" s="23" t="s">
        <v>54</v>
      </c>
      <c r="F5" s="24">
        <f>SUM(F3:F4)</f>
        <v>69450000.150000006</v>
      </c>
      <c r="G5" s="24">
        <f>SUM(G3:G4)</f>
        <v>26966794.75</v>
      </c>
      <c r="H5" s="24">
        <f>SUM(H3:H4)</f>
        <v>42000000</v>
      </c>
      <c r="I5" s="25">
        <f>SUM(I3:I4)</f>
        <v>483205.40000000596</v>
      </c>
    </row>
    <row r="6" spans="3:9" x14ac:dyDescent="0.25">
      <c r="C6" s="173"/>
      <c r="D6" s="173"/>
      <c r="E6" s="173"/>
      <c r="F6" s="159"/>
      <c r="G6" s="159"/>
      <c r="H6" s="159"/>
      <c r="I6" s="159"/>
    </row>
    <row r="7" spans="3:9" ht="15.75" thickBot="1" x14ac:dyDescent="0.3">
      <c r="C7" s="171" t="s">
        <v>20</v>
      </c>
      <c r="D7" s="171" t="s">
        <v>17</v>
      </c>
      <c r="E7" s="171" t="s">
        <v>19</v>
      </c>
      <c r="F7" s="158">
        <f>SUMIFS('M_LC Summary'!$K:$K,'M_LC Summary'!$D:$D,'V_Project-wise Summary'!$C7,'M_LC Summary'!$E:$E,'V_Project-wise Summary'!$D7,'M_LC Summary'!$G:$G,'V_Project-wise Summary'!$E7)</f>
        <v>4433367.32</v>
      </c>
      <c r="G7" s="158">
        <f>SUMIFS('M_LC Summary'!$L:$L,'M_LC Summary'!$D:$D,'V_Project-wise Summary'!$C7,'M_LC Summary'!$E:$E,'V_Project-wise Summary'!$D7,'M_LC Summary'!$G:$G,'V_Project-wise Summary'!$E7)</f>
        <v>2462752.0299999998</v>
      </c>
      <c r="H7" s="158">
        <f>SUMIFS('M_LC Summary'!$M:$M,'M_LC Summary'!$D:$D,'V_Project-wise Summary'!$C7,'M_LC Summary'!$E:$E,'V_Project-wise Summary'!$D7,'M_LC Summary'!$G:$G,'V_Project-wise Summary'!$E7)</f>
        <v>0</v>
      </c>
      <c r="I7" s="158">
        <f t="shared" si="0"/>
        <v>1970615.2900000005</v>
      </c>
    </row>
    <row r="8" spans="3:9" ht="15.75" thickBot="1" x14ac:dyDescent="0.3">
      <c r="C8" s="22"/>
      <c r="D8" s="23"/>
      <c r="E8" s="23" t="s">
        <v>54</v>
      </c>
      <c r="F8" s="24">
        <f>SUM(F6:F7)</f>
        <v>4433367.32</v>
      </c>
      <c r="G8" s="24">
        <f>SUM(G6:G7)</f>
        <v>2462752.0299999998</v>
      </c>
      <c r="H8" s="24">
        <f>SUM(H6:H7)</f>
        <v>0</v>
      </c>
      <c r="I8" s="25">
        <f>SUM(I6:I7)</f>
        <v>1970615.2900000005</v>
      </c>
    </row>
    <row r="9" spans="3:9" x14ac:dyDescent="0.25">
      <c r="C9" s="173"/>
      <c r="D9" s="173"/>
      <c r="E9" s="173"/>
      <c r="F9" s="159"/>
      <c r="G9" s="159"/>
      <c r="H9" s="159"/>
      <c r="I9" s="159"/>
    </row>
    <row r="10" spans="3:9" ht="15.75" thickBot="1" x14ac:dyDescent="0.3">
      <c r="C10" s="171" t="s">
        <v>20</v>
      </c>
      <c r="D10" s="171" t="s">
        <v>103</v>
      </c>
      <c r="E10" s="171" t="s">
        <v>19</v>
      </c>
      <c r="F10" s="158">
        <f>SUMIFS('M_LC Summary'!$K:$K,'M_LC Summary'!$D:$D,'V_Project-wise Summary'!$C10,'M_LC Summary'!$E:$E,'V_Project-wise Summary'!$D10,'M_LC Summary'!$G:$G,'V_Project-wise Summary'!$E10)</f>
        <v>2072106.5699999998</v>
      </c>
      <c r="G10" s="158">
        <f>SUMIFS('M_LC Summary'!$L:$L,'M_LC Summary'!$D:$D,'V_Project-wise Summary'!$C10,'M_LC Summary'!$E:$E,'V_Project-wise Summary'!$D10,'M_LC Summary'!$G:$G,'V_Project-wise Summary'!$E10)</f>
        <v>989482.66</v>
      </c>
      <c r="H10" s="158">
        <f>SUMIFS('M_LC Summary'!$M:$M,'M_LC Summary'!$D:$D,'V_Project-wise Summary'!$C10,'M_LC Summary'!$E:$E,'V_Project-wise Summary'!$D10,'M_LC Summary'!$G:$G,'V_Project-wise Summary'!$E10)</f>
        <v>702587.67</v>
      </c>
      <c r="I10" s="158">
        <f t="shared" si="0"/>
        <v>380036.23999999964</v>
      </c>
    </row>
    <row r="11" spans="3:9" ht="15.75" thickBot="1" x14ac:dyDescent="0.3">
      <c r="C11" s="22"/>
      <c r="D11" s="23"/>
      <c r="E11" s="23" t="s">
        <v>54</v>
      </c>
      <c r="F11" s="24">
        <f>SUM(F9:F10)</f>
        <v>2072106.5699999998</v>
      </c>
      <c r="G11" s="24">
        <f>SUM(G9:G10)</f>
        <v>989482.66</v>
      </c>
      <c r="H11" s="24">
        <f>SUM(H9:H10)</f>
        <v>702587.67</v>
      </c>
      <c r="I11" s="25">
        <f>SUM(I9:I10)</f>
        <v>380036.23999999964</v>
      </c>
    </row>
    <row r="12" spans="3:9" x14ac:dyDescent="0.25">
      <c r="C12" s="173"/>
      <c r="D12" s="173"/>
      <c r="E12" s="173"/>
      <c r="F12" s="159"/>
      <c r="G12" s="159"/>
      <c r="H12" s="159"/>
      <c r="I12" s="159"/>
    </row>
    <row r="13" spans="3:9" ht="15.75" thickBot="1" x14ac:dyDescent="0.3">
      <c r="C13" s="171" t="s">
        <v>20</v>
      </c>
      <c r="D13" s="171" t="s">
        <v>105</v>
      </c>
      <c r="E13" s="171" t="s">
        <v>19</v>
      </c>
      <c r="F13" s="158">
        <f>SUMIFS('M_LC Summary'!$K:$K,'M_LC Summary'!$D:$D,'V_Project-wise Summary'!$C13,'M_LC Summary'!$E:$E,'V_Project-wise Summary'!$D13,'M_LC Summary'!$G:$G,'V_Project-wise Summary'!$E13)</f>
        <v>19000000</v>
      </c>
      <c r="G13" s="158">
        <f>SUMIFS('M_LC Summary'!$L:$L,'M_LC Summary'!$D:$D,'V_Project-wise Summary'!$C13,'M_LC Summary'!$E:$E,'V_Project-wise Summary'!$D13,'M_LC Summary'!$G:$G,'V_Project-wise Summary'!$E13)</f>
        <v>13000000</v>
      </c>
      <c r="H13" s="158">
        <f>SUMIFS('M_LC Summary'!$M:$M,'M_LC Summary'!$D:$D,'V_Project-wise Summary'!$C13,'M_LC Summary'!$E:$E,'V_Project-wise Summary'!$D13,'M_LC Summary'!$G:$G,'V_Project-wise Summary'!$E13)</f>
        <v>6000000</v>
      </c>
      <c r="I13" s="158">
        <f t="shared" si="0"/>
        <v>0</v>
      </c>
    </row>
    <row r="14" spans="3:9" ht="15.75" thickBot="1" x14ac:dyDescent="0.3">
      <c r="C14" s="22"/>
      <c r="D14" s="23"/>
      <c r="E14" s="23" t="s">
        <v>54</v>
      </c>
      <c r="F14" s="24">
        <f>SUM(F12:F13)</f>
        <v>19000000</v>
      </c>
      <c r="G14" s="24">
        <f>SUM(G12:G13)</f>
        <v>13000000</v>
      </c>
      <c r="H14" s="24">
        <f>SUM(H12:H13)</f>
        <v>6000000</v>
      </c>
      <c r="I14" s="25">
        <f>SUM(I12:I13)</f>
        <v>0</v>
      </c>
    </row>
    <row r="15" spans="3:9" x14ac:dyDescent="0.25">
      <c r="C15" s="173"/>
      <c r="D15" s="173"/>
      <c r="E15" s="173"/>
      <c r="F15" s="159"/>
      <c r="G15" s="159"/>
      <c r="H15" s="159"/>
      <c r="I15" s="159"/>
    </row>
    <row r="16" spans="3:9" ht="15.75" thickBot="1" x14ac:dyDescent="0.3">
      <c r="C16" s="171" t="s">
        <v>20</v>
      </c>
      <c r="D16" s="171" t="s">
        <v>75</v>
      </c>
      <c r="E16" s="171" t="s">
        <v>19</v>
      </c>
      <c r="F16" s="158">
        <f>SUMIFS('M_LC Summary'!$K:$K,'M_LC Summary'!$D:$D,'V_Project-wise Summary'!$C16,'M_LC Summary'!$E:$E,'V_Project-wise Summary'!$D16,'M_LC Summary'!$G:$G,'V_Project-wise Summary'!$E16)</f>
        <v>6254742.4400000004</v>
      </c>
      <c r="G16" s="158">
        <f>SUMIFS('M_LC Summary'!$L:$L,'M_LC Summary'!$D:$D,'V_Project-wise Summary'!$C16,'M_LC Summary'!$E:$E,'V_Project-wise Summary'!$D16,'M_LC Summary'!$G:$G,'V_Project-wise Summary'!$E16)</f>
        <v>2651073.1399999997</v>
      </c>
      <c r="H16" s="158">
        <f>SUMIFS('M_LC Summary'!$M:$M,'M_LC Summary'!$D:$D,'V_Project-wise Summary'!$C16,'M_LC Summary'!$E:$E,'V_Project-wise Summary'!$D16,'M_LC Summary'!$G:$G,'V_Project-wise Summary'!$E16)</f>
        <v>199393.9</v>
      </c>
      <c r="I16" s="158">
        <f t="shared" si="0"/>
        <v>3404275.4000000008</v>
      </c>
    </row>
    <row r="17" spans="3:9" ht="15.75" thickBot="1" x14ac:dyDescent="0.3">
      <c r="C17" s="22"/>
      <c r="D17" s="23"/>
      <c r="E17" s="23" t="s">
        <v>54</v>
      </c>
      <c r="F17" s="24">
        <f>SUM(F15:F16)</f>
        <v>6254742.4400000004</v>
      </c>
      <c r="G17" s="24">
        <f>SUM(G15:G16)</f>
        <v>2651073.1399999997</v>
      </c>
      <c r="H17" s="24">
        <f>SUM(H15:H16)</f>
        <v>199393.9</v>
      </c>
      <c r="I17" s="25">
        <f>SUM(I15:I16)</f>
        <v>3404275.4000000008</v>
      </c>
    </row>
    <row r="18" spans="3:9" x14ac:dyDescent="0.25">
      <c r="C18" s="173"/>
      <c r="D18" s="173"/>
      <c r="E18" s="173"/>
      <c r="F18" s="159"/>
      <c r="G18" s="159"/>
      <c r="H18" s="159"/>
      <c r="I18" s="159"/>
    </row>
    <row r="19" spans="3:9" ht="15.75" thickBot="1" x14ac:dyDescent="0.3">
      <c r="C19" s="171" t="s">
        <v>20</v>
      </c>
      <c r="D19" s="171" t="s">
        <v>152</v>
      </c>
      <c r="E19" s="171" t="s">
        <v>19</v>
      </c>
      <c r="F19" s="158">
        <f>SUMIFS('M_LC Summary'!$K:$K,'M_LC Summary'!$D:$D,'V_Project-wise Summary'!$C19,'M_LC Summary'!$E:$E,'V_Project-wise Summary'!$D19,'M_LC Summary'!$G:$G,'V_Project-wise Summary'!$E19)</f>
        <v>60833412.870000005</v>
      </c>
      <c r="G19" s="158">
        <f>SUMIFS('M_LC Summary'!$L:$L,'M_LC Summary'!$D:$D,'V_Project-wise Summary'!$C19,'M_LC Summary'!$E:$E,'V_Project-wise Summary'!$D19,'M_LC Summary'!$G:$G,'V_Project-wise Summary'!$E19)</f>
        <v>13576364.91</v>
      </c>
      <c r="H19" s="158">
        <f>SUMIFS('M_LC Summary'!$M:$M,'M_LC Summary'!$D:$D,'V_Project-wise Summary'!$C19,'M_LC Summary'!$E:$E,'V_Project-wise Summary'!$D19,'M_LC Summary'!$G:$G,'V_Project-wise Summary'!$E19)</f>
        <v>19612144.129999999</v>
      </c>
      <c r="I19" s="158">
        <f t="shared" si="0"/>
        <v>27644903.830000009</v>
      </c>
    </row>
    <row r="20" spans="3:9" ht="15.75" thickBot="1" x14ac:dyDescent="0.3">
      <c r="C20" s="22"/>
      <c r="D20" s="23"/>
      <c r="E20" s="23" t="s">
        <v>54</v>
      </c>
      <c r="F20" s="24">
        <f>SUM(F18:F19)</f>
        <v>60833412.870000005</v>
      </c>
      <c r="G20" s="24">
        <f>SUM(G18:G19)</f>
        <v>13576364.91</v>
      </c>
      <c r="H20" s="24">
        <f>SUM(H18:H19)</f>
        <v>19612144.129999999</v>
      </c>
      <c r="I20" s="25">
        <f>SUM(I18:I19)</f>
        <v>27644903.830000009</v>
      </c>
    </row>
    <row r="21" spans="3:9" x14ac:dyDescent="0.25">
      <c r="C21" s="173"/>
      <c r="D21" s="173"/>
      <c r="E21" s="173"/>
      <c r="F21" s="159"/>
      <c r="G21" s="159"/>
      <c r="H21" s="159"/>
      <c r="I21" s="159"/>
    </row>
    <row r="22" spans="3:9" ht="15.75" thickBot="1" x14ac:dyDescent="0.3">
      <c r="C22" s="171" t="s">
        <v>20</v>
      </c>
      <c r="D22" s="171" t="s">
        <v>117</v>
      </c>
      <c r="E22" s="171" t="s">
        <v>19</v>
      </c>
      <c r="F22" s="158">
        <f>SUMIFS('M_LC Summary'!$K:$K,'M_LC Summary'!$D:$D,'V_Project-wise Summary'!$C22,'M_LC Summary'!$E:$E,'V_Project-wise Summary'!$D22,'M_LC Summary'!$G:$G,'V_Project-wise Summary'!$E22)</f>
        <v>7145643.5200000005</v>
      </c>
      <c r="G22" s="158">
        <f>SUMIFS('M_LC Summary'!$L:$L,'M_LC Summary'!$D:$D,'V_Project-wise Summary'!$C22,'M_LC Summary'!$E:$E,'V_Project-wise Summary'!$D22,'M_LC Summary'!$G:$G,'V_Project-wise Summary'!$E22)</f>
        <v>326709.94</v>
      </c>
      <c r="H22" s="158">
        <f>SUMIFS('M_LC Summary'!$M:$M,'M_LC Summary'!$D:$D,'V_Project-wise Summary'!$C22,'M_LC Summary'!$E:$E,'V_Project-wise Summary'!$D22,'M_LC Summary'!$G:$G,'V_Project-wise Summary'!$E22)</f>
        <v>4268113.24</v>
      </c>
      <c r="I22" s="158">
        <f t="shared" si="0"/>
        <v>2550820.34</v>
      </c>
    </row>
    <row r="23" spans="3:9" ht="15.75" thickBot="1" x14ac:dyDescent="0.3">
      <c r="C23" s="22"/>
      <c r="D23" s="23"/>
      <c r="E23" s="23" t="s">
        <v>54</v>
      </c>
      <c r="F23" s="24">
        <f>SUM(F21:F22)</f>
        <v>7145643.5200000005</v>
      </c>
      <c r="G23" s="24">
        <f>SUM(G21:G22)</f>
        <v>326709.94</v>
      </c>
      <c r="H23" s="24">
        <f>SUM(H21:H22)</f>
        <v>4268113.24</v>
      </c>
      <c r="I23" s="25">
        <f>SUM(I21:I22)</f>
        <v>2550820.34</v>
      </c>
    </row>
    <row r="24" spans="3:9" x14ac:dyDescent="0.25">
      <c r="C24" s="173"/>
      <c r="D24" s="173"/>
      <c r="E24" s="173"/>
      <c r="F24" s="159"/>
      <c r="G24" s="159"/>
      <c r="H24" s="159"/>
      <c r="I24" s="159"/>
    </row>
    <row r="25" spans="3:9" ht="15.75" thickBot="1" x14ac:dyDescent="0.3">
      <c r="C25" s="171" t="s">
        <v>183</v>
      </c>
      <c r="D25" s="171" t="s">
        <v>17</v>
      </c>
      <c r="E25" s="171" t="s">
        <v>19</v>
      </c>
      <c r="F25" s="158">
        <f>SUMIFS('M_LC Summary'!$K:$K,'M_LC Summary'!$D:$D,'V_Project-wise Summary'!$C25,'M_LC Summary'!$E:$E,'V_Project-wise Summary'!$D25,'M_LC Summary'!$G:$G,'V_Project-wise Summary'!$E25)</f>
        <v>15049478.6414</v>
      </c>
      <c r="G25" s="158">
        <f>SUMIFS('M_LC Summary'!$L:$L,'M_LC Summary'!$D:$D,'V_Project-wise Summary'!$C25,'M_LC Summary'!$E:$E,'V_Project-wise Summary'!$D25,'M_LC Summary'!$G:$G,'V_Project-wise Summary'!$E25)</f>
        <v>1066915.4528088849</v>
      </c>
      <c r="H25" s="158">
        <f>SUMIFS('M_LC Summary'!$M:$M,'M_LC Summary'!$D:$D,'V_Project-wise Summary'!$C25,'M_LC Summary'!$E:$E,'V_Project-wise Summary'!$D25,'M_LC Summary'!$G:$G,'V_Project-wise Summary'!$E25)</f>
        <v>0</v>
      </c>
      <c r="I25" s="158">
        <f t="shared" si="0"/>
        <v>13982563.188591115</v>
      </c>
    </row>
    <row r="26" spans="3:9" ht="15.75" thickBot="1" x14ac:dyDescent="0.3">
      <c r="C26" s="22"/>
      <c r="D26" s="23"/>
      <c r="E26" s="23" t="s">
        <v>54</v>
      </c>
      <c r="F26" s="24">
        <f>SUM(F24:F25)</f>
        <v>15049478.6414</v>
      </c>
      <c r="G26" s="24">
        <f>SUM(G24:G25)</f>
        <v>1066915.4528088849</v>
      </c>
      <c r="H26" s="24">
        <f>SUM(H24:H25)</f>
        <v>0</v>
      </c>
      <c r="I26" s="25">
        <f>SUM(I24:I25)</f>
        <v>13982563.188591115</v>
      </c>
    </row>
    <row r="27" spans="3:9" x14ac:dyDescent="0.25">
      <c r="C27" s="173"/>
      <c r="D27" s="173"/>
      <c r="E27" s="173"/>
      <c r="F27" s="159"/>
      <c r="G27" s="159"/>
      <c r="H27" s="159"/>
      <c r="I27" s="159"/>
    </row>
    <row r="28" spans="3:9" ht="15.75" thickBot="1" x14ac:dyDescent="0.3">
      <c r="C28" s="171" t="s">
        <v>183</v>
      </c>
      <c r="D28" s="171" t="s">
        <v>105</v>
      </c>
      <c r="E28" s="171" t="s">
        <v>19</v>
      </c>
      <c r="F28" s="158">
        <f>SUMIFS('M_LC Summary'!$K:$K,'M_LC Summary'!$D:$D,'V_Project-wise Summary'!$C28,'M_LC Summary'!$E:$E,'V_Project-wise Summary'!$D28,'M_LC Summary'!$G:$G,'V_Project-wise Summary'!$E28)</f>
        <v>26538110.359999999</v>
      </c>
      <c r="G28" s="158">
        <f>SUMIFS('M_LC Summary'!$L:$L,'M_LC Summary'!$D:$D,'V_Project-wise Summary'!$C28,'M_LC Summary'!$E:$E,'V_Project-wise Summary'!$D28,'M_LC Summary'!$G:$G,'V_Project-wise Summary'!$E28)</f>
        <v>0</v>
      </c>
      <c r="H28" s="158">
        <f>SUMIFS('M_LC Summary'!$M:$M,'M_LC Summary'!$D:$D,'V_Project-wise Summary'!$C28,'M_LC Summary'!$E:$E,'V_Project-wise Summary'!$D28,'M_LC Summary'!$G:$G,'V_Project-wise Summary'!$E28)</f>
        <v>15724333.939999999</v>
      </c>
      <c r="I28" s="158">
        <f t="shared" si="0"/>
        <v>10813776.42</v>
      </c>
    </row>
    <row r="29" spans="3:9" ht="15.75" thickBot="1" x14ac:dyDescent="0.3">
      <c r="C29" s="22"/>
      <c r="D29" s="23"/>
      <c r="E29" s="23" t="s">
        <v>54</v>
      </c>
      <c r="F29" s="24">
        <f>SUM(F27:F28)</f>
        <v>26538110.359999999</v>
      </c>
      <c r="G29" s="24">
        <f>SUM(G27:G28)</f>
        <v>0</v>
      </c>
      <c r="H29" s="24">
        <f>SUM(H27:H28)</f>
        <v>15724333.939999999</v>
      </c>
      <c r="I29" s="25">
        <f>SUM(I27:I28)</f>
        <v>10813776.42</v>
      </c>
    </row>
    <row r="30" spans="3:9" x14ac:dyDescent="0.25">
      <c r="C30" s="173"/>
      <c r="D30" s="173"/>
      <c r="E30" s="173"/>
      <c r="F30" s="159"/>
      <c r="G30" s="159"/>
      <c r="H30" s="159"/>
      <c r="I30" s="159"/>
    </row>
    <row r="31" spans="3:9" ht="15.75" thickBot="1" x14ac:dyDescent="0.3">
      <c r="C31" s="171" t="s">
        <v>24</v>
      </c>
      <c r="D31" s="171" t="s">
        <v>31</v>
      </c>
      <c r="E31" s="171" t="s">
        <v>19</v>
      </c>
      <c r="F31" s="158">
        <f>SUMIFS('M_LC Summary'!$K:$K,'M_LC Summary'!$D:$D,'V_Project-wise Summary'!$C31,'M_LC Summary'!$E:$E,'V_Project-wise Summary'!$D31,'M_LC Summary'!$G:$G,'V_Project-wise Summary'!$E31)</f>
        <v>6066341</v>
      </c>
      <c r="G31" s="158">
        <f>SUMIFS('M_LC Summary'!$L:$L,'M_LC Summary'!$D:$D,'V_Project-wise Summary'!$C31,'M_LC Summary'!$E:$E,'V_Project-wise Summary'!$D31,'M_LC Summary'!$G:$G,'V_Project-wise Summary'!$E31)</f>
        <v>1641337.5</v>
      </c>
      <c r="H31" s="158">
        <f>SUMIFS('M_LC Summary'!$M:$M,'M_LC Summary'!$D:$D,'V_Project-wise Summary'!$C31,'M_LC Summary'!$E:$E,'V_Project-wise Summary'!$D31,'M_LC Summary'!$G:$G,'V_Project-wise Summary'!$E31)</f>
        <v>1099687.5</v>
      </c>
      <c r="I31" s="158">
        <f t="shared" si="0"/>
        <v>3325316</v>
      </c>
    </row>
    <row r="32" spans="3:9" ht="15.75" thickBot="1" x14ac:dyDescent="0.3">
      <c r="C32" s="22"/>
      <c r="D32" s="23"/>
      <c r="E32" s="23" t="s">
        <v>54</v>
      </c>
      <c r="F32" s="24">
        <f>SUM(F30:F31)</f>
        <v>6066341</v>
      </c>
      <c r="G32" s="24">
        <f>SUM(G30:G31)</f>
        <v>1641337.5</v>
      </c>
      <c r="H32" s="24">
        <f>SUM(H30:H31)</f>
        <v>1099687.5</v>
      </c>
      <c r="I32" s="25">
        <f>SUM(I30:I31)</f>
        <v>3325316</v>
      </c>
    </row>
    <row r="33" spans="3:9" x14ac:dyDescent="0.25">
      <c r="C33" s="173"/>
      <c r="D33" s="173"/>
      <c r="E33" s="173"/>
      <c r="F33" s="159"/>
      <c r="G33" s="159"/>
      <c r="H33" s="159"/>
      <c r="I33" s="159"/>
    </row>
    <row r="34" spans="3:9" ht="15.75" thickBot="1" x14ac:dyDescent="0.3">
      <c r="C34" s="171" t="s">
        <v>24</v>
      </c>
      <c r="D34" s="171" t="s">
        <v>27</v>
      </c>
      <c r="E34" s="171" t="s">
        <v>19</v>
      </c>
      <c r="F34" s="158">
        <f>SUMIFS('M_LC Summary'!$K:$K,'M_LC Summary'!$D:$D,'V_Project-wise Summary'!$C34,'M_LC Summary'!$E:$E,'V_Project-wise Summary'!$D34,'M_LC Summary'!$G:$G,'V_Project-wise Summary'!$E34)</f>
        <v>31481033</v>
      </c>
      <c r="G34" s="158">
        <f>SUMIFS('M_LC Summary'!$L:$L,'M_LC Summary'!$D:$D,'V_Project-wise Summary'!$C34,'M_LC Summary'!$E:$E,'V_Project-wise Summary'!$D34,'M_LC Summary'!$G:$G,'V_Project-wise Summary'!$E34)</f>
        <v>0</v>
      </c>
      <c r="H34" s="158">
        <f>SUMIFS('M_LC Summary'!$M:$M,'M_LC Summary'!$D:$D,'V_Project-wise Summary'!$C34,'M_LC Summary'!$E:$E,'V_Project-wise Summary'!$D34,'M_LC Summary'!$G:$G,'V_Project-wise Summary'!$E34)</f>
        <v>31481033</v>
      </c>
      <c r="I34" s="158">
        <f t="shared" si="0"/>
        <v>0</v>
      </c>
    </row>
    <row r="35" spans="3:9" ht="15.75" thickBot="1" x14ac:dyDescent="0.3">
      <c r="C35" s="22"/>
      <c r="D35" s="23"/>
      <c r="E35" s="23" t="s">
        <v>54</v>
      </c>
      <c r="F35" s="24">
        <f>SUM(F33:F34)</f>
        <v>31481033</v>
      </c>
      <c r="G35" s="24">
        <f>SUM(G33:G34)</f>
        <v>0</v>
      </c>
      <c r="H35" s="24">
        <f>SUM(H33:H34)</f>
        <v>31481033</v>
      </c>
      <c r="I35" s="25">
        <f>SUM(I33:I34)</f>
        <v>0</v>
      </c>
    </row>
    <row r="36" spans="3:9" x14ac:dyDescent="0.25">
      <c r="C36" s="173"/>
      <c r="D36" s="173"/>
      <c r="E36" s="173"/>
      <c r="F36" s="159"/>
      <c r="G36" s="159"/>
      <c r="H36" s="159"/>
      <c r="I36" s="159"/>
    </row>
    <row r="37" spans="3:9" ht="15.75" thickBot="1" x14ac:dyDescent="0.3">
      <c r="C37" s="171" t="s">
        <v>24</v>
      </c>
      <c r="D37" s="171" t="s">
        <v>17</v>
      </c>
      <c r="E37" s="171" t="s">
        <v>19</v>
      </c>
      <c r="F37" s="158">
        <f>SUMIFS('M_LC Summary'!$K:$K,'M_LC Summary'!$D:$D,'V_Project-wise Summary'!$C37,'M_LC Summary'!$E:$E,'V_Project-wise Summary'!$D37,'M_LC Summary'!$G:$G,'V_Project-wise Summary'!$E37)</f>
        <v>20000000</v>
      </c>
      <c r="G37" s="158">
        <f>SUMIFS('M_LC Summary'!$L:$L,'M_LC Summary'!$D:$D,'V_Project-wise Summary'!$C37,'M_LC Summary'!$E:$E,'V_Project-wise Summary'!$D37,'M_LC Summary'!$G:$G,'V_Project-wise Summary'!$E37)</f>
        <v>0</v>
      </c>
      <c r="H37" s="158">
        <f>SUMIFS('M_LC Summary'!$M:$M,'M_LC Summary'!$D:$D,'V_Project-wise Summary'!$C37,'M_LC Summary'!$E:$E,'V_Project-wise Summary'!$D37,'M_LC Summary'!$G:$G,'V_Project-wise Summary'!$E37)</f>
        <v>8237108.9800000004</v>
      </c>
      <c r="I37" s="158">
        <f t="shared" si="0"/>
        <v>11762891.02</v>
      </c>
    </row>
    <row r="38" spans="3:9" ht="15.75" thickBot="1" x14ac:dyDescent="0.3">
      <c r="C38" s="22"/>
      <c r="D38" s="23"/>
      <c r="E38" s="23" t="s">
        <v>54</v>
      </c>
      <c r="F38" s="24">
        <f>SUM(F36:F37)</f>
        <v>20000000</v>
      </c>
      <c r="G38" s="24">
        <f>SUM(G36:G37)</f>
        <v>0</v>
      </c>
      <c r="H38" s="24">
        <f>SUM(H36:H37)</f>
        <v>8237108.9800000004</v>
      </c>
      <c r="I38" s="25">
        <f>SUM(I36:I37)</f>
        <v>11762891.02</v>
      </c>
    </row>
    <row r="39" spans="3:9" x14ac:dyDescent="0.25">
      <c r="C39" s="173"/>
      <c r="D39" s="173"/>
      <c r="E39" s="173"/>
      <c r="F39" s="159"/>
      <c r="G39" s="159"/>
      <c r="H39" s="159"/>
      <c r="I39" s="159"/>
    </row>
    <row r="40" spans="3:9" ht="15.75" thickBot="1" x14ac:dyDescent="0.3">
      <c r="C40" s="171" t="s">
        <v>24</v>
      </c>
      <c r="D40" s="171" t="s">
        <v>151</v>
      </c>
      <c r="E40" s="171" t="s">
        <v>19</v>
      </c>
      <c r="F40" s="158">
        <f>SUMIFS('M_LC Summary'!$K:$K,'M_LC Summary'!$D:$D,'V_Project-wise Summary'!$C40,'M_LC Summary'!$E:$E,'V_Project-wise Summary'!$D40,'M_LC Summary'!$G:$G,'V_Project-wise Summary'!$E40)</f>
        <v>2896770</v>
      </c>
      <c r="G40" s="158">
        <f>SUMIFS('M_LC Summary'!$L:$L,'M_LC Summary'!$D:$D,'V_Project-wise Summary'!$C40,'M_LC Summary'!$E:$E,'V_Project-wise Summary'!$D40,'M_LC Summary'!$G:$G,'V_Project-wise Summary'!$E40)</f>
        <v>0</v>
      </c>
      <c r="H40" s="158">
        <f>SUMIFS('M_LC Summary'!$M:$M,'M_LC Summary'!$D:$D,'V_Project-wise Summary'!$C40,'M_LC Summary'!$E:$E,'V_Project-wise Summary'!$D40,'M_LC Summary'!$G:$G,'V_Project-wise Summary'!$E40)</f>
        <v>386858.95</v>
      </c>
      <c r="I40" s="158">
        <f t="shared" si="0"/>
        <v>2509911.0499999998</v>
      </c>
    </row>
    <row r="41" spans="3:9" ht="15.75" thickBot="1" x14ac:dyDescent="0.3">
      <c r="C41" s="22"/>
      <c r="D41" s="23"/>
      <c r="E41" s="23" t="s">
        <v>54</v>
      </c>
      <c r="F41" s="24">
        <f>SUM(F39:F40)</f>
        <v>2896770</v>
      </c>
      <c r="G41" s="24">
        <f>SUM(G39:G40)</f>
        <v>0</v>
      </c>
      <c r="H41" s="24">
        <f>SUM(H39:H40)</f>
        <v>386858.95</v>
      </c>
      <c r="I41" s="25">
        <f>SUM(I39:I40)</f>
        <v>2509911.0499999998</v>
      </c>
    </row>
    <row r="42" spans="3:9" x14ac:dyDescent="0.25">
      <c r="C42" s="173"/>
      <c r="D42" s="173"/>
      <c r="E42" s="173"/>
      <c r="F42" s="159"/>
      <c r="G42" s="159"/>
      <c r="H42" s="159"/>
      <c r="I42" s="159"/>
    </row>
    <row r="43" spans="3:9" ht="15.75" thickBot="1" x14ac:dyDescent="0.3">
      <c r="C43" s="171" t="s">
        <v>24</v>
      </c>
      <c r="D43" s="171" t="s">
        <v>105</v>
      </c>
      <c r="E43" s="171" t="s">
        <v>19</v>
      </c>
      <c r="F43" s="158">
        <f>SUMIFS('M_LC Summary'!$K:$K,'M_LC Summary'!$D:$D,'V_Project-wise Summary'!$C43,'M_LC Summary'!$E:$E,'V_Project-wise Summary'!$D43,'M_LC Summary'!$G:$G,'V_Project-wise Summary'!$E43)</f>
        <v>24200000.000000004</v>
      </c>
      <c r="G43" s="158">
        <f>SUMIFS('M_LC Summary'!$L:$L,'M_LC Summary'!$D:$D,'V_Project-wise Summary'!$C43,'M_LC Summary'!$E:$E,'V_Project-wise Summary'!$D43,'M_LC Summary'!$G:$G,'V_Project-wise Summary'!$E43)</f>
        <v>20908277</v>
      </c>
      <c r="H43" s="158">
        <f>SUMIFS('M_LC Summary'!$M:$M,'M_LC Summary'!$D:$D,'V_Project-wise Summary'!$C43,'M_LC Summary'!$E:$E,'V_Project-wise Summary'!$D43,'M_LC Summary'!$G:$G,'V_Project-wise Summary'!$E43)</f>
        <v>1198665</v>
      </c>
      <c r="I43" s="158">
        <f t="shared" si="0"/>
        <v>2093058.0000000037</v>
      </c>
    </row>
    <row r="44" spans="3:9" ht="15.75" thickBot="1" x14ac:dyDescent="0.3">
      <c r="C44" s="22"/>
      <c r="D44" s="23"/>
      <c r="E44" s="23" t="s">
        <v>54</v>
      </c>
      <c r="F44" s="24">
        <f>SUM(F42:F43)</f>
        <v>24200000.000000004</v>
      </c>
      <c r="G44" s="24">
        <f>SUM(G42:G43)</f>
        <v>20908277</v>
      </c>
      <c r="H44" s="24">
        <f>SUM(H42:H43)</f>
        <v>1198665</v>
      </c>
      <c r="I44" s="25">
        <f>SUM(I42:I43)</f>
        <v>2093058.0000000037</v>
      </c>
    </row>
    <row r="45" spans="3:9" x14ac:dyDescent="0.25">
      <c r="C45" s="173"/>
      <c r="D45" s="173"/>
      <c r="E45" s="173"/>
      <c r="F45" s="159"/>
      <c r="G45" s="159"/>
      <c r="H45" s="159"/>
      <c r="I45" s="159"/>
    </row>
    <row r="46" spans="3:9" ht="15.75" thickBot="1" x14ac:dyDescent="0.3">
      <c r="C46" s="171" t="s">
        <v>24</v>
      </c>
      <c r="D46" s="171" t="s">
        <v>106</v>
      </c>
      <c r="E46" s="171" t="s">
        <v>19</v>
      </c>
      <c r="F46" s="158">
        <f>SUMIFS('M_LC Summary'!$K:$K,'M_LC Summary'!$D:$D,'V_Project-wise Summary'!$C46,'M_LC Summary'!$E:$E,'V_Project-wise Summary'!$D46,'M_LC Summary'!$G:$G,'V_Project-wise Summary'!$E46)</f>
        <v>25524849.240000002</v>
      </c>
      <c r="G46" s="158">
        <f>SUMIFS('M_LC Summary'!$L:$L,'M_LC Summary'!$D:$D,'V_Project-wise Summary'!$C46,'M_LC Summary'!$E:$E,'V_Project-wise Summary'!$D46,'M_LC Summary'!$G:$G,'V_Project-wise Summary'!$E46)</f>
        <v>17142741.799999997</v>
      </c>
      <c r="H46" s="158">
        <f>SUMIFS('M_LC Summary'!$M:$M,'M_LC Summary'!$D:$D,'V_Project-wise Summary'!$C46,'M_LC Summary'!$E:$E,'V_Project-wise Summary'!$D46,'M_LC Summary'!$G:$G,'V_Project-wise Summary'!$E46)</f>
        <v>412500</v>
      </c>
      <c r="I46" s="158">
        <f t="shared" si="0"/>
        <v>7969607.4400000051</v>
      </c>
    </row>
    <row r="47" spans="3:9" ht="15.75" thickBot="1" x14ac:dyDescent="0.3">
      <c r="C47" s="22"/>
      <c r="D47" s="23"/>
      <c r="E47" s="23" t="s">
        <v>54</v>
      </c>
      <c r="F47" s="24">
        <f>SUM(F45:F46)</f>
        <v>25524849.240000002</v>
      </c>
      <c r="G47" s="24">
        <f>SUM(G45:G46)</f>
        <v>17142741.799999997</v>
      </c>
      <c r="H47" s="24">
        <f>SUM(H45:H46)</f>
        <v>412500</v>
      </c>
      <c r="I47" s="25">
        <f>SUM(I45:I46)</f>
        <v>7969607.4400000051</v>
      </c>
    </row>
    <row r="48" spans="3:9" x14ac:dyDescent="0.25">
      <c r="C48" s="173"/>
      <c r="D48" s="173"/>
      <c r="E48" s="173"/>
      <c r="F48" s="159"/>
      <c r="G48" s="159"/>
      <c r="H48" s="159"/>
      <c r="I48" s="159"/>
    </row>
    <row r="49" spans="3:9" ht="15.75" thickBot="1" x14ac:dyDescent="0.3">
      <c r="C49" s="171" t="s">
        <v>24</v>
      </c>
      <c r="D49" s="171" t="s">
        <v>75</v>
      </c>
      <c r="E49" s="171" t="s">
        <v>19</v>
      </c>
      <c r="F49" s="158">
        <f>SUMIFS('M_LC Summary'!$K:$K,'M_LC Summary'!$D:$D,'V_Project-wise Summary'!$C49,'M_LC Summary'!$E:$E,'V_Project-wise Summary'!$D49,'M_LC Summary'!$G:$G,'V_Project-wise Summary'!$E49)</f>
        <v>51090665.200000003</v>
      </c>
      <c r="G49" s="158">
        <f>SUMIFS('M_LC Summary'!$L:$L,'M_LC Summary'!$D:$D,'V_Project-wise Summary'!$C49,'M_LC Summary'!$E:$E,'V_Project-wise Summary'!$D49,'M_LC Summary'!$G:$G,'V_Project-wise Summary'!$E49)</f>
        <v>10661908.869999999</v>
      </c>
      <c r="H49" s="158">
        <f>SUMIFS('M_LC Summary'!$M:$M,'M_LC Summary'!$D:$D,'V_Project-wise Summary'!$C49,'M_LC Summary'!$E:$E,'V_Project-wise Summary'!$D49,'M_LC Summary'!$G:$G,'V_Project-wise Summary'!$E49)</f>
        <v>112200.9</v>
      </c>
      <c r="I49" s="158">
        <f t="shared" si="0"/>
        <v>40316555.430000007</v>
      </c>
    </row>
    <row r="50" spans="3:9" ht="15.75" thickBot="1" x14ac:dyDescent="0.3">
      <c r="C50" s="22"/>
      <c r="D50" s="23"/>
      <c r="E50" s="23" t="s">
        <v>54</v>
      </c>
      <c r="F50" s="24">
        <f>SUM(F48:F49)</f>
        <v>51090665.200000003</v>
      </c>
      <c r="G50" s="24">
        <f>SUM(G48:G49)</f>
        <v>10661908.869999999</v>
      </c>
      <c r="H50" s="24">
        <f>SUM(H48:H49)</f>
        <v>112200.9</v>
      </c>
      <c r="I50" s="25">
        <f>SUM(I48:I49)</f>
        <v>40316555.430000007</v>
      </c>
    </row>
    <row r="51" spans="3:9" x14ac:dyDescent="0.25">
      <c r="C51" s="173"/>
      <c r="D51" s="173"/>
      <c r="E51" s="173"/>
      <c r="F51" s="159"/>
      <c r="G51" s="159"/>
      <c r="H51" s="159"/>
      <c r="I51" s="159"/>
    </row>
    <row r="52" spans="3:9" ht="15.75" thickBot="1" x14ac:dyDescent="0.3">
      <c r="C52" s="171" t="s">
        <v>24</v>
      </c>
      <c r="D52" s="171" t="s">
        <v>168</v>
      </c>
      <c r="E52" s="171" t="s">
        <v>32</v>
      </c>
      <c r="F52" s="158">
        <f>SUMIFS('M_LC Summary'!$K:$K,'M_LC Summary'!$D:$D,'V_Project-wise Summary'!$C52,'M_LC Summary'!$E:$E,'V_Project-wise Summary'!$D52,'M_LC Summary'!$G:$G,'V_Project-wise Summary'!$E52)</f>
        <v>227903706.10720003</v>
      </c>
      <c r="G52" s="158">
        <f>SUMIFS('M_LC Summary'!$L:$L,'M_LC Summary'!$D:$D,'V_Project-wise Summary'!$C52,'M_LC Summary'!$E:$E,'V_Project-wise Summary'!$D52,'M_LC Summary'!$G:$G,'V_Project-wise Summary'!$E52)</f>
        <v>225892633.83020118</v>
      </c>
      <c r="H52" s="158">
        <f>SUMIFS('M_LC Summary'!$M:$M,'M_LC Summary'!$D:$D,'V_Project-wise Summary'!$C52,'M_LC Summary'!$E:$E,'V_Project-wise Summary'!$D52,'M_LC Summary'!$G:$G,'V_Project-wise Summary'!$E52)</f>
        <v>0</v>
      </c>
      <c r="I52" s="158">
        <f t="shared" si="0"/>
        <v>2011072.2769988477</v>
      </c>
    </row>
    <row r="53" spans="3:9" ht="15.75" thickBot="1" x14ac:dyDescent="0.3">
      <c r="C53" s="22"/>
      <c r="D53" s="23"/>
      <c r="E53" s="23" t="s">
        <v>54</v>
      </c>
      <c r="F53" s="24">
        <f>SUM(F51:F52)</f>
        <v>227903706.10720003</v>
      </c>
      <c r="G53" s="24">
        <f>SUM(G51:G52)</f>
        <v>225892633.83020118</v>
      </c>
      <c r="H53" s="24">
        <f>SUM(H51:H52)</f>
        <v>0</v>
      </c>
      <c r="I53" s="25">
        <f>SUM(I51:I52)</f>
        <v>2011072.2769988477</v>
      </c>
    </row>
    <row r="54" spans="3:9" x14ac:dyDescent="0.25">
      <c r="C54" s="173"/>
      <c r="D54" s="173"/>
      <c r="E54" s="173"/>
      <c r="F54" s="159"/>
      <c r="G54" s="159"/>
      <c r="H54" s="159"/>
      <c r="I54" s="159"/>
    </row>
    <row r="55" spans="3:9" x14ac:dyDescent="0.25">
      <c r="C55" s="162" t="s">
        <v>24</v>
      </c>
      <c r="D55" s="162" t="s">
        <v>117</v>
      </c>
      <c r="E55" s="162" t="s">
        <v>32</v>
      </c>
      <c r="F55" s="157">
        <f>SUMIFS('M_LC Summary'!$K:$K,'M_LC Summary'!$D:$D,'V_Project-wise Summary'!$C55,'M_LC Summary'!$E:$E,'V_Project-wise Summary'!$D55,'M_LC Summary'!$G:$G,'V_Project-wise Summary'!$E55)</f>
        <v>4092796.2399999998</v>
      </c>
      <c r="G55" s="157">
        <f>SUMIFS('M_LC Summary'!$L:$L,'M_LC Summary'!$D:$D,'V_Project-wise Summary'!$C55,'M_LC Summary'!$E:$E,'V_Project-wise Summary'!$D55,'M_LC Summary'!$G:$G,'V_Project-wise Summary'!$E55)</f>
        <v>4079312.29</v>
      </c>
      <c r="H55" s="157">
        <f>SUMIFS('M_LC Summary'!$M:$M,'M_LC Summary'!$D:$D,'V_Project-wise Summary'!$C55,'M_LC Summary'!$E:$E,'V_Project-wise Summary'!$D55,'M_LC Summary'!$G:$G,'V_Project-wise Summary'!$E55)</f>
        <v>0</v>
      </c>
      <c r="I55" s="157">
        <f t="shared" si="0"/>
        <v>13483.949999999721</v>
      </c>
    </row>
    <row r="56" spans="3:9" ht="15.75" thickBot="1" x14ac:dyDescent="0.3">
      <c r="C56" s="171" t="s">
        <v>24</v>
      </c>
      <c r="D56" s="171" t="s">
        <v>117</v>
      </c>
      <c r="E56" s="171" t="s">
        <v>19</v>
      </c>
      <c r="F56" s="158">
        <f>SUMIFS('M_LC Summary'!$K:$K,'M_LC Summary'!$D:$D,'V_Project-wise Summary'!$C56,'M_LC Summary'!$E:$E,'V_Project-wise Summary'!$D56,'M_LC Summary'!$G:$G,'V_Project-wise Summary'!$E56)</f>
        <v>43839807.319999993</v>
      </c>
      <c r="G56" s="158">
        <f>SUMIFS('M_LC Summary'!$L:$L,'M_LC Summary'!$D:$D,'V_Project-wise Summary'!$C56,'M_LC Summary'!$E:$E,'V_Project-wise Summary'!$D56,'M_LC Summary'!$G:$G,'V_Project-wise Summary'!$E56)</f>
        <v>21181681.219999999</v>
      </c>
      <c r="H56" s="158">
        <f>SUMIFS('M_LC Summary'!$M:$M,'M_LC Summary'!$D:$D,'V_Project-wise Summary'!$C56,'M_LC Summary'!$E:$E,'V_Project-wise Summary'!$D56,'M_LC Summary'!$G:$G,'V_Project-wise Summary'!$E56)</f>
        <v>1488156.6800000002</v>
      </c>
      <c r="I56" s="158">
        <f t="shared" si="0"/>
        <v>21169969.419999994</v>
      </c>
    </row>
    <row r="57" spans="3:9" ht="15.75" thickBot="1" x14ac:dyDescent="0.3">
      <c r="C57" s="22"/>
      <c r="D57" s="23"/>
      <c r="E57" s="23" t="s">
        <v>54</v>
      </c>
      <c r="F57" s="24">
        <f>SUM(F55:F56)</f>
        <v>47932603.559999995</v>
      </c>
      <c r="G57" s="24">
        <f>SUM(G55:G56)</f>
        <v>25260993.509999998</v>
      </c>
      <c r="H57" s="24">
        <f>SUM(H55:H56)</f>
        <v>1488156.6800000002</v>
      </c>
      <c r="I57" s="25">
        <f>SUM(I55:I56)</f>
        <v>21183453.369999994</v>
      </c>
    </row>
    <row r="58" spans="3:9" x14ac:dyDescent="0.25">
      <c r="C58" s="173"/>
      <c r="D58" s="173"/>
      <c r="E58" s="173"/>
      <c r="F58" s="159"/>
      <c r="G58" s="159"/>
      <c r="H58" s="159"/>
      <c r="I58" s="159"/>
    </row>
    <row r="59" spans="3:9" ht="15.75" thickBot="1" x14ac:dyDescent="0.3">
      <c r="C59" s="171" t="s">
        <v>24</v>
      </c>
      <c r="D59" s="171" t="s">
        <v>267</v>
      </c>
      <c r="E59" s="171" t="s">
        <v>19</v>
      </c>
      <c r="F59" s="158">
        <f>SUMIFS('M_LC Summary'!$K:$K,'M_LC Summary'!$D:$D,'V_Project-wise Summary'!$C59,'M_LC Summary'!$E:$E,'V_Project-wise Summary'!$D59,'M_LC Summary'!$G:$G,'V_Project-wise Summary'!$E59)</f>
        <v>5000000</v>
      </c>
      <c r="G59" s="158">
        <f>SUMIFS('M_LC Summary'!$L:$L,'M_LC Summary'!$D:$D,'V_Project-wise Summary'!$C59,'M_LC Summary'!$E:$E,'V_Project-wise Summary'!$D59,'M_LC Summary'!$G:$G,'V_Project-wise Summary'!$E59)</f>
        <v>2707269.5</v>
      </c>
      <c r="H59" s="158">
        <f>SUMIFS('M_LC Summary'!$M:$M,'M_LC Summary'!$D:$D,'V_Project-wise Summary'!$C59,'M_LC Summary'!$E:$E,'V_Project-wise Summary'!$D59,'M_LC Summary'!$G:$G,'V_Project-wise Summary'!$E59)</f>
        <v>949900</v>
      </c>
      <c r="I59" s="158">
        <f t="shared" si="0"/>
        <v>1342830.5</v>
      </c>
    </row>
    <row r="60" spans="3:9" ht="15.75" thickBot="1" x14ac:dyDescent="0.3">
      <c r="C60" s="22"/>
      <c r="D60" s="23"/>
      <c r="E60" s="23" t="s">
        <v>54</v>
      </c>
      <c r="F60" s="24">
        <f>SUM(F58:F59)</f>
        <v>5000000</v>
      </c>
      <c r="G60" s="24">
        <f>SUM(G58:G59)</f>
        <v>2707269.5</v>
      </c>
      <c r="H60" s="24">
        <f>SUM(H58:H59)</f>
        <v>949900</v>
      </c>
      <c r="I60" s="25">
        <f>SUM(I58:I59)</f>
        <v>1342830.5</v>
      </c>
    </row>
    <row r="61" spans="3:9" x14ac:dyDescent="0.25">
      <c r="C61" s="173"/>
      <c r="D61" s="173"/>
      <c r="E61" s="173"/>
      <c r="F61" s="159"/>
      <c r="G61" s="159"/>
      <c r="H61" s="159"/>
      <c r="I61" s="159"/>
    </row>
    <row r="62" spans="3:9" ht="15.75" thickBot="1" x14ac:dyDescent="0.3">
      <c r="C62" s="171" t="s">
        <v>219</v>
      </c>
      <c r="D62" s="171" t="s">
        <v>31</v>
      </c>
      <c r="E62" s="171" t="s">
        <v>19</v>
      </c>
      <c r="F62" s="158">
        <f>SUMIFS('M_LC Summary'!$K:$K,'M_LC Summary'!$D:$D,'V_Project-wise Summary'!$C62,'M_LC Summary'!$E:$E,'V_Project-wise Summary'!$D62,'M_LC Summary'!$G:$G,'V_Project-wise Summary'!$E62)</f>
        <v>1507901</v>
      </c>
      <c r="G62" s="158">
        <f>SUMIFS('M_LC Summary'!$L:$L,'M_LC Summary'!$D:$D,'V_Project-wise Summary'!$C62,'M_LC Summary'!$E:$E,'V_Project-wise Summary'!$D62,'M_LC Summary'!$G:$G,'V_Project-wise Summary'!$E62)</f>
        <v>0</v>
      </c>
      <c r="H62" s="158">
        <f>SUMIFS('M_LC Summary'!$M:$M,'M_LC Summary'!$D:$D,'V_Project-wise Summary'!$C62,'M_LC Summary'!$E:$E,'V_Project-wise Summary'!$D62,'M_LC Summary'!$G:$G,'V_Project-wise Summary'!$E62)</f>
        <v>0</v>
      </c>
      <c r="I62" s="158">
        <f t="shared" si="0"/>
        <v>1507901</v>
      </c>
    </row>
    <row r="63" spans="3:9" ht="15.75" thickBot="1" x14ac:dyDescent="0.3">
      <c r="C63" s="22"/>
      <c r="D63" s="23"/>
      <c r="E63" s="23" t="s">
        <v>54</v>
      </c>
      <c r="F63" s="24">
        <f>SUM(F61:F62)</f>
        <v>1507901</v>
      </c>
      <c r="G63" s="24">
        <f>SUM(G61:G62)</f>
        <v>0</v>
      </c>
      <c r="H63" s="24">
        <f>SUM(H61:H62)</f>
        <v>0</v>
      </c>
      <c r="I63" s="25">
        <f>SUM(I61:I62)</f>
        <v>1507901</v>
      </c>
    </row>
    <row r="64" spans="3:9" x14ac:dyDescent="0.25">
      <c r="C64" s="173"/>
      <c r="D64" s="173"/>
      <c r="E64" s="173"/>
      <c r="F64" s="159"/>
      <c r="G64" s="159"/>
      <c r="H64" s="159"/>
      <c r="I64" s="159"/>
    </row>
    <row r="65" spans="3:9" x14ac:dyDescent="0.25">
      <c r="C65" s="162" t="s">
        <v>219</v>
      </c>
      <c r="D65" s="162" t="s">
        <v>151</v>
      </c>
      <c r="E65" s="162" t="s">
        <v>19</v>
      </c>
      <c r="F65" s="157">
        <f>SUMIFS('M_LC Summary'!$K:$K,'M_LC Summary'!$D:$D,'V_Project-wise Summary'!$C65,'M_LC Summary'!$E:$E,'V_Project-wise Summary'!$D65,'M_LC Summary'!$G:$G,'V_Project-wise Summary'!$E65)</f>
        <v>69893646.700000003</v>
      </c>
      <c r="G65" s="157">
        <f>SUMIFS('M_LC Summary'!$L:$L,'M_LC Summary'!$D:$D,'V_Project-wise Summary'!$C65,'M_LC Summary'!$E:$E,'V_Project-wise Summary'!$D65,'M_LC Summary'!$G:$G,'V_Project-wise Summary'!$E65)</f>
        <v>12335918.542009998</v>
      </c>
      <c r="H65" s="157">
        <f>SUMIFS('M_LC Summary'!$M:$M,'M_LC Summary'!$D:$D,'V_Project-wise Summary'!$C65,'M_LC Summary'!$E:$E,'V_Project-wise Summary'!$D65,'M_LC Summary'!$G:$G,'V_Project-wise Summary'!$E65)</f>
        <v>12220413.310000001</v>
      </c>
      <c r="I65" s="157">
        <f t="shared" si="0"/>
        <v>45337314.847990006</v>
      </c>
    </row>
    <row r="66" spans="3:9" ht="15.75" thickBot="1" x14ac:dyDescent="0.3">
      <c r="C66" s="171" t="s">
        <v>275</v>
      </c>
      <c r="D66" s="171" t="s">
        <v>151</v>
      </c>
      <c r="E66" s="171" t="s">
        <v>19</v>
      </c>
      <c r="F66" s="158">
        <f>SUMIFS('M_LC Summary'!$K:$K,'M_LC Summary'!$D:$D,'V_Project-wise Summary'!$C66,'M_LC Summary'!$E:$E,'V_Project-wise Summary'!$D66,'M_LC Summary'!$G:$G,'V_Project-wise Summary'!$E66)</f>
        <v>20775425.050000001</v>
      </c>
      <c r="G66" s="158">
        <f>SUMIFS('M_LC Summary'!$L:$L,'M_LC Summary'!$D:$D,'V_Project-wise Summary'!$C66,'M_LC Summary'!$E:$E,'V_Project-wise Summary'!$D66,'M_LC Summary'!$G:$G,'V_Project-wise Summary'!$E66)</f>
        <v>18251390.700000003</v>
      </c>
      <c r="H66" s="158">
        <f>SUMIFS('M_LC Summary'!$M:$M,'M_LC Summary'!$D:$D,'V_Project-wise Summary'!$C66,'M_LC Summary'!$E:$E,'V_Project-wise Summary'!$D66,'M_LC Summary'!$G:$G,'V_Project-wise Summary'!$E66)</f>
        <v>652505.4</v>
      </c>
      <c r="I66" s="158">
        <f t="shared" si="0"/>
        <v>1871528.9499999979</v>
      </c>
    </row>
    <row r="67" spans="3:9" ht="15.75" thickBot="1" x14ac:dyDescent="0.3">
      <c r="C67" s="22"/>
      <c r="D67" s="23"/>
      <c r="E67" s="23" t="s">
        <v>54</v>
      </c>
      <c r="F67" s="24">
        <f>SUM(F65:F66)</f>
        <v>90669071.75</v>
      </c>
      <c r="G67" s="24">
        <f>SUM(G65:G66)</f>
        <v>30587309.242010001</v>
      </c>
      <c r="H67" s="24">
        <f>SUM(H65:H66)</f>
        <v>12872918.710000001</v>
      </c>
      <c r="I67" s="25">
        <f>SUM(I65:I66)</f>
        <v>47208843.797990002</v>
      </c>
    </row>
    <row r="68" spans="3:9" x14ac:dyDescent="0.25">
      <c r="C68" s="173"/>
      <c r="D68" s="173"/>
      <c r="E68" s="173"/>
      <c r="F68" s="159"/>
      <c r="G68" s="159"/>
      <c r="H68" s="159"/>
      <c r="I68" s="159"/>
    </row>
    <row r="69" spans="3:9" ht="15.75" thickBot="1" x14ac:dyDescent="0.3">
      <c r="C69" s="171" t="s">
        <v>326</v>
      </c>
      <c r="D69" s="171" t="s">
        <v>27</v>
      </c>
      <c r="E69" s="171" t="s">
        <v>19</v>
      </c>
      <c r="F69" s="158">
        <f>SUMIFS('M_LC Summary'!$K:$K,'M_LC Summary'!$D:$D,'V_Project-wise Summary'!$C69,'M_LC Summary'!$E:$E,'V_Project-wise Summary'!$D69,'M_LC Summary'!$G:$G,'V_Project-wise Summary'!$E69)</f>
        <v>1269458.03</v>
      </c>
      <c r="G69" s="158">
        <f>SUMIFS('M_LC Summary'!$L:$L,'M_LC Summary'!$D:$D,'V_Project-wise Summary'!$C69,'M_LC Summary'!$E:$E,'V_Project-wise Summary'!$D69,'M_LC Summary'!$G:$G,'V_Project-wise Summary'!$E69)</f>
        <v>0</v>
      </c>
      <c r="H69" s="158">
        <f>SUMIFS('M_LC Summary'!$M:$M,'M_LC Summary'!$D:$D,'V_Project-wise Summary'!$C69,'M_LC Summary'!$E:$E,'V_Project-wise Summary'!$D69,'M_LC Summary'!$G:$G,'V_Project-wise Summary'!$E69)</f>
        <v>0</v>
      </c>
      <c r="I69" s="158">
        <f t="shared" si="0"/>
        <v>1269458.03</v>
      </c>
    </row>
    <row r="70" spans="3:9" ht="15.75" thickBot="1" x14ac:dyDescent="0.3">
      <c r="C70" s="22"/>
      <c r="D70" s="23"/>
      <c r="E70" s="23" t="s">
        <v>54</v>
      </c>
      <c r="F70" s="24">
        <f>SUM(F68:F69)</f>
        <v>1269458.03</v>
      </c>
      <c r="G70" s="24">
        <f>SUM(G68:G69)</f>
        <v>0</v>
      </c>
      <c r="H70" s="24">
        <f>SUM(H68:H69)</f>
        <v>0</v>
      </c>
      <c r="I70" s="25">
        <f>SUM(I68:I69)</f>
        <v>1269458.03</v>
      </c>
    </row>
    <row r="71" spans="3:9" x14ac:dyDescent="0.25">
      <c r="C71" s="173"/>
      <c r="D71" s="173"/>
      <c r="E71" s="173"/>
      <c r="F71" s="159"/>
      <c r="G71" s="159"/>
      <c r="H71" s="159"/>
      <c r="I71" s="159"/>
    </row>
    <row r="72" spans="3:9" ht="15.75" thickBot="1" x14ac:dyDescent="0.3">
      <c r="C72" s="171" t="s">
        <v>358</v>
      </c>
      <c r="D72" s="171" t="s">
        <v>117</v>
      </c>
      <c r="E72" s="171" t="s">
        <v>19</v>
      </c>
      <c r="F72" s="158">
        <f>SUMIFS('M_LC Summary'!$K:$K,'M_LC Summary'!$D:$D,'V_Project-wise Summary'!$C72,'M_LC Summary'!$E:$E,'V_Project-wise Summary'!$D72,'M_LC Summary'!$G:$G,'V_Project-wise Summary'!$E72)</f>
        <v>4618971.8232900007</v>
      </c>
      <c r="G72" s="158">
        <f>SUMIFS('M_LC Summary'!$L:$L,'M_LC Summary'!$D:$D,'V_Project-wise Summary'!$C72,'M_LC Summary'!$E:$E,'V_Project-wise Summary'!$D72,'M_LC Summary'!$G:$G,'V_Project-wise Summary'!$E72)</f>
        <v>1379725.2134799999</v>
      </c>
      <c r="H72" s="158">
        <f>SUMIFS('M_LC Summary'!$M:$M,'M_LC Summary'!$D:$D,'V_Project-wise Summary'!$C72,'M_LC Summary'!$E:$E,'V_Project-wise Summary'!$D72,'M_LC Summary'!$G:$G,'V_Project-wise Summary'!$E72)</f>
        <v>0</v>
      </c>
      <c r="I72" s="158">
        <f t="shared" si="0"/>
        <v>3239246.6098100008</v>
      </c>
    </row>
    <row r="73" spans="3:9" ht="15.75" thickBot="1" x14ac:dyDescent="0.3">
      <c r="C73" s="22"/>
      <c r="D73" s="23"/>
      <c r="E73" s="23" t="s">
        <v>54</v>
      </c>
      <c r="F73" s="24">
        <f>SUM(F71:F72)</f>
        <v>4618971.8232900007</v>
      </c>
      <c r="G73" s="24">
        <f>SUM(G71:G72)</f>
        <v>1379725.2134799999</v>
      </c>
      <c r="H73" s="24">
        <f>SUM(H71:H72)</f>
        <v>0</v>
      </c>
      <c r="I73" s="25">
        <f>SUM(I71:I72)</f>
        <v>3239246.6098100008</v>
      </c>
    </row>
    <row r="74" spans="3:9" x14ac:dyDescent="0.25">
      <c r="C74" s="173"/>
      <c r="D74" s="173"/>
      <c r="E74" s="173"/>
      <c r="F74" s="159"/>
      <c r="G74" s="159"/>
      <c r="H74" s="159"/>
      <c r="I74" s="159"/>
    </row>
    <row r="75" spans="3:9" x14ac:dyDescent="0.25">
      <c r="C75" s="162" t="s">
        <v>453</v>
      </c>
      <c r="D75" s="162" t="s">
        <v>151</v>
      </c>
      <c r="E75" s="162" t="s">
        <v>19</v>
      </c>
      <c r="F75" s="157">
        <f>SUMIFS('M_LC Summary'!$K:$K,'M_LC Summary'!$D:$D,'V_Project-wise Summary'!$C75,'M_LC Summary'!$E:$E,'V_Project-wise Summary'!$D75,'M_LC Summary'!$G:$G,'V_Project-wise Summary'!$E75)</f>
        <v>7446132.75</v>
      </c>
      <c r="G75" s="157">
        <f>SUMIFS('M_LC Summary'!$L:$L,'M_LC Summary'!$D:$D,'V_Project-wise Summary'!$C75,'M_LC Summary'!$E:$E,'V_Project-wise Summary'!$D75,'M_LC Summary'!$G:$G,'V_Project-wise Summary'!$E75)</f>
        <v>2500000</v>
      </c>
      <c r="H75" s="157">
        <f>SUMIFS('M_LC Summary'!$M:$M,'M_LC Summary'!$D:$D,'V_Project-wise Summary'!$C75,'M_LC Summary'!$E:$E,'V_Project-wise Summary'!$D75,'M_LC Summary'!$G:$G,'V_Project-wise Summary'!$E75)</f>
        <v>0</v>
      </c>
      <c r="I75" s="157">
        <f t="shared" si="0"/>
        <v>4946132.75</v>
      </c>
    </row>
    <row r="76" spans="3:9" ht="15.75" thickBot="1" x14ac:dyDescent="0.3">
      <c r="C76" s="171" t="s">
        <v>450</v>
      </c>
      <c r="D76" s="171" t="s">
        <v>151</v>
      </c>
      <c r="E76" s="171" t="s">
        <v>19</v>
      </c>
      <c r="F76" s="158">
        <f>SUMIFS('M_LC Summary'!$K:$K,'M_LC Summary'!$D:$D,'V_Project-wise Summary'!$C76,'M_LC Summary'!$E:$E,'V_Project-wise Summary'!$D76,'M_LC Summary'!$G:$G,'V_Project-wise Summary'!$E76)</f>
        <v>26518417.458099999</v>
      </c>
      <c r="G76" s="158">
        <f>SUMIFS('M_LC Summary'!$L:$L,'M_LC Summary'!$D:$D,'V_Project-wise Summary'!$C76,'M_LC Summary'!$E:$E,'V_Project-wise Summary'!$D76,'M_LC Summary'!$G:$G,'V_Project-wise Summary'!$E76)</f>
        <v>0</v>
      </c>
      <c r="H76" s="158">
        <f>SUMIFS('M_LC Summary'!$M:$M,'M_LC Summary'!$D:$D,'V_Project-wise Summary'!$C76,'M_LC Summary'!$E:$E,'V_Project-wise Summary'!$D76,'M_LC Summary'!$G:$G,'V_Project-wise Summary'!$E76)</f>
        <v>0</v>
      </c>
      <c r="I76" s="158">
        <f t="shared" si="0"/>
        <v>26518417.458099999</v>
      </c>
    </row>
    <row r="77" spans="3:9" ht="15.75" thickBot="1" x14ac:dyDescent="0.3">
      <c r="C77" s="22"/>
      <c r="D77" s="23"/>
      <c r="E77" s="23" t="s">
        <v>54</v>
      </c>
      <c r="F77" s="24">
        <f>SUM(F75:F76)</f>
        <v>33964550.208099999</v>
      </c>
      <c r="G77" s="24">
        <f>SUM(G75:G76)</f>
        <v>2500000</v>
      </c>
      <c r="H77" s="24">
        <f>SUM(H75:H76)</f>
        <v>0</v>
      </c>
      <c r="I77" s="25">
        <f>SUM(I75:I76)</f>
        <v>31464550.208099999</v>
      </c>
    </row>
    <row r="78" spans="3:9" ht="15.75" thickBot="1" x14ac:dyDescent="0.3">
      <c r="F78" s="21"/>
      <c r="G78" s="21"/>
      <c r="H78" s="21"/>
      <c r="I78" s="21"/>
    </row>
    <row r="79" spans="3:9" ht="15.75" thickBot="1" x14ac:dyDescent="0.3">
      <c r="C79" s="22"/>
      <c r="D79" s="54" t="s">
        <v>54</v>
      </c>
      <c r="E79" s="23" t="s">
        <v>55</v>
      </c>
      <c r="F79" s="58">
        <f>SUMIF($E:$E,$D79,F:F)</f>
        <v>784902782.78998995</v>
      </c>
      <c r="G79" s="59">
        <f>SUMIF($E:$E,$D79,G:G)</f>
        <v>399722289.34850001</v>
      </c>
      <c r="H79" s="50">
        <f>SUMIF($E:$E,$D79,H:H)</f>
        <v>146745602.60000002</v>
      </c>
      <c r="I79" s="57">
        <f>SUMIF($E:$E,$D79,I:I)</f>
        <v>238434890.84148997</v>
      </c>
    </row>
  </sheetData>
  <mergeCells count="1">
    <mergeCell ref="C2:I2"/>
  </mergeCells>
  <conditionalFormatting sqref="C4:I78">
    <cfRule type="expression" dxfId="11" priority="1">
      <formula>$E4="Cash"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0245AF-E3CA-4805-92B3-869F7B7A4840}">
  <sheetPr codeName="PT_Bankwise_Credit"/>
  <dimension ref="A1:E33"/>
  <sheetViews>
    <sheetView workbookViewId="0">
      <selection activeCell="A4" sqref="A4"/>
    </sheetView>
  </sheetViews>
  <sheetFormatPr defaultRowHeight="15" x14ac:dyDescent="0.25"/>
  <cols>
    <col min="1" max="1" width="18.28515625" bestFit="1" customWidth="1"/>
    <col min="2" max="2" width="17.28515625" bestFit="1" customWidth="1"/>
    <col min="3" max="3" width="18.42578125" bestFit="1" customWidth="1"/>
    <col min="4" max="4" width="17" bestFit="1" customWidth="1"/>
    <col min="5" max="5" width="25.85546875" bestFit="1" customWidth="1"/>
    <col min="6" max="6" width="18.28515625" bestFit="1" customWidth="1"/>
    <col min="7" max="7" width="16.140625" bestFit="1" customWidth="1"/>
  </cols>
  <sheetData>
    <row r="1" spans="1:5" x14ac:dyDescent="0.25">
      <c r="A1" s="3" t="s">
        <v>15</v>
      </c>
      <c r="B1" t="s">
        <v>19</v>
      </c>
    </row>
    <row r="3" spans="1:5" x14ac:dyDescent="0.25">
      <c r="A3" s="3" t="s">
        <v>14</v>
      </c>
      <c r="B3" s="3" t="s">
        <v>3</v>
      </c>
      <c r="C3" s="3" t="s">
        <v>4</v>
      </c>
      <c r="D3" t="s">
        <v>42</v>
      </c>
      <c r="E3" t="s">
        <v>41</v>
      </c>
    </row>
    <row r="4" spans="1:5" x14ac:dyDescent="0.25">
      <c r="A4" t="s">
        <v>83</v>
      </c>
      <c r="B4" t="s">
        <v>20</v>
      </c>
      <c r="C4" t="s">
        <v>17</v>
      </c>
      <c r="D4" s="4">
        <v>1970615.2899999998</v>
      </c>
      <c r="E4" s="4">
        <v>0</v>
      </c>
    </row>
    <row r="5" spans="1:5" x14ac:dyDescent="0.25">
      <c r="A5" t="s">
        <v>83</v>
      </c>
      <c r="B5" t="s">
        <v>20</v>
      </c>
      <c r="C5" t="s">
        <v>103</v>
      </c>
      <c r="D5" s="4">
        <v>261827.52</v>
      </c>
      <c r="E5" s="4">
        <v>702587.67</v>
      </c>
    </row>
    <row r="6" spans="1:5" x14ac:dyDescent="0.25">
      <c r="A6" t="s">
        <v>83</v>
      </c>
      <c r="B6" t="s">
        <v>20</v>
      </c>
      <c r="C6" t="s">
        <v>105</v>
      </c>
      <c r="D6" s="4">
        <v>0</v>
      </c>
      <c r="E6" s="4">
        <v>6000000</v>
      </c>
    </row>
    <row r="7" spans="1:5" x14ac:dyDescent="0.25">
      <c r="A7" t="s">
        <v>83</v>
      </c>
      <c r="B7" t="s">
        <v>183</v>
      </c>
      <c r="C7" t="s">
        <v>17</v>
      </c>
      <c r="D7" s="4">
        <v>13982563.189999999</v>
      </c>
      <c r="E7" s="4">
        <v>0</v>
      </c>
    </row>
    <row r="8" spans="1:5" x14ac:dyDescent="0.25">
      <c r="A8" t="s">
        <v>83</v>
      </c>
      <c r="B8" t="s">
        <v>183</v>
      </c>
      <c r="C8" t="s">
        <v>105</v>
      </c>
      <c r="D8" s="4">
        <v>10813776.42</v>
      </c>
      <c r="E8" s="4">
        <v>15724333.939999999</v>
      </c>
    </row>
    <row r="9" spans="1:5" x14ac:dyDescent="0.25">
      <c r="A9" t="s">
        <v>83</v>
      </c>
      <c r="B9" t="s">
        <v>24</v>
      </c>
      <c r="C9" t="s">
        <v>27</v>
      </c>
      <c r="D9" s="4">
        <v>0</v>
      </c>
      <c r="E9" s="4">
        <v>21481033</v>
      </c>
    </row>
    <row r="10" spans="1:5" x14ac:dyDescent="0.25">
      <c r="A10" t="s">
        <v>83</v>
      </c>
      <c r="B10" t="s">
        <v>24</v>
      </c>
      <c r="C10" t="s">
        <v>17</v>
      </c>
      <c r="D10" s="4">
        <v>11762891.02</v>
      </c>
      <c r="E10" s="4">
        <v>8237108.9800000004</v>
      </c>
    </row>
    <row r="11" spans="1:5" x14ac:dyDescent="0.25">
      <c r="A11" t="s">
        <v>83</v>
      </c>
      <c r="B11" t="s">
        <v>24</v>
      </c>
      <c r="C11" t="s">
        <v>105</v>
      </c>
      <c r="D11" s="4">
        <v>2093058</v>
      </c>
      <c r="E11" s="4">
        <v>1198665</v>
      </c>
    </row>
    <row r="12" spans="1:5" x14ac:dyDescent="0.25">
      <c r="A12" t="s">
        <v>83</v>
      </c>
      <c r="B12" t="s">
        <v>24</v>
      </c>
      <c r="C12" t="s">
        <v>106</v>
      </c>
      <c r="D12" s="4">
        <v>5960746.9000000004</v>
      </c>
      <c r="E12" s="4">
        <v>412500</v>
      </c>
    </row>
    <row r="13" spans="1:5" x14ac:dyDescent="0.25">
      <c r="A13" t="s">
        <v>70</v>
      </c>
      <c r="B13" t="s">
        <v>20</v>
      </c>
      <c r="C13" t="s">
        <v>117</v>
      </c>
      <c r="D13" s="4">
        <v>2550820.34</v>
      </c>
      <c r="E13" s="4">
        <v>4268113.24</v>
      </c>
    </row>
    <row r="14" spans="1:5" x14ac:dyDescent="0.25">
      <c r="A14" t="s">
        <v>70</v>
      </c>
      <c r="B14" t="s">
        <v>24</v>
      </c>
      <c r="C14" t="s">
        <v>117</v>
      </c>
      <c r="D14" s="4">
        <v>21169969.420000002</v>
      </c>
      <c r="E14" s="4">
        <v>1488156.6800000002</v>
      </c>
    </row>
    <row r="15" spans="1:5" x14ac:dyDescent="0.25">
      <c r="A15" t="s">
        <v>70</v>
      </c>
      <c r="B15" t="s">
        <v>358</v>
      </c>
      <c r="C15" t="s">
        <v>117</v>
      </c>
      <c r="D15" s="4">
        <v>3239246.61</v>
      </c>
      <c r="E15" s="4">
        <v>0</v>
      </c>
    </row>
    <row r="16" spans="1:5" x14ac:dyDescent="0.25">
      <c r="A16" t="s">
        <v>99</v>
      </c>
      <c r="B16" t="s">
        <v>20</v>
      </c>
      <c r="C16" t="s">
        <v>27</v>
      </c>
      <c r="D16" s="4">
        <v>483205.4</v>
      </c>
      <c r="E16" s="4">
        <v>0</v>
      </c>
    </row>
    <row r="17" spans="1:5" x14ac:dyDescent="0.25">
      <c r="A17" t="s">
        <v>99</v>
      </c>
      <c r="B17" t="s">
        <v>20</v>
      </c>
      <c r="C17" t="s">
        <v>152</v>
      </c>
      <c r="D17" s="4">
        <v>27644903.829999998</v>
      </c>
      <c r="E17" s="4">
        <v>19612144.129999999</v>
      </c>
    </row>
    <row r="18" spans="1:5" x14ac:dyDescent="0.25">
      <c r="A18" t="s">
        <v>99</v>
      </c>
      <c r="B18" t="s">
        <v>24</v>
      </c>
      <c r="C18" t="s">
        <v>31</v>
      </c>
      <c r="D18" s="4">
        <v>3325316</v>
      </c>
      <c r="E18" s="4">
        <v>1099687.5</v>
      </c>
    </row>
    <row r="19" spans="1:5" x14ac:dyDescent="0.25">
      <c r="A19" t="s">
        <v>99</v>
      </c>
      <c r="B19" t="s">
        <v>24</v>
      </c>
      <c r="C19" t="s">
        <v>27</v>
      </c>
      <c r="D19" s="4">
        <v>0</v>
      </c>
      <c r="E19" s="4">
        <v>10000000</v>
      </c>
    </row>
    <row r="20" spans="1:5" x14ac:dyDescent="0.25">
      <c r="A20" t="s">
        <v>99</v>
      </c>
      <c r="B20" t="s">
        <v>219</v>
      </c>
      <c r="C20" t="s">
        <v>31</v>
      </c>
      <c r="D20" s="4">
        <v>1507901</v>
      </c>
      <c r="E20" s="4">
        <v>0</v>
      </c>
    </row>
    <row r="21" spans="1:5" x14ac:dyDescent="0.25">
      <c r="A21" t="s">
        <v>99</v>
      </c>
      <c r="B21" t="s">
        <v>326</v>
      </c>
      <c r="C21" t="s">
        <v>27</v>
      </c>
      <c r="D21" s="4">
        <v>1269458.03</v>
      </c>
      <c r="E21" s="4">
        <v>0</v>
      </c>
    </row>
    <row r="22" spans="1:5" x14ac:dyDescent="0.25">
      <c r="A22" t="s">
        <v>98</v>
      </c>
      <c r="B22" t="s">
        <v>20</v>
      </c>
      <c r="C22" t="s">
        <v>103</v>
      </c>
      <c r="D22" s="4">
        <v>118208.72</v>
      </c>
      <c r="E22" s="4">
        <v>0</v>
      </c>
    </row>
    <row r="23" spans="1:5" x14ac:dyDescent="0.25">
      <c r="A23" t="s">
        <v>98</v>
      </c>
      <c r="B23" t="s">
        <v>24</v>
      </c>
      <c r="C23" t="s">
        <v>151</v>
      </c>
      <c r="D23" s="4">
        <v>2509911.0499999998</v>
      </c>
      <c r="E23" s="4">
        <v>386858.95</v>
      </c>
    </row>
    <row r="24" spans="1:5" x14ac:dyDescent="0.25">
      <c r="A24" t="s">
        <v>98</v>
      </c>
      <c r="B24" t="s">
        <v>24</v>
      </c>
      <c r="C24" t="s">
        <v>106</v>
      </c>
      <c r="D24" s="4">
        <v>2008860.54</v>
      </c>
      <c r="E24" s="4">
        <v>0</v>
      </c>
    </row>
    <row r="25" spans="1:5" x14ac:dyDescent="0.25">
      <c r="A25" t="s">
        <v>98</v>
      </c>
      <c r="B25" t="s">
        <v>219</v>
      </c>
      <c r="C25" t="s">
        <v>151</v>
      </c>
      <c r="D25" s="4">
        <v>45337314.849999994</v>
      </c>
      <c r="E25" s="4">
        <v>12220413.310000001</v>
      </c>
    </row>
    <row r="26" spans="1:5" x14ac:dyDescent="0.25">
      <c r="A26" t="s">
        <v>98</v>
      </c>
      <c r="B26" t="s">
        <v>275</v>
      </c>
      <c r="C26" t="s">
        <v>151</v>
      </c>
      <c r="D26" s="4">
        <v>1871528.95</v>
      </c>
      <c r="E26" s="4">
        <v>652505.4</v>
      </c>
    </row>
    <row r="27" spans="1:5" x14ac:dyDescent="0.25">
      <c r="A27" t="s">
        <v>98</v>
      </c>
      <c r="B27" t="s">
        <v>453</v>
      </c>
      <c r="C27" t="s">
        <v>151</v>
      </c>
      <c r="D27" s="4">
        <v>4946132.75</v>
      </c>
      <c r="E27" s="4">
        <v>0</v>
      </c>
    </row>
    <row r="28" spans="1:5" x14ac:dyDescent="0.25">
      <c r="A28" t="s">
        <v>98</v>
      </c>
      <c r="B28" t="s">
        <v>450</v>
      </c>
      <c r="C28" t="s">
        <v>151</v>
      </c>
      <c r="D28" s="4">
        <v>26518417.460000001</v>
      </c>
      <c r="E28" s="4">
        <v>0</v>
      </c>
    </row>
    <row r="29" spans="1:5" x14ac:dyDescent="0.25">
      <c r="A29" t="s">
        <v>147</v>
      </c>
      <c r="B29" t="s">
        <v>20</v>
      </c>
      <c r="C29" t="s">
        <v>27</v>
      </c>
      <c r="D29" s="4">
        <v>0</v>
      </c>
      <c r="E29" s="4">
        <v>42000000</v>
      </c>
    </row>
    <row r="30" spans="1:5" x14ac:dyDescent="0.25">
      <c r="A30" t="s">
        <v>147</v>
      </c>
      <c r="B30" t="s">
        <v>20</v>
      </c>
      <c r="C30" t="s">
        <v>75</v>
      </c>
      <c r="D30" s="4">
        <v>3404275.3999999994</v>
      </c>
      <c r="E30" s="4">
        <v>199393.9</v>
      </c>
    </row>
    <row r="31" spans="1:5" x14ac:dyDescent="0.25">
      <c r="A31" t="s">
        <v>147</v>
      </c>
      <c r="B31" t="s">
        <v>24</v>
      </c>
      <c r="C31" t="s">
        <v>75</v>
      </c>
      <c r="D31" s="4">
        <v>40316555.43</v>
      </c>
      <c r="E31" s="4">
        <v>112200.9</v>
      </c>
    </row>
    <row r="32" spans="1:5" x14ac:dyDescent="0.25">
      <c r="A32" t="s">
        <v>68</v>
      </c>
      <c r="B32" t="s">
        <v>24</v>
      </c>
      <c r="C32" t="s">
        <v>267</v>
      </c>
      <c r="D32" s="4">
        <v>1342830.5</v>
      </c>
      <c r="E32" s="4">
        <v>949900</v>
      </c>
    </row>
    <row r="33" spans="1:5" x14ac:dyDescent="0.25">
      <c r="A33" t="s">
        <v>40</v>
      </c>
      <c r="D33" s="4">
        <v>236410334.62</v>
      </c>
      <c r="E33" s="4">
        <v>146745602.60000002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F5BBD-CCCE-4BBE-A52E-0C07BB9735ED}">
  <sheetPr codeName="Sheet13"/>
  <dimension ref="A2:R156"/>
  <sheetViews>
    <sheetView showGridLines="0" workbookViewId="0"/>
  </sheetViews>
  <sheetFormatPr defaultRowHeight="15" x14ac:dyDescent="0.25"/>
  <cols>
    <col min="1" max="1" width="16" bestFit="1" customWidth="1"/>
    <col min="2" max="2" width="13" bestFit="1" customWidth="1"/>
    <col min="3" max="3" width="65.7109375" bestFit="1" customWidth="1"/>
    <col min="4" max="4" width="29.140625" bestFit="1" customWidth="1"/>
    <col min="5" max="5" width="18.42578125" bestFit="1" customWidth="1"/>
    <col min="6" max="6" width="13.28515625" bestFit="1" customWidth="1"/>
    <col min="7" max="7" width="7.85546875" bestFit="1" customWidth="1"/>
    <col min="8" max="8" width="7" bestFit="1" customWidth="1"/>
    <col min="9" max="9" width="14" bestFit="1" customWidth="1"/>
    <col min="10" max="10" width="7.28515625" bestFit="1" customWidth="1"/>
    <col min="11" max="11" width="14.28515625" bestFit="1" customWidth="1"/>
    <col min="12" max="12" width="12.140625" bestFit="1" customWidth="1"/>
    <col min="13" max="13" width="21.28515625" bestFit="1" customWidth="1"/>
    <col min="14" max="14" width="12.5703125" bestFit="1" customWidth="1"/>
    <col min="15" max="15" width="13.28515625" bestFit="1" customWidth="1"/>
    <col min="16" max="16" width="15.7109375" bestFit="1" customWidth="1"/>
    <col min="17" max="17" width="50.7109375" bestFit="1" customWidth="1"/>
    <col min="18" max="18" width="33.85546875" bestFit="1" customWidth="1"/>
    <col min="19" max="19" width="55.42578125" bestFit="1" customWidth="1"/>
    <col min="20" max="20" width="12.140625" bestFit="1" customWidth="1"/>
    <col min="21" max="21" width="13.42578125" bestFit="1" customWidth="1"/>
    <col min="22" max="22" width="19.28515625" bestFit="1" customWidth="1"/>
    <col min="23" max="23" width="17" bestFit="1" customWidth="1"/>
    <col min="24" max="24" width="23.7109375" bestFit="1" customWidth="1"/>
    <col min="25" max="25" width="80.7109375" bestFit="1" customWidth="1"/>
    <col min="26" max="26" width="12.7109375" bestFit="1" customWidth="1"/>
    <col min="27" max="27" width="15.140625" bestFit="1" customWidth="1"/>
    <col min="28" max="28" width="31.7109375" bestFit="1" customWidth="1"/>
    <col min="29" max="29" width="55.42578125" customWidth="1"/>
    <col min="30" max="30" width="18" bestFit="1" customWidth="1"/>
  </cols>
  <sheetData>
    <row r="2" spans="1:18" ht="21" x14ac:dyDescent="0.35">
      <c r="A2" s="12" t="s">
        <v>48</v>
      </c>
      <c r="B2" s="10"/>
      <c r="C2" s="10"/>
      <c r="D2" s="10"/>
      <c r="E2" s="11"/>
      <c r="F2" s="10"/>
      <c r="G2" s="10"/>
      <c r="H2" s="10"/>
      <c r="I2" s="10"/>
      <c r="J2" s="10"/>
      <c r="K2" s="10"/>
      <c r="L2" s="10"/>
      <c r="M2" s="10"/>
      <c r="N2" s="10"/>
    </row>
    <row r="3" spans="1:18" x14ac:dyDescent="0.25">
      <c r="A3" s="2" t="s">
        <v>0</v>
      </c>
      <c r="B3" s="2" t="s">
        <v>1</v>
      </c>
      <c r="C3" s="2" t="s">
        <v>2</v>
      </c>
      <c r="D3" s="2" t="s">
        <v>3</v>
      </c>
      <c r="E3" s="2" t="s">
        <v>4</v>
      </c>
      <c r="F3" s="2" t="s">
        <v>14</v>
      </c>
      <c r="G3" s="2" t="s">
        <v>15</v>
      </c>
      <c r="H3" s="2" t="s">
        <v>5</v>
      </c>
      <c r="I3" s="2" t="s">
        <v>6</v>
      </c>
      <c r="J3" s="2" t="s">
        <v>7</v>
      </c>
      <c r="K3" s="2" t="s">
        <v>8</v>
      </c>
      <c r="L3" s="2" t="s">
        <v>9</v>
      </c>
      <c r="M3" s="2" t="s">
        <v>10</v>
      </c>
      <c r="N3" s="2" t="s">
        <v>11</v>
      </c>
      <c r="O3" s="2" t="s">
        <v>12</v>
      </c>
      <c r="P3" s="2" t="s">
        <v>13</v>
      </c>
      <c r="Q3" s="2" t="s">
        <v>16</v>
      </c>
      <c r="R3" s="2" t="s">
        <v>39</v>
      </c>
    </row>
    <row r="4" spans="1:18" x14ac:dyDescent="0.25">
      <c r="A4" t="s">
        <v>508</v>
      </c>
      <c r="B4" s="219">
        <v>46177</v>
      </c>
      <c r="C4" t="s">
        <v>502</v>
      </c>
      <c r="D4" t="s">
        <v>20</v>
      </c>
      <c r="E4" t="s">
        <v>152</v>
      </c>
      <c r="F4" t="s">
        <v>28</v>
      </c>
      <c r="G4" t="s">
        <v>19</v>
      </c>
      <c r="H4" t="s">
        <v>21</v>
      </c>
      <c r="I4">
        <v>200000</v>
      </c>
      <c r="J4">
        <v>1</v>
      </c>
      <c r="K4">
        <v>200000</v>
      </c>
      <c r="L4">
        <v>0</v>
      </c>
      <c r="M4">
        <v>0</v>
      </c>
      <c r="N4">
        <v>200000</v>
      </c>
      <c r="O4" s="219">
        <v>46265</v>
      </c>
      <c r="P4" s="219">
        <v>46265</v>
      </c>
      <c r="Q4" t="s">
        <v>472</v>
      </c>
    </row>
    <row r="5" spans="1:18" x14ac:dyDescent="0.25">
      <c r="A5" t="s">
        <v>315</v>
      </c>
      <c r="B5" s="219">
        <v>46036</v>
      </c>
      <c r="C5" t="s">
        <v>192</v>
      </c>
      <c r="D5" t="s">
        <v>20</v>
      </c>
      <c r="E5" t="s">
        <v>152</v>
      </c>
      <c r="F5" t="s">
        <v>28</v>
      </c>
      <c r="G5" t="s">
        <v>19</v>
      </c>
      <c r="H5" t="s">
        <v>21</v>
      </c>
      <c r="I5">
        <v>500000</v>
      </c>
      <c r="J5">
        <v>1</v>
      </c>
      <c r="K5">
        <v>500000</v>
      </c>
      <c r="L5">
        <v>0</v>
      </c>
      <c r="M5">
        <v>365011.38</v>
      </c>
      <c r="N5">
        <v>134988.62</v>
      </c>
      <c r="O5" s="219">
        <v>46203</v>
      </c>
      <c r="P5" s="219">
        <v>46203</v>
      </c>
      <c r="Q5" t="s">
        <v>244</v>
      </c>
      <c r="R5" t="s">
        <v>425</v>
      </c>
    </row>
    <row r="6" spans="1:18" x14ac:dyDescent="0.25">
      <c r="A6" t="s">
        <v>258</v>
      </c>
      <c r="B6" s="219">
        <v>45973</v>
      </c>
      <c r="C6" t="s">
        <v>255</v>
      </c>
      <c r="D6" t="s">
        <v>20</v>
      </c>
      <c r="E6" t="s">
        <v>17</v>
      </c>
      <c r="F6" t="s">
        <v>18</v>
      </c>
      <c r="G6" t="s">
        <v>19</v>
      </c>
      <c r="H6" t="s">
        <v>21</v>
      </c>
      <c r="I6">
        <v>3487033.23</v>
      </c>
      <c r="J6">
        <v>1</v>
      </c>
      <c r="K6">
        <v>3487033.23</v>
      </c>
      <c r="L6">
        <v>1989866.83</v>
      </c>
      <c r="M6">
        <v>0</v>
      </c>
      <c r="N6">
        <v>1497166.4</v>
      </c>
      <c r="O6" s="219">
        <v>46203</v>
      </c>
      <c r="P6" s="219">
        <v>46203</v>
      </c>
      <c r="Q6" t="s">
        <v>244</v>
      </c>
    </row>
    <row r="7" spans="1:18" x14ac:dyDescent="0.25">
      <c r="A7" t="s">
        <v>317</v>
      </c>
      <c r="B7" s="219">
        <v>46037</v>
      </c>
      <c r="C7" t="s">
        <v>302</v>
      </c>
      <c r="D7" t="s">
        <v>20</v>
      </c>
      <c r="E7" t="s">
        <v>152</v>
      </c>
      <c r="F7" t="s">
        <v>28</v>
      </c>
      <c r="G7" t="s">
        <v>19</v>
      </c>
      <c r="H7" t="s">
        <v>21</v>
      </c>
      <c r="I7">
        <v>1500000</v>
      </c>
      <c r="J7">
        <v>1</v>
      </c>
      <c r="K7">
        <v>1500000</v>
      </c>
      <c r="L7">
        <v>0</v>
      </c>
      <c r="M7">
        <v>1377731.72</v>
      </c>
      <c r="N7">
        <v>122268.28</v>
      </c>
      <c r="O7" s="219">
        <v>46203</v>
      </c>
      <c r="P7" s="219">
        <v>46203</v>
      </c>
      <c r="Q7" t="s">
        <v>244</v>
      </c>
      <c r="R7" t="s">
        <v>419</v>
      </c>
    </row>
    <row r="8" spans="1:18" x14ac:dyDescent="0.25">
      <c r="A8" t="s">
        <v>362</v>
      </c>
      <c r="B8" s="219">
        <v>46086</v>
      </c>
      <c r="C8" t="s">
        <v>176</v>
      </c>
      <c r="D8" t="s">
        <v>20</v>
      </c>
      <c r="E8" t="s">
        <v>152</v>
      </c>
      <c r="F8" t="s">
        <v>28</v>
      </c>
      <c r="G8" t="s">
        <v>19</v>
      </c>
      <c r="H8" t="s">
        <v>21</v>
      </c>
      <c r="I8">
        <v>600000</v>
      </c>
      <c r="J8">
        <v>1</v>
      </c>
      <c r="K8">
        <v>600000</v>
      </c>
      <c r="L8">
        <v>0</v>
      </c>
      <c r="M8">
        <v>511689.33</v>
      </c>
      <c r="N8">
        <v>88310.67</v>
      </c>
      <c r="O8" s="219">
        <v>46265</v>
      </c>
      <c r="P8" s="219">
        <v>46265</v>
      </c>
      <c r="Q8" t="s">
        <v>244</v>
      </c>
      <c r="R8" t="s">
        <v>569</v>
      </c>
    </row>
    <row r="9" spans="1:18" x14ac:dyDescent="0.25">
      <c r="A9" t="s">
        <v>398</v>
      </c>
      <c r="B9" s="219">
        <v>46118</v>
      </c>
      <c r="C9" t="s">
        <v>380</v>
      </c>
      <c r="D9" t="s">
        <v>20</v>
      </c>
      <c r="E9" t="s">
        <v>152</v>
      </c>
      <c r="F9" t="s">
        <v>28</v>
      </c>
      <c r="G9" t="s">
        <v>19</v>
      </c>
      <c r="H9" t="s">
        <v>21</v>
      </c>
      <c r="I9">
        <v>175000</v>
      </c>
      <c r="J9">
        <v>1</v>
      </c>
      <c r="K9">
        <v>175000</v>
      </c>
      <c r="L9">
        <v>0</v>
      </c>
      <c r="M9">
        <v>0</v>
      </c>
      <c r="N9">
        <v>175000</v>
      </c>
      <c r="O9" s="219">
        <v>46203</v>
      </c>
      <c r="P9" s="219">
        <v>46203</v>
      </c>
      <c r="Q9" t="s">
        <v>381</v>
      </c>
    </row>
    <row r="10" spans="1:18" x14ac:dyDescent="0.25">
      <c r="A10" t="s">
        <v>314</v>
      </c>
      <c r="B10" s="219">
        <v>46036</v>
      </c>
      <c r="C10" t="s">
        <v>177</v>
      </c>
      <c r="D10" t="s">
        <v>20</v>
      </c>
      <c r="E10" t="s">
        <v>152</v>
      </c>
      <c r="F10" t="s">
        <v>28</v>
      </c>
      <c r="G10" t="s">
        <v>19</v>
      </c>
      <c r="H10" t="s">
        <v>21</v>
      </c>
      <c r="I10">
        <v>900000</v>
      </c>
      <c r="J10">
        <v>1</v>
      </c>
      <c r="K10">
        <v>900000</v>
      </c>
      <c r="L10">
        <v>0</v>
      </c>
      <c r="M10">
        <v>900000</v>
      </c>
      <c r="N10">
        <v>0</v>
      </c>
      <c r="O10" s="219">
        <v>46203</v>
      </c>
      <c r="P10" s="219">
        <v>46203</v>
      </c>
      <c r="Q10" t="s">
        <v>244</v>
      </c>
      <c r="R10" t="s">
        <v>542</v>
      </c>
    </row>
    <row r="11" spans="1:18" x14ac:dyDescent="0.25">
      <c r="A11" t="s">
        <v>399</v>
      </c>
      <c r="B11" s="219">
        <v>46118</v>
      </c>
      <c r="C11" t="s">
        <v>382</v>
      </c>
      <c r="D11" t="s">
        <v>20</v>
      </c>
      <c r="E11" t="s">
        <v>152</v>
      </c>
      <c r="F11" t="s">
        <v>28</v>
      </c>
      <c r="G11" t="s">
        <v>19</v>
      </c>
      <c r="H11" t="s">
        <v>21</v>
      </c>
      <c r="I11">
        <v>125000</v>
      </c>
      <c r="J11">
        <v>1</v>
      </c>
      <c r="K11">
        <v>125000</v>
      </c>
      <c r="L11">
        <v>0</v>
      </c>
      <c r="M11">
        <v>125000</v>
      </c>
      <c r="N11">
        <v>0</v>
      </c>
      <c r="O11" s="219">
        <v>46203</v>
      </c>
      <c r="P11" s="219">
        <v>46203</v>
      </c>
      <c r="Q11" t="s">
        <v>381</v>
      </c>
      <c r="R11" t="s">
        <v>446</v>
      </c>
    </row>
    <row r="12" spans="1:18" x14ac:dyDescent="0.25">
      <c r="A12" t="s">
        <v>216</v>
      </c>
      <c r="B12" s="219">
        <v>45887</v>
      </c>
      <c r="C12" t="s">
        <v>181</v>
      </c>
      <c r="D12" t="s">
        <v>24</v>
      </c>
      <c r="E12" t="s">
        <v>106</v>
      </c>
      <c r="F12" t="s">
        <v>18</v>
      </c>
      <c r="G12" t="s">
        <v>19</v>
      </c>
      <c r="H12" t="s">
        <v>21</v>
      </c>
      <c r="I12">
        <v>3009600</v>
      </c>
      <c r="J12">
        <v>1</v>
      </c>
      <c r="K12">
        <v>3009600</v>
      </c>
      <c r="L12">
        <v>1850554.97</v>
      </c>
      <c r="M12">
        <v>0</v>
      </c>
      <c r="N12">
        <v>1159045.03</v>
      </c>
      <c r="O12" s="219">
        <v>46252</v>
      </c>
      <c r="P12" s="219">
        <v>46252</v>
      </c>
      <c r="Q12" t="s">
        <v>182</v>
      </c>
    </row>
    <row r="13" spans="1:18" x14ac:dyDescent="0.25">
      <c r="A13" t="s">
        <v>445</v>
      </c>
      <c r="B13" s="219">
        <v>46140</v>
      </c>
      <c r="C13" t="s">
        <v>438</v>
      </c>
      <c r="D13" t="s">
        <v>219</v>
      </c>
      <c r="E13" t="s">
        <v>151</v>
      </c>
      <c r="F13" t="s">
        <v>22</v>
      </c>
      <c r="G13" t="s">
        <v>19</v>
      </c>
      <c r="H13" t="s">
        <v>21</v>
      </c>
      <c r="I13">
        <v>6000000</v>
      </c>
      <c r="J13">
        <v>1</v>
      </c>
      <c r="K13">
        <v>6000000</v>
      </c>
      <c r="L13">
        <v>0</v>
      </c>
      <c r="M13">
        <v>0</v>
      </c>
      <c r="N13">
        <v>6000000</v>
      </c>
      <c r="O13" s="219">
        <v>46325</v>
      </c>
      <c r="P13" s="219">
        <v>46325</v>
      </c>
      <c r="Q13" t="s">
        <v>323</v>
      </c>
    </row>
    <row r="14" spans="1:18" x14ac:dyDescent="0.25">
      <c r="A14" t="s">
        <v>363</v>
      </c>
      <c r="B14" s="219">
        <v>46086</v>
      </c>
      <c r="C14" t="s">
        <v>357</v>
      </c>
      <c r="D14" t="s">
        <v>20</v>
      </c>
      <c r="E14" t="s">
        <v>152</v>
      </c>
      <c r="F14" t="s">
        <v>28</v>
      </c>
      <c r="G14" t="s">
        <v>19</v>
      </c>
      <c r="H14" t="s">
        <v>21</v>
      </c>
      <c r="I14">
        <v>1870380.07</v>
      </c>
      <c r="J14">
        <v>1</v>
      </c>
      <c r="K14">
        <v>1870380.07</v>
      </c>
      <c r="L14">
        <v>0</v>
      </c>
      <c r="M14">
        <v>1309266</v>
      </c>
      <c r="N14">
        <v>561114.06999999995</v>
      </c>
      <c r="O14" s="219">
        <v>46265</v>
      </c>
      <c r="P14" s="219">
        <v>46265</v>
      </c>
      <c r="Q14" t="s">
        <v>244</v>
      </c>
      <c r="R14" t="s">
        <v>437</v>
      </c>
    </row>
    <row r="15" spans="1:18" x14ac:dyDescent="0.25">
      <c r="A15" t="s">
        <v>220</v>
      </c>
      <c r="B15" s="219">
        <v>45895</v>
      </c>
      <c r="C15" t="s">
        <v>212</v>
      </c>
      <c r="D15" t="s">
        <v>24</v>
      </c>
      <c r="E15" t="s">
        <v>75</v>
      </c>
      <c r="F15" t="s">
        <v>69</v>
      </c>
      <c r="G15" t="s">
        <v>19</v>
      </c>
      <c r="H15" t="s">
        <v>21</v>
      </c>
      <c r="I15">
        <v>10000000</v>
      </c>
      <c r="J15">
        <v>1</v>
      </c>
      <c r="K15">
        <v>10000000</v>
      </c>
      <c r="L15">
        <v>2924152.4000000004</v>
      </c>
      <c r="M15">
        <v>0</v>
      </c>
      <c r="N15">
        <v>7075847.5999999996</v>
      </c>
      <c r="O15" s="219">
        <v>46387</v>
      </c>
      <c r="P15" s="219">
        <v>46387</v>
      </c>
      <c r="Q15" t="s">
        <v>30</v>
      </c>
    </row>
    <row r="16" spans="1:18" x14ac:dyDescent="0.25">
      <c r="A16" t="s">
        <v>400</v>
      </c>
      <c r="B16" s="219">
        <v>46118</v>
      </c>
      <c r="C16" t="s">
        <v>383</v>
      </c>
      <c r="D16" t="s">
        <v>20</v>
      </c>
      <c r="E16" t="s">
        <v>152</v>
      </c>
      <c r="F16" t="s">
        <v>28</v>
      </c>
      <c r="G16" t="s">
        <v>19</v>
      </c>
      <c r="H16" t="s">
        <v>21</v>
      </c>
      <c r="I16">
        <v>500000</v>
      </c>
      <c r="J16">
        <v>1</v>
      </c>
      <c r="K16">
        <v>500000</v>
      </c>
      <c r="L16">
        <v>0</v>
      </c>
      <c r="M16">
        <v>500000</v>
      </c>
      <c r="N16">
        <v>0</v>
      </c>
      <c r="O16" s="219">
        <v>46203</v>
      </c>
      <c r="P16" s="219">
        <v>46203</v>
      </c>
      <c r="Q16" t="s">
        <v>381</v>
      </c>
      <c r="R16" t="s">
        <v>440</v>
      </c>
    </row>
    <row r="17" spans="1:18" x14ac:dyDescent="0.25">
      <c r="A17" t="s">
        <v>563</v>
      </c>
      <c r="B17" s="219">
        <v>46196</v>
      </c>
      <c r="C17" t="s">
        <v>550</v>
      </c>
      <c r="D17" t="s">
        <v>24</v>
      </c>
      <c r="E17" t="s">
        <v>31</v>
      </c>
      <c r="F17" t="s">
        <v>28</v>
      </c>
      <c r="G17" t="s">
        <v>19</v>
      </c>
      <c r="H17" t="s">
        <v>21</v>
      </c>
      <c r="I17">
        <v>2000000</v>
      </c>
      <c r="J17">
        <v>1</v>
      </c>
      <c r="K17">
        <v>2000000</v>
      </c>
      <c r="L17">
        <v>0</v>
      </c>
      <c r="M17">
        <v>0</v>
      </c>
      <c r="N17">
        <v>2000000</v>
      </c>
      <c r="O17" s="219">
        <v>46346</v>
      </c>
      <c r="P17" s="219">
        <v>46346</v>
      </c>
      <c r="Q17" t="s">
        <v>30</v>
      </c>
    </row>
    <row r="18" spans="1:18" x14ac:dyDescent="0.25">
      <c r="A18" t="s">
        <v>325</v>
      </c>
      <c r="B18" s="219">
        <v>46042</v>
      </c>
      <c r="C18" t="s">
        <v>322</v>
      </c>
      <c r="D18" t="s">
        <v>219</v>
      </c>
      <c r="E18" t="s">
        <v>151</v>
      </c>
      <c r="F18" t="s">
        <v>22</v>
      </c>
      <c r="G18" t="s">
        <v>19</v>
      </c>
      <c r="H18" t="s">
        <v>21</v>
      </c>
      <c r="I18">
        <v>400000</v>
      </c>
      <c r="J18">
        <v>1</v>
      </c>
      <c r="K18">
        <v>400000</v>
      </c>
      <c r="L18">
        <v>0</v>
      </c>
      <c r="M18">
        <v>0</v>
      </c>
      <c r="N18">
        <v>400000</v>
      </c>
      <c r="O18" s="219">
        <v>46173</v>
      </c>
      <c r="P18" s="219">
        <v>46163</v>
      </c>
      <c r="Q18" t="s">
        <v>323</v>
      </c>
    </row>
    <row r="19" spans="1:18" x14ac:dyDescent="0.25">
      <c r="A19" t="s">
        <v>292</v>
      </c>
      <c r="B19" s="219">
        <v>46023</v>
      </c>
      <c r="C19" t="s">
        <v>29</v>
      </c>
      <c r="D19" t="s">
        <v>20</v>
      </c>
      <c r="E19" t="s">
        <v>117</v>
      </c>
      <c r="F19" t="s">
        <v>25</v>
      </c>
      <c r="G19" t="s">
        <v>19</v>
      </c>
      <c r="H19" t="s">
        <v>21</v>
      </c>
      <c r="I19">
        <v>1044853.45</v>
      </c>
      <c r="J19">
        <v>1</v>
      </c>
      <c r="K19">
        <v>1044853.45</v>
      </c>
      <c r="L19">
        <v>0</v>
      </c>
      <c r="M19">
        <v>567743.27</v>
      </c>
      <c r="N19">
        <v>477110.18</v>
      </c>
      <c r="O19" s="219">
        <v>46296</v>
      </c>
      <c r="P19" s="219">
        <v>46296</v>
      </c>
      <c r="Q19" t="s">
        <v>282</v>
      </c>
      <c r="R19" t="s">
        <v>419</v>
      </c>
    </row>
    <row r="20" spans="1:18" x14ac:dyDescent="0.25">
      <c r="A20" t="s">
        <v>402</v>
      </c>
      <c r="B20" s="219">
        <v>46118</v>
      </c>
      <c r="C20" t="s">
        <v>393</v>
      </c>
      <c r="D20" t="s">
        <v>20</v>
      </c>
      <c r="E20" t="s">
        <v>152</v>
      </c>
      <c r="F20" t="s">
        <v>28</v>
      </c>
      <c r="G20" t="s">
        <v>19</v>
      </c>
      <c r="H20" t="s">
        <v>21</v>
      </c>
      <c r="I20">
        <v>150000</v>
      </c>
      <c r="J20">
        <v>1</v>
      </c>
      <c r="K20">
        <v>150000</v>
      </c>
      <c r="L20">
        <v>0</v>
      </c>
      <c r="M20">
        <v>93855.09</v>
      </c>
      <c r="N20">
        <v>56144.91</v>
      </c>
      <c r="O20" s="219">
        <v>46203</v>
      </c>
      <c r="P20" s="219">
        <v>46203</v>
      </c>
      <c r="Q20" t="s">
        <v>381</v>
      </c>
      <c r="R20" t="s">
        <v>474</v>
      </c>
    </row>
    <row r="21" spans="1:18" x14ac:dyDescent="0.25">
      <c r="A21" t="s">
        <v>307</v>
      </c>
      <c r="B21" s="219">
        <v>46033</v>
      </c>
      <c r="C21" t="s">
        <v>305</v>
      </c>
      <c r="D21" t="s">
        <v>20</v>
      </c>
      <c r="E21" t="s">
        <v>75</v>
      </c>
      <c r="F21" t="s">
        <v>69</v>
      </c>
      <c r="G21" t="s">
        <v>19</v>
      </c>
      <c r="H21" t="s">
        <v>21</v>
      </c>
      <c r="I21">
        <v>1500000</v>
      </c>
      <c r="J21">
        <v>1</v>
      </c>
      <c r="K21">
        <v>1500000</v>
      </c>
      <c r="L21">
        <v>1478254.88</v>
      </c>
      <c r="M21">
        <v>0</v>
      </c>
      <c r="N21">
        <v>21745.119999999999</v>
      </c>
      <c r="O21" s="219">
        <v>46173</v>
      </c>
      <c r="P21" s="219">
        <v>46173</v>
      </c>
      <c r="Q21" t="s">
        <v>244</v>
      </c>
    </row>
    <row r="22" spans="1:18" x14ac:dyDescent="0.25">
      <c r="A22" t="s">
        <v>509</v>
      </c>
      <c r="B22" s="219">
        <v>46177</v>
      </c>
      <c r="C22" t="s">
        <v>505</v>
      </c>
      <c r="D22" t="s">
        <v>20</v>
      </c>
      <c r="E22" t="s">
        <v>152</v>
      </c>
      <c r="F22" t="s">
        <v>28</v>
      </c>
      <c r="G22" t="s">
        <v>19</v>
      </c>
      <c r="H22" t="s">
        <v>21</v>
      </c>
      <c r="I22">
        <v>350000</v>
      </c>
      <c r="J22">
        <v>1</v>
      </c>
      <c r="K22">
        <v>350000</v>
      </c>
      <c r="L22">
        <v>0</v>
      </c>
      <c r="M22">
        <v>0</v>
      </c>
      <c r="N22">
        <v>350000</v>
      </c>
      <c r="O22" s="219">
        <v>46265</v>
      </c>
      <c r="P22" s="219">
        <v>46265</v>
      </c>
      <c r="Q22" t="s">
        <v>472</v>
      </c>
    </row>
    <row r="23" spans="1:18" x14ac:dyDescent="0.25">
      <c r="A23" t="s">
        <v>401</v>
      </c>
      <c r="B23" s="219">
        <v>46118</v>
      </c>
      <c r="C23" t="s">
        <v>384</v>
      </c>
      <c r="D23" t="s">
        <v>20</v>
      </c>
      <c r="E23" t="s">
        <v>152</v>
      </c>
      <c r="F23" t="s">
        <v>28</v>
      </c>
      <c r="G23" t="s">
        <v>19</v>
      </c>
      <c r="H23" t="s">
        <v>21</v>
      </c>
      <c r="I23">
        <v>450000</v>
      </c>
      <c r="J23">
        <v>1</v>
      </c>
      <c r="K23">
        <v>450000</v>
      </c>
      <c r="L23">
        <v>0</v>
      </c>
      <c r="M23">
        <v>0</v>
      </c>
      <c r="N23">
        <v>450000</v>
      </c>
      <c r="O23" s="219">
        <v>46203</v>
      </c>
      <c r="P23" s="219">
        <v>46203</v>
      </c>
      <c r="Q23" t="s">
        <v>381</v>
      </c>
    </row>
    <row r="24" spans="1:18" x14ac:dyDescent="0.25">
      <c r="A24" t="s">
        <v>510</v>
      </c>
      <c r="B24" s="219">
        <v>46177</v>
      </c>
      <c r="C24" t="s">
        <v>485</v>
      </c>
      <c r="D24" t="s">
        <v>20</v>
      </c>
      <c r="E24" t="s">
        <v>152</v>
      </c>
      <c r="F24" t="s">
        <v>28</v>
      </c>
      <c r="G24" t="s">
        <v>19</v>
      </c>
      <c r="H24" t="s">
        <v>21</v>
      </c>
      <c r="I24">
        <v>200000</v>
      </c>
      <c r="J24">
        <v>1</v>
      </c>
      <c r="K24">
        <v>200000</v>
      </c>
      <c r="L24">
        <v>0</v>
      </c>
      <c r="M24">
        <v>0</v>
      </c>
      <c r="N24">
        <v>200000</v>
      </c>
      <c r="O24" s="219">
        <v>46265</v>
      </c>
      <c r="P24" s="219">
        <v>46265</v>
      </c>
      <c r="Q24" t="s">
        <v>472</v>
      </c>
    </row>
    <row r="25" spans="1:18" x14ac:dyDescent="0.25">
      <c r="A25" t="s">
        <v>320</v>
      </c>
      <c r="B25" s="219">
        <v>46040</v>
      </c>
      <c r="C25" t="s">
        <v>289</v>
      </c>
      <c r="D25" t="s">
        <v>326</v>
      </c>
      <c r="E25" t="s">
        <v>27</v>
      </c>
      <c r="F25" t="s">
        <v>28</v>
      </c>
      <c r="G25" t="s">
        <v>19</v>
      </c>
      <c r="H25" t="s">
        <v>21</v>
      </c>
      <c r="I25">
        <v>1269458.03</v>
      </c>
      <c r="J25">
        <v>1</v>
      </c>
      <c r="K25">
        <v>1269458.03</v>
      </c>
      <c r="L25">
        <v>0</v>
      </c>
      <c r="M25">
        <v>0</v>
      </c>
      <c r="N25">
        <v>1269458.03</v>
      </c>
      <c r="O25" s="219">
        <v>46174</v>
      </c>
      <c r="P25" s="219">
        <v>46152</v>
      </c>
      <c r="Q25" t="s">
        <v>38</v>
      </c>
    </row>
    <row r="26" spans="1:18" x14ac:dyDescent="0.25">
      <c r="A26" t="s">
        <v>254</v>
      </c>
      <c r="B26" s="219">
        <v>45967</v>
      </c>
      <c r="C26" t="s">
        <v>253</v>
      </c>
      <c r="D26" t="s">
        <v>275</v>
      </c>
      <c r="E26" t="s">
        <v>151</v>
      </c>
      <c r="F26" t="s">
        <v>22</v>
      </c>
      <c r="G26" t="s">
        <v>19</v>
      </c>
      <c r="H26" t="s">
        <v>21</v>
      </c>
      <c r="I26">
        <v>18703391.850000001</v>
      </c>
      <c r="J26">
        <v>1</v>
      </c>
      <c r="K26">
        <v>18703391.850000001</v>
      </c>
      <c r="L26">
        <v>17787660.100000001</v>
      </c>
      <c r="M26">
        <v>0</v>
      </c>
      <c r="N26">
        <v>915731.75</v>
      </c>
      <c r="O26" s="219">
        <v>46265</v>
      </c>
      <c r="P26" s="219">
        <v>46265</v>
      </c>
      <c r="Q26" t="s">
        <v>23</v>
      </c>
    </row>
    <row r="27" spans="1:18" x14ac:dyDescent="0.25">
      <c r="A27" t="s">
        <v>422</v>
      </c>
      <c r="B27" s="219">
        <v>46124</v>
      </c>
      <c r="C27" t="s">
        <v>253</v>
      </c>
      <c r="D27" t="s">
        <v>453</v>
      </c>
      <c r="E27" t="s">
        <v>151</v>
      </c>
      <c r="F27" t="s">
        <v>22</v>
      </c>
      <c r="G27" t="s">
        <v>19</v>
      </c>
      <c r="H27" t="s">
        <v>21</v>
      </c>
      <c r="I27">
        <v>7446132.75</v>
      </c>
      <c r="J27">
        <v>1</v>
      </c>
      <c r="K27">
        <v>7446132.75</v>
      </c>
      <c r="L27">
        <v>2500000</v>
      </c>
      <c r="M27">
        <v>0</v>
      </c>
      <c r="N27">
        <v>4946132.75</v>
      </c>
      <c r="O27" s="219">
        <v>46295</v>
      </c>
      <c r="P27" s="219">
        <v>46265</v>
      </c>
      <c r="Q27" t="s">
        <v>280</v>
      </c>
    </row>
    <row r="28" spans="1:18" x14ac:dyDescent="0.25">
      <c r="A28" t="s">
        <v>250</v>
      </c>
      <c r="B28" s="219">
        <v>45951</v>
      </c>
      <c r="C28" t="s">
        <v>246</v>
      </c>
      <c r="D28" t="s">
        <v>24</v>
      </c>
      <c r="E28" t="s">
        <v>75</v>
      </c>
      <c r="F28" t="s">
        <v>69</v>
      </c>
      <c r="G28" t="s">
        <v>19</v>
      </c>
      <c r="H28" t="s">
        <v>21</v>
      </c>
      <c r="I28">
        <v>16731764</v>
      </c>
      <c r="J28">
        <v>1</v>
      </c>
      <c r="K28">
        <v>16731764</v>
      </c>
      <c r="L28">
        <v>5732513.5999999996</v>
      </c>
      <c r="M28">
        <v>0</v>
      </c>
      <c r="N28">
        <v>10999250.4</v>
      </c>
      <c r="O28" s="219">
        <v>46199</v>
      </c>
      <c r="P28" s="219">
        <v>46199</v>
      </c>
      <c r="Q28" t="s">
        <v>260</v>
      </c>
    </row>
    <row r="29" spans="1:18" x14ac:dyDescent="0.25">
      <c r="A29" t="s">
        <v>511</v>
      </c>
      <c r="B29" s="219">
        <v>46177</v>
      </c>
      <c r="C29" t="s">
        <v>484</v>
      </c>
      <c r="D29" t="s">
        <v>20</v>
      </c>
      <c r="E29" t="s">
        <v>152</v>
      </c>
      <c r="F29" t="s">
        <v>28</v>
      </c>
      <c r="G29" t="s">
        <v>19</v>
      </c>
      <c r="H29" t="s">
        <v>21</v>
      </c>
      <c r="I29">
        <v>200000</v>
      </c>
      <c r="J29">
        <v>1</v>
      </c>
      <c r="K29">
        <v>200000</v>
      </c>
      <c r="L29">
        <v>0</v>
      </c>
      <c r="M29">
        <v>0</v>
      </c>
      <c r="N29">
        <v>200000</v>
      </c>
      <c r="O29" s="219">
        <v>46265</v>
      </c>
      <c r="P29" s="219">
        <v>46265</v>
      </c>
      <c r="Q29" t="s">
        <v>472</v>
      </c>
    </row>
    <row r="30" spans="1:18" x14ac:dyDescent="0.25">
      <c r="A30" t="s">
        <v>228</v>
      </c>
      <c r="B30" s="219">
        <v>45914</v>
      </c>
      <c r="C30" t="s">
        <v>225</v>
      </c>
      <c r="D30" t="s">
        <v>20</v>
      </c>
      <c r="E30" t="s">
        <v>152</v>
      </c>
      <c r="F30" t="s">
        <v>28</v>
      </c>
      <c r="G30" t="s">
        <v>19</v>
      </c>
      <c r="H30" t="s">
        <v>21</v>
      </c>
      <c r="I30">
        <v>1500000</v>
      </c>
      <c r="J30">
        <v>1</v>
      </c>
      <c r="K30">
        <v>1500000</v>
      </c>
      <c r="L30">
        <v>1071489.43</v>
      </c>
      <c r="M30">
        <v>427806.8</v>
      </c>
      <c r="N30">
        <v>703.77</v>
      </c>
      <c r="O30" s="219">
        <v>46203</v>
      </c>
      <c r="P30" s="219">
        <v>46203</v>
      </c>
      <c r="Q30" t="s">
        <v>142</v>
      </c>
      <c r="R30" t="s">
        <v>462</v>
      </c>
    </row>
    <row r="31" spans="1:18" x14ac:dyDescent="0.25">
      <c r="A31" t="s">
        <v>207</v>
      </c>
      <c r="B31" s="219">
        <v>45874</v>
      </c>
      <c r="C31" t="s">
        <v>201</v>
      </c>
      <c r="D31" t="s">
        <v>20</v>
      </c>
      <c r="E31" t="s">
        <v>27</v>
      </c>
      <c r="F31" t="s">
        <v>28</v>
      </c>
      <c r="G31" t="s">
        <v>19</v>
      </c>
      <c r="H31" t="s">
        <v>21</v>
      </c>
      <c r="I31">
        <v>500000</v>
      </c>
      <c r="J31">
        <v>1</v>
      </c>
      <c r="K31">
        <v>500000</v>
      </c>
      <c r="L31">
        <v>98871.6</v>
      </c>
      <c r="M31">
        <v>0</v>
      </c>
      <c r="N31">
        <v>401128.4</v>
      </c>
      <c r="O31" s="219">
        <v>46203</v>
      </c>
      <c r="P31" s="219">
        <v>46203</v>
      </c>
      <c r="Q31" t="s">
        <v>198</v>
      </c>
    </row>
    <row r="32" spans="1:18" x14ac:dyDescent="0.25">
      <c r="A32" t="s">
        <v>241</v>
      </c>
      <c r="B32" s="219">
        <v>45929</v>
      </c>
      <c r="C32" t="s">
        <v>192</v>
      </c>
      <c r="D32" t="s">
        <v>20</v>
      </c>
      <c r="E32" t="s">
        <v>152</v>
      </c>
      <c r="F32" t="s">
        <v>28</v>
      </c>
      <c r="G32" t="s">
        <v>19</v>
      </c>
      <c r="H32" t="s">
        <v>21</v>
      </c>
      <c r="I32">
        <v>400000</v>
      </c>
      <c r="J32">
        <v>1</v>
      </c>
      <c r="K32">
        <v>400000</v>
      </c>
      <c r="L32">
        <v>347240.48</v>
      </c>
      <c r="M32">
        <v>52759.519999999997</v>
      </c>
      <c r="N32">
        <v>0</v>
      </c>
      <c r="O32" s="219">
        <v>46142</v>
      </c>
      <c r="P32" s="219">
        <v>46142</v>
      </c>
      <c r="Q32" t="s">
        <v>142</v>
      </c>
      <c r="R32" t="s">
        <v>439</v>
      </c>
    </row>
    <row r="33" spans="1:18" x14ac:dyDescent="0.25">
      <c r="A33" t="s">
        <v>466</v>
      </c>
      <c r="B33" s="219">
        <v>46149</v>
      </c>
      <c r="C33" t="s">
        <v>451</v>
      </c>
      <c r="D33" t="s">
        <v>24</v>
      </c>
      <c r="E33" t="s">
        <v>75</v>
      </c>
      <c r="F33" t="s">
        <v>69</v>
      </c>
      <c r="G33" t="s">
        <v>19</v>
      </c>
      <c r="H33" t="s">
        <v>21</v>
      </c>
      <c r="I33">
        <v>600000</v>
      </c>
      <c r="J33">
        <v>1</v>
      </c>
      <c r="K33">
        <v>600000</v>
      </c>
      <c r="L33">
        <v>0</v>
      </c>
      <c r="M33">
        <v>0</v>
      </c>
      <c r="N33">
        <v>600000</v>
      </c>
      <c r="O33" s="219">
        <v>46234</v>
      </c>
      <c r="P33" s="219">
        <v>46234</v>
      </c>
      <c r="Q33" t="s">
        <v>452</v>
      </c>
    </row>
    <row r="34" spans="1:18" x14ac:dyDescent="0.25">
      <c r="A34" t="s">
        <v>432</v>
      </c>
      <c r="B34" s="219">
        <v>46127</v>
      </c>
      <c r="C34" t="s">
        <v>429</v>
      </c>
      <c r="D34" t="s">
        <v>183</v>
      </c>
      <c r="E34" t="s">
        <v>105</v>
      </c>
      <c r="F34" t="s">
        <v>18</v>
      </c>
      <c r="G34" t="s">
        <v>19</v>
      </c>
      <c r="H34" t="s">
        <v>21</v>
      </c>
      <c r="I34">
        <v>5693645.4199999999</v>
      </c>
      <c r="J34">
        <v>1</v>
      </c>
      <c r="K34">
        <v>5693645.4199999999</v>
      </c>
      <c r="L34">
        <v>0</v>
      </c>
      <c r="M34">
        <v>0</v>
      </c>
      <c r="N34">
        <v>5693645.4199999999</v>
      </c>
      <c r="O34" s="219">
        <v>46193</v>
      </c>
      <c r="P34" s="219">
        <v>46193</v>
      </c>
      <c r="Q34" t="s">
        <v>30</v>
      </c>
    </row>
    <row r="35" spans="1:18" x14ac:dyDescent="0.25">
      <c r="A35" t="s">
        <v>247</v>
      </c>
      <c r="B35" s="219">
        <v>45946</v>
      </c>
      <c r="C35" t="s">
        <v>242</v>
      </c>
      <c r="D35" t="s">
        <v>20</v>
      </c>
      <c r="E35" t="s">
        <v>152</v>
      </c>
      <c r="F35" t="s">
        <v>28</v>
      </c>
      <c r="G35" t="s">
        <v>19</v>
      </c>
      <c r="H35" t="s">
        <v>21</v>
      </c>
      <c r="I35">
        <v>558949</v>
      </c>
      <c r="J35">
        <v>1</v>
      </c>
      <c r="K35">
        <v>558949</v>
      </c>
      <c r="L35">
        <v>300966.99</v>
      </c>
      <c r="M35">
        <v>106205.87</v>
      </c>
      <c r="N35">
        <v>151776.14000000001</v>
      </c>
      <c r="O35" s="219">
        <v>46203</v>
      </c>
      <c r="P35" s="219">
        <v>46203</v>
      </c>
      <c r="Q35" t="s">
        <v>142</v>
      </c>
      <c r="R35" t="s">
        <v>426</v>
      </c>
    </row>
    <row r="36" spans="1:18" x14ac:dyDescent="0.25">
      <c r="A36" t="s">
        <v>543</v>
      </c>
      <c r="B36" s="219">
        <v>46184</v>
      </c>
      <c r="C36" t="s">
        <v>449</v>
      </c>
      <c r="D36" t="s">
        <v>450</v>
      </c>
      <c r="E36" t="s">
        <v>151</v>
      </c>
      <c r="F36" t="s">
        <v>22</v>
      </c>
      <c r="G36" t="s">
        <v>19</v>
      </c>
      <c r="H36" t="s">
        <v>33</v>
      </c>
      <c r="I36">
        <v>6040641.79</v>
      </c>
      <c r="J36">
        <v>4.3899999999999997</v>
      </c>
      <c r="K36">
        <v>26518417.458099999</v>
      </c>
      <c r="L36">
        <v>0</v>
      </c>
      <c r="M36">
        <v>0</v>
      </c>
      <c r="N36">
        <v>26518417.460000001</v>
      </c>
      <c r="O36" s="219">
        <v>46387</v>
      </c>
      <c r="P36" s="219">
        <v>46387</v>
      </c>
      <c r="Q36" t="s">
        <v>23</v>
      </c>
    </row>
    <row r="37" spans="1:18" x14ac:dyDescent="0.25">
      <c r="A37" t="s">
        <v>272</v>
      </c>
      <c r="B37" s="219">
        <v>46009</v>
      </c>
      <c r="C37" t="s">
        <v>271</v>
      </c>
      <c r="D37" t="s">
        <v>275</v>
      </c>
      <c r="E37" t="s">
        <v>151</v>
      </c>
      <c r="F37" t="s">
        <v>22</v>
      </c>
      <c r="G37" t="s">
        <v>19</v>
      </c>
      <c r="H37" t="s">
        <v>21</v>
      </c>
      <c r="I37">
        <v>2072033.2</v>
      </c>
      <c r="J37">
        <v>1</v>
      </c>
      <c r="K37">
        <v>2072033.2</v>
      </c>
      <c r="L37">
        <v>463730.6</v>
      </c>
      <c r="M37">
        <v>652505.4</v>
      </c>
      <c r="N37">
        <v>955797.2</v>
      </c>
      <c r="O37" s="219">
        <v>46295</v>
      </c>
      <c r="P37" s="219">
        <v>46295</v>
      </c>
      <c r="Q37" t="s">
        <v>30</v>
      </c>
      <c r="R37" t="s">
        <v>536</v>
      </c>
    </row>
    <row r="38" spans="1:18" x14ac:dyDescent="0.25">
      <c r="A38" t="s">
        <v>264</v>
      </c>
      <c r="B38" s="219">
        <v>45992</v>
      </c>
      <c r="C38" t="s">
        <v>178</v>
      </c>
      <c r="D38" t="s">
        <v>20</v>
      </c>
      <c r="E38" t="s">
        <v>152</v>
      </c>
      <c r="F38" t="s">
        <v>28</v>
      </c>
      <c r="G38" t="s">
        <v>19</v>
      </c>
      <c r="H38" t="s">
        <v>21</v>
      </c>
      <c r="I38">
        <v>628258.81000000006</v>
      </c>
      <c r="J38">
        <v>1</v>
      </c>
      <c r="K38">
        <v>628258.81000000006</v>
      </c>
      <c r="L38">
        <v>0</v>
      </c>
      <c r="M38">
        <v>487718.69</v>
      </c>
      <c r="N38">
        <v>140540.12</v>
      </c>
      <c r="O38" s="219">
        <v>46203</v>
      </c>
      <c r="P38" s="219">
        <v>46203</v>
      </c>
      <c r="Q38" t="s">
        <v>142</v>
      </c>
      <c r="R38" t="s">
        <v>558</v>
      </c>
    </row>
    <row r="39" spans="1:18" x14ac:dyDescent="0.25">
      <c r="A39" t="s">
        <v>433</v>
      </c>
      <c r="B39" s="219">
        <v>46127</v>
      </c>
      <c r="C39" t="s">
        <v>427</v>
      </c>
      <c r="D39" t="s">
        <v>183</v>
      </c>
      <c r="E39" t="s">
        <v>105</v>
      </c>
      <c r="F39" t="s">
        <v>18</v>
      </c>
      <c r="G39" t="s">
        <v>19</v>
      </c>
      <c r="H39" t="s">
        <v>21</v>
      </c>
      <c r="I39">
        <v>5120131</v>
      </c>
      <c r="J39">
        <v>1</v>
      </c>
      <c r="K39">
        <v>5120131</v>
      </c>
      <c r="L39">
        <v>0</v>
      </c>
      <c r="M39">
        <v>0</v>
      </c>
      <c r="N39">
        <v>5120131</v>
      </c>
      <c r="O39" s="219">
        <v>46265</v>
      </c>
      <c r="P39" s="219">
        <v>45955</v>
      </c>
      <c r="Q39" t="s">
        <v>30</v>
      </c>
    </row>
    <row r="40" spans="1:18" x14ac:dyDescent="0.25">
      <c r="A40" t="s">
        <v>512</v>
      </c>
      <c r="B40" s="219">
        <v>46177</v>
      </c>
      <c r="C40" t="s">
        <v>177</v>
      </c>
      <c r="D40" t="s">
        <v>20</v>
      </c>
      <c r="E40" t="s">
        <v>152</v>
      </c>
      <c r="F40" t="s">
        <v>28</v>
      </c>
      <c r="G40" t="s">
        <v>19</v>
      </c>
      <c r="H40" t="s">
        <v>21</v>
      </c>
      <c r="I40">
        <v>500000</v>
      </c>
      <c r="J40">
        <v>1</v>
      </c>
      <c r="K40">
        <v>500000</v>
      </c>
      <c r="L40">
        <v>0</v>
      </c>
      <c r="M40">
        <v>0</v>
      </c>
      <c r="N40">
        <v>500000</v>
      </c>
      <c r="O40" s="219">
        <v>46265</v>
      </c>
      <c r="P40" s="219">
        <v>46265</v>
      </c>
      <c r="Q40" t="s">
        <v>472</v>
      </c>
    </row>
    <row r="41" spans="1:18" x14ac:dyDescent="0.25">
      <c r="A41" t="s">
        <v>35</v>
      </c>
      <c r="B41" s="219">
        <v>45168</v>
      </c>
      <c r="C41" t="s">
        <v>36</v>
      </c>
      <c r="D41" t="s">
        <v>24</v>
      </c>
      <c r="E41" t="s">
        <v>168</v>
      </c>
      <c r="F41" t="s">
        <v>25</v>
      </c>
      <c r="G41" t="s">
        <v>32</v>
      </c>
      <c r="H41" t="s">
        <v>33</v>
      </c>
      <c r="I41">
        <v>50762045.400000006</v>
      </c>
      <c r="J41">
        <v>4.1680000000000001</v>
      </c>
      <c r="K41">
        <v>211576205.22720003</v>
      </c>
      <c r="L41">
        <v>210445911.24020118</v>
      </c>
      <c r="M41">
        <v>0</v>
      </c>
      <c r="N41">
        <v>1130293.99</v>
      </c>
      <c r="O41" s="219">
        <v>46203</v>
      </c>
      <c r="P41" s="219">
        <v>45762</v>
      </c>
      <c r="Q41" t="s">
        <v>37</v>
      </c>
    </row>
    <row r="42" spans="1:18" x14ac:dyDescent="0.25">
      <c r="A42" t="s">
        <v>159</v>
      </c>
      <c r="B42" s="219">
        <v>45727</v>
      </c>
      <c r="C42" t="s">
        <v>310</v>
      </c>
      <c r="D42" t="s">
        <v>219</v>
      </c>
      <c r="E42" t="s">
        <v>151</v>
      </c>
      <c r="F42" t="s">
        <v>22</v>
      </c>
      <c r="G42" t="s">
        <v>19</v>
      </c>
      <c r="H42" t="s">
        <v>33</v>
      </c>
      <c r="I42">
        <v>10500000</v>
      </c>
      <c r="J42">
        <v>4.056</v>
      </c>
      <c r="K42">
        <v>42588000</v>
      </c>
      <c r="L42">
        <v>12335918.542009998</v>
      </c>
      <c r="M42">
        <v>9527337.3100000005</v>
      </c>
      <c r="N42">
        <v>20724744.149999999</v>
      </c>
      <c r="O42" s="219">
        <v>46408</v>
      </c>
      <c r="P42" s="219">
        <v>46365</v>
      </c>
      <c r="Q42" t="s">
        <v>102</v>
      </c>
      <c r="R42" t="s">
        <v>570</v>
      </c>
    </row>
    <row r="43" spans="1:18" x14ac:dyDescent="0.25">
      <c r="A43" t="s">
        <v>360</v>
      </c>
      <c r="B43" s="219">
        <v>46085</v>
      </c>
      <c r="C43" t="s">
        <v>355</v>
      </c>
      <c r="D43" t="s">
        <v>24</v>
      </c>
      <c r="E43" t="s">
        <v>106</v>
      </c>
      <c r="F43" t="s">
        <v>18</v>
      </c>
      <c r="G43" t="s">
        <v>19</v>
      </c>
      <c r="H43" t="s">
        <v>21</v>
      </c>
      <c r="I43">
        <v>2495972.17</v>
      </c>
      <c r="J43">
        <v>1</v>
      </c>
      <c r="K43">
        <v>2495972.17</v>
      </c>
      <c r="L43">
        <v>1548792.03</v>
      </c>
      <c r="M43">
        <v>0</v>
      </c>
      <c r="N43">
        <v>947180.14</v>
      </c>
      <c r="O43" s="219">
        <v>46235</v>
      </c>
      <c r="P43" s="219">
        <v>46235</v>
      </c>
      <c r="Q43" t="s">
        <v>38</v>
      </c>
    </row>
    <row r="44" spans="1:18" x14ac:dyDescent="0.25">
      <c r="A44" t="s">
        <v>373</v>
      </c>
      <c r="B44" s="219">
        <v>45804</v>
      </c>
      <c r="C44" t="s">
        <v>179</v>
      </c>
      <c r="D44" t="s">
        <v>20</v>
      </c>
      <c r="E44" t="s">
        <v>75</v>
      </c>
      <c r="F44" t="s">
        <v>69</v>
      </c>
      <c r="G44" t="s">
        <v>19</v>
      </c>
      <c r="H44" t="s">
        <v>21</v>
      </c>
      <c r="I44">
        <v>312828.75</v>
      </c>
      <c r="J44">
        <v>1</v>
      </c>
      <c r="K44">
        <v>312828.75</v>
      </c>
      <c r="L44">
        <v>262776.15000000002</v>
      </c>
      <c r="M44">
        <v>0</v>
      </c>
      <c r="N44">
        <v>50052.6</v>
      </c>
      <c r="O44" s="219">
        <v>46203</v>
      </c>
      <c r="P44" s="219">
        <v>46203</v>
      </c>
      <c r="Q44" t="s">
        <v>23</v>
      </c>
    </row>
    <row r="45" spans="1:18" x14ac:dyDescent="0.25">
      <c r="A45" t="s">
        <v>423</v>
      </c>
      <c r="B45" s="219">
        <v>46124</v>
      </c>
      <c r="C45" t="s">
        <v>107</v>
      </c>
      <c r="D45" t="s">
        <v>219</v>
      </c>
      <c r="E45" t="s">
        <v>151</v>
      </c>
      <c r="F45" t="s">
        <v>22</v>
      </c>
      <c r="G45" t="s">
        <v>19</v>
      </c>
      <c r="H45" t="s">
        <v>21</v>
      </c>
      <c r="I45">
        <v>2193076</v>
      </c>
      <c r="J45">
        <v>1</v>
      </c>
      <c r="K45">
        <v>2193076</v>
      </c>
      <c r="L45">
        <v>0</v>
      </c>
      <c r="M45">
        <v>2193076</v>
      </c>
      <c r="N45">
        <v>0</v>
      </c>
      <c r="O45" s="219">
        <v>46172</v>
      </c>
      <c r="P45" s="219">
        <v>46172</v>
      </c>
      <c r="Q45" t="s">
        <v>311</v>
      </c>
      <c r="R45" t="s">
        <v>446</v>
      </c>
    </row>
    <row r="46" spans="1:18" x14ac:dyDescent="0.25">
      <c r="A46" t="s">
        <v>403</v>
      </c>
      <c r="B46" s="219">
        <v>46118</v>
      </c>
      <c r="C46" t="s">
        <v>391</v>
      </c>
      <c r="D46" t="s">
        <v>20</v>
      </c>
      <c r="E46" t="s">
        <v>152</v>
      </c>
      <c r="F46" t="s">
        <v>28</v>
      </c>
      <c r="G46" t="s">
        <v>19</v>
      </c>
      <c r="H46" t="s">
        <v>21</v>
      </c>
      <c r="I46">
        <v>1000000</v>
      </c>
      <c r="J46">
        <v>1</v>
      </c>
      <c r="K46">
        <v>1000000</v>
      </c>
      <c r="L46">
        <v>0</v>
      </c>
      <c r="M46">
        <v>0</v>
      </c>
      <c r="N46">
        <v>1000000</v>
      </c>
      <c r="O46" s="219">
        <v>46203</v>
      </c>
      <c r="P46" s="219">
        <v>46203</v>
      </c>
      <c r="Q46" t="s">
        <v>381</v>
      </c>
    </row>
    <row r="47" spans="1:18" x14ac:dyDescent="0.25">
      <c r="A47" t="s">
        <v>145</v>
      </c>
      <c r="B47" s="219">
        <v>45684</v>
      </c>
      <c r="C47" t="s">
        <v>144</v>
      </c>
      <c r="D47" t="s">
        <v>20</v>
      </c>
      <c r="E47" t="s">
        <v>103</v>
      </c>
      <c r="F47" t="s">
        <v>22</v>
      </c>
      <c r="G47" t="s">
        <v>19</v>
      </c>
      <c r="H47" t="s">
        <v>21</v>
      </c>
      <c r="I47">
        <v>900000</v>
      </c>
      <c r="J47">
        <v>1</v>
      </c>
      <c r="K47">
        <v>900000</v>
      </c>
      <c r="L47">
        <v>781791.28</v>
      </c>
      <c r="M47">
        <v>0</v>
      </c>
      <c r="N47">
        <v>118208.72</v>
      </c>
      <c r="O47" s="219">
        <v>46203</v>
      </c>
      <c r="P47" s="219">
        <v>46203</v>
      </c>
      <c r="Q47" t="s">
        <v>23</v>
      </c>
    </row>
    <row r="48" spans="1:18" x14ac:dyDescent="0.25">
      <c r="A48" t="s">
        <v>276</v>
      </c>
      <c r="B48" s="219">
        <v>46016</v>
      </c>
      <c r="C48" t="s">
        <v>310</v>
      </c>
      <c r="D48" t="s">
        <v>183</v>
      </c>
      <c r="E48" t="s">
        <v>17</v>
      </c>
      <c r="F48" t="s">
        <v>18</v>
      </c>
      <c r="G48" t="s">
        <v>19</v>
      </c>
      <c r="H48" t="s">
        <v>33</v>
      </c>
      <c r="I48">
        <v>1687320.39</v>
      </c>
      <c r="J48">
        <v>4.5</v>
      </c>
      <c r="K48">
        <v>7592941.7549999999</v>
      </c>
      <c r="L48">
        <v>703586.90607999999</v>
      </c>
      <c r="M48">
        <v>0</v>
      </c>
      <c r="N48">
        <v>6889354.8499999996</v>
      </c>
      <c r="O48" s="219">
        <v>46381</v>
      </c>
      <c r="P48" s="219">
        <v>46381</v>
      </c>
      <c r="Q48" t="s">
        <v>30</v>
      </c>
    </row>
    <row r="49" spans="1:18" x14ac:dyDescent="0.25">
      <c r="A49" t="s">
        <v>239</v>
      </c>
      <c r="B49" s="219">
        <v>45928</v>
      </c>
      <c r="C49" t="s">
        <v>174</v>
      </c>
      <c r="D49" t="s">
        <v>24</v>
      </c>
      <c r="E49" t="s">
        <v>106</v>
      </c>
      <c r="F49" t="s">
        <v>18</v>
      </c>
      <c r="G49" t="s">
        <v>19</v>
      </c>
      <c r="H49" t="s">
        <v>21</v>
      </c>
      <c r="I49">
        <v>2074312.5</v>
      </c>
      <c r="J49">
        <v>1</v>
      </c>
      <c r="K49">
        <v>2074312.5</v>
      </c>
      <c r="L49">
        <v>1365320.5099999998</v>
      </c>
      <c r="M49">
        <v>0</v>
      </c>
      <c r="N49">
        <v>708991.99</v>
      </c>
      <c r="O49" s="219">
        <v>46201</v>
      </c>
      <c r="P49" s="219">
        <v>46201</v>
      </c>
      <c r="Q49" t="s">
        <v>142</v>
      </c>
    </row>
    <row r="50" spans="1:18" x14ac:dyDescent="0.25">
      <c r="A50" t="s">
        <v>194</v>
      </c>
      <c r="B50" s="219">
        <v>45862</v>
      </c>
      <c r="C50" t="s">
        <v>192</v>
      </c>
      <c r="D50" t="s">
        <v>20</v>
      </c>
      <c r="E50" t="s">
        <v>152</v>
      </c>
      <c r="F50" t="s">
        <v>28</v>
      </c>
      <c r="G50" t="s">
        <v>19</v>
      </c>
      <c r="H50" t="s">
        <v>21</v>
      </c>
      <c r="I50">
        <v>300000.01</v>
      </c>
      <c r="J50">
        <v>1</v>
      </c>
      <c r="K50">
        <v>300000.01</v>
      </c>
      <c r="L50">
        <v>137792.10999999999</v>
      </c>
      <c r="M50">
        <v>0</v>
      </c>
      <c r="N50">
        <v>162207.9</v>
      </c>
      <c r="O50" s="219">
        <v>46203</v>
      </c>
      <c r="P50" s="219">
        <v>46203</v>
      </c>
      <c r="Q50" t="s">
        <v>142</v>
      </c>
    </row>
    <row r="51" spans="1:18" x14ac:dyDescent="0.25">
      <c r="A51" t="s">
        <v>352</v>
      </c>
      <c r="B51" s="219">
        <v>46079</v>
      </c>
      <c r="C51" t="s">
        <v>349</v>
      </c>
      <c r="D51" t="s">
        <v>219</v>
      </c>
      <c r="E51" t="s">
        <v>151</v>
      </c>
      <c r="F51" t="s">
        <v>22</v>
      </c>
      <c r="G51" t="s">
        <v>19</v>
      </c>
      <c r="H51" t="s">
        <v>21</v>
      </c>
      <c r="I51">
        <v>274384</v>
      </c>
      <c r="J51">
        <v>1</v>
      </c>
      <c r="K51">
        <v>274384</v>
      </c>
      <c r="L51">
        <v>0</v>
      </c>
      <c r="M51">
        <v>0</v>
      </c>
      <c r="N51">
        <v>274384</v>
      </c>
      <c r="O51" s="219">
        <v>46174</v>
      </c>
      <c r="P51" s="219">
        <v>46157</v>
      </c>
      <c r="Q51" t="s">
        <v>234</v>
      </c>
    </row>
    <row r="52" spans="1:18" x14ac:dyDescent="0.25">
      <c r="A52" t="s">
        <v>468</v>
      </c>
      <c r="B52" s="219">
        <v>46152</v>
      </c>
      <c r="C52" t="s">
        <v>461</v>
      </c>
      <c r="D52" t="s">
        <v>219</v>
      </c>
      <c r="E52" t="s">
        <v>31</v>
      </c>
      <c r="F52" t="s">
        <v>28</v>
      </c>
      <c r="G52" t="s">
        <v>19</v>
      </c>
      <c r="H52" t="s">
        <v>21</v>
      </c>
      <c r="I52">
        <v>735855</v>
      </c>
      <c r="J52">
        <v>1</v>
      </c>
      <c r="K52">
        <v>735855</v>
      </c>
      <c r="L52">
        <v>0</v>
      </c>
      <c r="M52">
        <v>0</v>
      </c>
      <c r="N52">
        <v>735855</v>
      </c>
      <c r="O52" s="219">
        <v>46203</v>
      </c>
      <c r="P52" s="219">
        <v>46203</v>
      </c>
      <c r="Q52" t="s">
        <v>282</v>
      </c>
    </row>
    <row r="53" spans="1:18" x14ac:dyDescent="0.25">
      <c r="A53" t="s">
        <v>513</v>
      </c>
      <c r="B53" s="219">
        <v>46177</v>
      </c>
      <c r="C53" t="s">
        <v>461</v>
      </c>
      <c r="D53" t="s">
        <v>20</v>
      </c>
      <c r="E53" t="s">
        <v>152</v>
      </c>
      <c r="F53" t="s">
        <v>28</v>
      </c>
      <c r="G53" t="s">
        <v>19</v>
      </c>
      <c r="H53" t="s">
        <v>21</v>
      </c>
      <c r="I53">
        <v>1000000</v>
      </c>
      <c r="J53">
        <v>1</v>
      </c>
      <c r="K53">
        <v>1000000</v>
      </c>
      <c r="L53">
        <v>0</v>
      </c>
      <c r="M53">
        <v>0</v>
      </c>
      <c r="N53">
        <v>1000000</v>
      </c>
      <c r="O53" s="219">
        <v>46265</v>
      </c>
      <c r="P53" s="219">
        <v>46265</v>
      </c>
      <c r="Q53" t="s">
        <v>472</v>
      </c>
    </row>
    <row r="54" spans="1:18" x14ac:dyDescent="0.25">
      <c r="A54" t="s">
        <v>421</v>
      </c>
      <c r="B54" s="219">
        <v>46121</v>
      </c>
      <c r="C54" t="s">
        <v>418</v>
      </c>
      <c r="D54" t="s">
        <v>24</v>
      </c>
      <c r="E54" t="s">
        <v>17</v>
      </c>
      <c r="F54" t="s">
        <v>18</v>
      </c>
      <c r="G54" t="s">
        <v>19</v>
      </c>
      <c r="H54" t="s">
        <v>21</v>
      </c>
      <c r="I54">
        <v>20000000</v>
      </c>
      <c r="J54">
        <v>1</v>
      </c>
      <c r="K54">
        <v>20000000</v>
      </c>
      <c r="L54">
        <v>0</v>
      </c>
      <c r="M54">
        <v>8237108.9800000004</v>
      </c>
      <c r="N54">
        <v>11762891.02</v>
      </c>
      <c r="O54" s="219">
        <v>46326</v>
      </c>
      <c r="P54" s="219">
        <v>46326</v>
      </c>
      <c r="Q54" t="s">
        <v>23</v>
      </c>
      <c r="R54" t="s">
        <v>553</v>
      </c>
    </row>
    <row r="55" spans="1:18" x14ac:dyDescent="0.25">
      <c r="A55" t="s">
        <v>190</v>
      </c>
      <c r="B55" s="219">
        <v>45855</v>
      </c>
      <c r="C55" t="s">
        <v>188</v>
      </c>
      <c r="D55" t="s">
        <v>20</v>
      </c>
      <c r="E55" t="s">
        <v>75</v>
      </c>
      <c r="F55" t="s">
        <v>69</v>
      </c>
      <c r="G55" t="s">
        <v>19</v>
      </c>
      <c r="H55" t="s">
        <v>21</v>
      </c>
      <c r="I55">
        <v>101623.2</v>
      </c>
      <c r="J55">
        <v>1</v>
      </c>
      <c r="K55">
        <v>101623.2</v>
      </c>
      <c r="L55">
        <v>0</v>
      </c>
      <c r="M55">
        <v>0</v>
      </c>
      <c r="N55">
        <v>101623.2</v>
      </c>
      <c r="O55" s="219">
        <v>46203</v>
      </c>
      <c r="P55" s="219">
        <v>46203</v>
      </c>
      <c r="Q55" t="s">
        <v>23</v>
      </c>
    </row>
    <row r="56" spans="1:18" x14ac:dyDescent="0.25">
      <c r="A56" t="s">
        <v>404</v>
      </c>
      <c r="B56" s="219">
        <v>46118</v>
      </c>
      <c r="C56" t="s">
        <v>107</v>
      </c>
      <c r="D56" t="s">
        <v>20</v>
      </c>
      <c r="E56" t="s">
        <v>152</v>
      </c>
      <c r="F56" t="s">
        <v>28</v>
      </c>
      <c r="G56" t="s">
        <v>19</v>
      </c>
      <c r="H56" t="s">
        <v>21</v>
      </c>
      <c r="I56">
        <v>1000000</v>
      </c>
      <c r="J56">
        <v>1</v>
      </c>
      <c r="K56">
        <v>1000000</v>
      </c>
      <c r="L56">
        <v>0</v>
      </c>
      <c r="M56">
        <v>0</v>
      </c>
      <c r="N56">
        <v>1000000</v>
      </c>
      <c r="O56" s="219">
        <v>46203</v>
      </c>
      <c r="P56" s="219">
        <v>46203</v>
      </c>
      <c r="Q56" t="s">
        <v>381</v>
      </c>
    </row>
    <row r="57" spans="1:18" x14ac:dyDescent="0.25">
      <c r="A57" t="s">
        <v>514</v>
      </c>
      <c r="B57" s="219">
        <v>46177</v>
      </c>
      <c r="C57" t="s">
        <v>499</v>
      </c>
      <c r="D57" t="s">
        <v>20</v>
      </c>
      <c r="E57" t="s">
        <v>152</v>
      </c>
      <c r="F57" t="s">
        <v>28</v>
      </c>
      <c r="G57" t="s">
        <v>19</v>
      </c>
      <c r="H57" t="s">
        <v>21</v>
      </c>
      <c r="I57">
        <v>1000000</v>
      </c>
      <c r="J57">
        <v>1</v>
      </c>
      <c r="K57">
        <v>1000000</v>
      </c>
      <c r="L57">
        <v>0</v>
      </c>
      <c r="M57">
        <v>0</v>
      </c>
      <c r="N57">
        <v>1000000</v>
      </c>
      <c r="O57" s="219">
        <v>46265</v>
      </c>
      <c r="P57" s="219">
        <v>46265</v>
      </c>
      <c r="Q57" t="s">
        <v>472</v>
      </c>
    </row>
    <row r="58" spans="1:18" x14ac:dyDescent="0.25">
      <c r="A58" t="s">
        <v>405</v>
      </c>
      <c r="B58" s="219">
        <v>46118</v>
      </c>
      <c r="C58" t="s">
        <v>395</v>
      </c>
      <c r="D58" t="s">
        <v>20</v>
      </c>
      <c r="E58" t="s">
        <v>152</v>
      </c>
      <c r="F58" t="s">
        <v>28</v>
      </c>
      <c r="G58" t="s">
        <v>19</v>
      </c>
      <c r="H58" t="s">
        <v>21</v>
      </c>
      <c r="I58">
        <v>150000</v>
      </c>
      <c r="J58">
        <v>1</v>
      </c>
      <c r="K58">
        <v>150000</v>
      </c>
      <c r="L58">
        <v>0</v>
      </c>
      <c r="M58">
        <v>0</v>
      </c>
      <c r="N58">
        <v>150000</v>
      </c>
      <c r="O58" s="219">
        <v>46203</v>
      </c>
      <c r="P58" s="219">
        <v>46203</v>
      </c>
      <c r="Q58" t="s">
        <v>381</v>
      </c>
    </row>
    <row r="59" spans="1:18" x14ac:dyDescent="0.25">
      <c r="A59" t="s">
        <v>406</v>
      </c>
      <c r="B59" s="219">
        <v>46118</v>
      </c>
      <c r="C59" t="s">
        <v>389</v>
      </c>
      <c r="D59" t="s">
        <v>20</v>
      </c>
      <c r="E59" t="s">
        <v>152</v>
      </c>
      <c r="F59" t="s">
        <v>28</v>
      </c>
      <c r="G59" t="s">
        <v>19</v>
      </c>
      <c r="H59" t="s">
        <v>21</v>
      </c>
      <c r="I59">
        <v>1000000</v>
      </c>
      <c r="J59">
        <v>1</v>
      </c>
      <c r="K59">
        <v>1000000</v>
      </c>
      <c r="L59">
        <v>0</v>
      </c>
      <c r="M59">
        <v>995984.82</v>
      </c>
      <c r="N59">
        <v>4015.18</v>
      </c>
      <c r="O59" s="219">
        <v>46203</v>
      </c>
      <c r="P59" s="219">
        <v>46203</v>
      </c>
      <c r="Q59" t="s">
        <v>381</v>
      </c>
      <c r="R59" t="s">
        <v>542</v>
      </c>
    </row>
    <row r="60" spans="1:18" x14ac:dyDescent="0.25">
      <c r="A60" t="s">
        <v>515</v>
      </c>
      <c r="B60" s="219">
        <v>46177</v>
      </c>
      <c r="C60" t="s">
        <v>261</v>
      </c>
      <c r="D60" t="s">
        <v>20</v>
      </c>
      <c r="E60" t="s">
        <v>152</v>
      </c>
      <c r="F60" t="s">
        <v>28</v>
      </c>
      <c r="G60" t="s">
        <v>19</v>
      </c>
      <c r="H60" t="s">
        <v>21</v>
      </c>
      <c r="I60">
        <v>1000000</v>
      </c>
      <c r="J60">
        <v>1</v>
      </c>
      <c r="K60">
        <v>1000000</v>
      </c>
      <c r="L60">
        <v>0</v>
      </c>
      <c r="M60">
        <v>0</v>
      </c>
      <c r="N60">
        <v>1000000</v>
      </c>
      <c r="O60" s="219">
        <v>46265</v>
      </c>
      <c r="P60" s="219">
        <v>46265</v>
      </c>
      <c r="Q60" t="s">
        <v>472</v>
      </c>
    </row>
    <row r="61" spans="1:18" x14ac:dyDescent="0.25">
      <c r="A61" t="s">
        <v>516</v>
      </c>
      <c r="B61" s="219">
        <v>46177</v>
      </c>
      <c r="C61" t="s">
        <v>489</v>
      </c>
      <c r="D61" t="s">
        <v>20</v>
      </c>
      <c r="E61" t="s">
        <v>152</v>
      </c>
      <c r="F61" t="s">
        <v>28</v>
      </c>
      <c r="G61" t="s">
        <v>19</v>
      </c>
      <c r="H61" t="s">
        <v>21</v>
      </c>
      <c r="I61">
        <v>200000</v>
      </c>
      <c r="J61">
        <v>1</v>
      </c>
      <c r="K61">
        <v>200000</v>
      </c>
      <c r="L61">
        <v>0</v>
      </c>
      <c r="M61">
        <v>0</v>
      </c>
      <c r="N61">
        <v>200000</v>
      </c>
      <c r="O61" s="219">
        <v>46265</v>
      </c>
      <c r="P61" s="219">
        <v>46265</v>
      </c>
      <c r="Q61" t="s">
        <v>472</v>
      </c>
    </row>
    <row r="62" spans="1:18" x14ac:dyDescent="0.25">
      <c r="A62" t="s">
        <v>208</v>
      </c>
      <c r="B62" s="219">
        <v>45875</v>
      </c>
      <c r="C62" t="s">
        <v>204</v>
      </c>
      <c r="D62" t="s">
        <v>20</v>
      </c>
      <c r="E62" t="s">
        <v>27</v>
      </c>
      <c r="F62" t="s">
        <v>28</v>
      </c>
      <c r="G62" t="s">
        <v>19</v>
      </c>
      <c r="H62" t="s">
        <v>21</v>
      </c>
      <c r="I62">
        <v>550000.15</v>
      </c>
      <c r="J62">
        <v>1</v>
      </c>
      <c r="K62">
        <v>550000.15</v>
      </c>
      <c r="L62">
        <v>482497.13</v>
      </c>
      <c r="M62">
        <v>0</v>
      </c>
      <c r="N62">
        <v>67503.02</v>
      </c>
      <c r="O62" s="219">
        <v>46203</v>
      </c>
      <c r="P62" s="219">
        <v>46203</v>
      </c>
      <c r="Q62" t="s">
        <v>205</v>
      </c>
    </row>
    <row r="63" spans="1:18" x14ac:dyDescent="0.25">
      <c r="A63" t="s">
        <v>237</v>
      </c>
      <c r="B63" s="219">
        <v>45924</v>
      </c>
      <c r="C63" t="s">
        <v>227</v>
      </c>
      <c r="D63" t="s">
        <v>24</v>
      </c>
      <c r="E63" t="s">
        <v>106</v>
      </c>
      <c r="F63" t="s">
        <v>18</v>
      </c>
      <c r="G63" t="s">
        <v>19</v>
      </c>
      <c r="H63" t="s">
        <v>21</v>
      </c>
      <c r="I63">
        <v>5308039.3600000003</v>
      </c>
      <c r="J63">
        <v>1</v>
      </c>
      <c r="K63">
        <v>5308039.3600000003</v>
      </c>
      <c r="L63">
        <v>5072714.3</v>
      </c>
      <c r="M63">
        <v>0</v>
      </c>
      <c r="N63">
        <v>235325.06</v>
      </c>
      <c r="O63" s="219">
        <v>46194</v>
      </c>
      <c r="P63" s="219">
        <v>46173</v>
      </c>
      <c r="Q63" t="s">
        <v>234</v>
      </c>
    </row>
    <row r="64" spans="1:18" x14ac:dyDescent="0.25">
      <c r="A64" t="s">
        <v>517</v>
      </c>
      <c r="B64" s="219">
        <v>46177</v>
      </c>
      <c r="C64" t="s">
        <v>486</v>
      </c>
      <c r="D64" t="s">
        <v>20</v>
      </c>
      <c r="E64" t="s">
        <v>152</v>
      </c>
      <c r="F64" t="s">
        <v>28</v>
      </c>
      <c r="G64" t="s">
        <v>19</v>
      </c>
      <c r="H64" t="s">
        <v>21</v>
      </c>
      <c r="I64">
        <v>300000.01</v>
      </c>
      <c r="J64">
        <v>1</v>
      </c>
      <c r="K64">
        <v>300000.01</v>
      </c>
      <c r="L64">
        <v>0</v>
      </c>
      <c r="M64">
        <v>0</v>
      </c>
      <c r="N64">
        <v>300000.01</v>
      </c>
      <c r="O64" s="219">
        <v>46265</v>
      </c>
      <c r="P64" s="219">
        <v>46265</v>
      </c>
      <c r="Q64" t="s">
        <v>472</v>
      </c>
    </row>
    <row r="65" spans="1:18" x14ac:dyDescent="0.25">
      <c r="A65" t="s">
        <v>180</v>
      </c>
      <c r="B65" s="219">
        <v>45804</v>
      </c>
      <c r="C65" t="s">
        <v>175</v>
      </c>
      <c r="D65" t="s">
        <v>20</v>
      </c>
      <c r="E65" t="s">
        <v>17</v>
      </c>
      <c r="F65" t="s">
        <v>18</v>
      </c>
      <c r="G65" t="s">
        <v>19</v>
      </c>
      <c r="H65" t="s">
        <v>21</v>
      </c>
      <c r="I65">
        <v>381276.62</v>
      </c>
      <c r="J65">
        <v>1</v>
      </c>
      <c r="K65">
        <v>381276.62</v>
      </c>
      <c r="L65">
        <v>140641.01</v>
      </c>
      <c r="M65">
        <v>0</v>
      </c>
      <c r="N65">
        <v>240635.61</v>
      </c>
      <c r="O65" s="219">
        <v>46169</v>
      </c>
      <c r="P65" s="219">
        <v>46169</v>
      </c>
      <c r="Q65" t="s">
        <v>142</v>
      </c>
    </row>
    <row r="66" spans="1:18" x14ac:dyDescent="0.25">
      <c r="A66" t="s">
        <v>293</v>
      </c>
      <c r="B66" s="219">
        <v>46023</v>
      </c>
      <c r="C66" t="s">
        <v>279</v>
      </c>
      <c r="D66" t="s">
        <v>24</v>
      </c>
      <c r="E66" t="s">
        <v>75</v>
      </c>
      <c r="F66" t="s">
        <v>69</v>
      </c>
      <c r="G66" t="s">
        <v>19</v>
      </c>
      <c r="H66" t="s">
        <v>21</v>
      </c>
      <c r="I66">
        <v>5802900</v>
      </c>
      <c r="J66">
        <v>1</v>
      </c>
      <c r="K66">
        <v>5802900</v>
      </c>
      <c r="L66">
        <v>495832.85</v>
      </c>
      <c r="M66">
        <v>112200.9</v>
      </c>
      <c r="N66">
        <v>5194866.25</v>
      </c>
      <c r="O66" s="219">
        <v>46387</v>
      </c>
      <c r="P66" s="219">
        <v>46387</v>
      </c>
      <c r="Q66" t="s">
        <v>280</v>
      </c>
      <c r="R66" t="s">
        <v>442</v>
      </c>
    </row>
    <row r="67" spans="1:18" x14ac:dyDescent="0.25">
      <c r="A67" t="s">
        <v>480</v>
      </c>
      <c r="B67" s="219">
        <v>46160</v>
      </c>
      <c r="C67" t="s">
        <v>279</v>
      </c>
      <c r="D67" t="s">
        <v>24</v>
      </c>
      <c r="E67" t="s">
        <v>105</v>
      </c>
      <c r="F67" t="s">
        <v>18</v>
      </c>
      <c r="G67" t="s">
        <v>19</v>
      </c>
      <c r="H67" t="s">
        <v>21</v>
      </c>
      <c r="I67">
        <v>2000000</v>
      </c>
      <c r="J67">
        <v>1</v>
      </c>
      <c r="K67">
        <v>2000000</v>
      </c>
      <c r="L67">
        <v>0</v>
      </c>
      <c r="M67">
        <v>0</v>
      </c>
      <c r="N67">
        <v>2000000</v>
      </c>
      <c r="O67" s="219">
        <v>46265</v>
      </c>
      <c r="P67" s="219">
        <v>46265</v>
      </c>
      <c r="Q67" t="s">
        <v>431</v>
      </c>
    </row>
    <row r="68" spans="1:18" x14ac:dyDescent="0.25">
      <c r="A68" t="s">
        <v>564</v>
      </c>
      <c r="B68" s="219">
        <v>46195</v>
      </c>
      <c r="C68" t="s">
        <v>557</v>
      </c>
      <c r="D68" t="s">
        <v>219</v>
      </c>
      <c r="E68" t="s">
        <v>151</v>
      </c>
      <c r="F68" t="s">
        <v>22</v>
      </c>
      <c r="G68" t="s">
        <v>19</v>
      </c>
      <c r="H68" t="s">
        <v>21</v>
      </c>
      <c r="I68">
        <v>11188186.699999999</v>
      </c>
      <c r="J68">
        <v>1</v>
      </c>
      <c r="K68">
        <v>11188186.699999999</v>
      </c>
      <c r="L68">
        <v>0</v>
      </c>
      <c r="M68">
        <v>0</v>
      </c>
      <c r="N68">
        <v>11188186.699999999</v>
      </c>
      <c r="O68" s="219">
        <v>46244</v>
      </c>
      <c r="P68" s="219">
        <v>46244</v>
      </c>
      <c r="Q68" t="s">
        <v>23</v>
      </c>
    </row>
    <row r="69" spans="1:18" x14ac:dyDescent="0.25">
      <c r="A69" t="s">
        <v>407</v>
      </c>
      <c r="B69" s="219">
        <v>46118</v>
      </c>
      <c r="C69" t="s">
        <v>386</v>
      </c>
      <c r="D69" t="s">
        <v>20</v>
      </c>
      <c r="E69" t="s">
        <v>152</v>
      </c>
      <c r="F69" t="s">
        <v>28</v>
      </c>
      <c r="G69" t="s">
        <v>19</v>
      </c>
      <c r="H69" t="s">
        <v>21</v>
      </c>
      <c r="I69">
        <v>500000</v>
      </c>
      <c r="J69">
        <v>1</v>
      </c>
      <c r="K69">
        <v>500000</v>
      </c>
      <c r="L69">
        <v>0</v>
      </c>
      <c r="M69">
        <v>0</v>
      </c>
      <c r="N69">
        <v>500000</v>
      </c>
      <c r="O69" s="219">
        <v>46203</v>
      </c>
      <c r="P69" s="219">
        <v>46203</v>
      </c>
      <c r="Q69" t="s">
        <v>381</v>
      </c>
    </row>
    <row r="70" spans="1:18" x14ac:dyDescent="0.25">
      <c r="A70" t="s">
        <v>518</v>
      </c>
      <c r="B70" s="219">
        <v>46177</v>
      </c>
      <c r="C70" t="s">
        <v>386</v>
      </c>
      <c r="D70" t="s">
        <v>20</v>
      </c>
      <c r="E70" t="s">
        <v>152</v>
      </c>
      <c r="F70" t="s">
        <v>28</v>
      </c>
      <c r="G70" t="s">
        <v>19</v>
      </c>
      <c r="H70" t="s">
        <v>21</v>
      </c>
      <c r="I70">
        <v>400000</v>
      </c>
      <c r="J70">
        <v>1</v>
      </c>
      <c r="K70">
        <v>400000</v>
      </c>
      <c r="L70">
        <v>0</v>
      </c>
      <c r="M70">
        <v>0</v>
      </c>
      <c r="N70">
        <v>400000</v>
      </c>
      <c r="O70" s="219">
        <v>46265</v>
      </c>
      <c r="P70" s="219">
        <v>46265</v>
      </c>
      <c r="Q70" t="s">
        <v>472</v>
      </c>
    </row>
    <row r="71" spans="1:18" x14ac:dyDescent="0.25">
      <c r="A71" t="s">
        <v>353</v>
      </c>
      <c r="B71" s="219">
        <v>46082</v>
      </c>
      <c r="C71" t="s">
        <v>350</v>
      </c>
      <c r="D71" t="s">
        <v>24</v>
      </c>
      <c r="E71" t="s">
        <v>106</v>
      </c>
      <c r="F71" t="s">
        <v>22</v>
      </c>
      <c r="G71" t="s">
        <v>19</v>
      </c>
      <c r="H71" t="s">
        <v>21</v>
      </c>
      <c r="I71">
        <v>2140124.1600000001</v>
      </c>
      <c r="J71">
        <v>1</v>
      </c>
      <c r="K71">
        <v>2140124.1600000001</v>
      </c>
      <c r="L71">
        <v>1696396.49</v>
      </c>
      <c r="M71">
        <v>0</v>
      </c>
      <c r="N71">
        <v>443727.67</v>
      </c>
      <c r="O71" s="219">
        <v>46235</v>
      </c>
      <c r="P71" s="219">
        <v>46235</v>
      </c>
      <c r="Q71" t="s">
        <v>38</v>
      </c>
    </row>
    <row r="72" spans="1:18" x14ac:dyDescent="0.25">
      <c r="A72" t="s">
        <v>268</v>
      </c>
      <c r="B72" s="219">
        <v>45993</v>
      </c>
      <c r="C72" t="s">
        <v>263</v>
      </c>
      <c r="D72" t="s">
        <v>358</v>
      </c>
      <c r="E72" t="s">
        <v>117</v>
      </c>
      <c r="F72" t="s">
        <v>25</v>
      </c>
      <c r="G72" t="s">
        <v>19</v>
      </c>
      <c r="H72" t="s">
        <v>33</v>
      </c>
      <c r="I72">
        <v>695184.62200000009</v>
      </c>
      <c r="J72">
        <v>4.32</v>
      </c>
      <c r="K72">
        <v>3003197.5670400006</v>
      </c>
      <c r="L72">
        <v>992843.09680000006</v>
      </c>
      <c r="M72">
        <v>0</v>
      </c>
      <c r="N72">
        <v>2010354.47</v>
      </c>
      <c r="O72" s="219">
        <v>46371</v>
      </c>
      <c r="P72" s="219">
        <v>46341</v>
      </c>
      <c r="Q72" t="s">
        <v>153</v>
      </c>
    </row>
    <row r="73" spans="1:18" x14ac:dyDescent="0.25">
      <c r="A73" t="s">
        <v>265</v>
      </c>
      <c r="B73" s="219">
        <v>45992</v>
      </c>
      <c r="C73" t="s">
        <v>263</v>
      </c>
      <c r="D73" t="s">
        <v>358</v>
      </c>
      <c r="E73" t="s">
        <v>117</v>
      </c>
      <c r="F73" t="s">
        <v>25</v>
      </c>
      <c r="G73" t="s">
        <v>19</v>
      </c>
      <c r="H73" t="s">
        <v>173</v>
      </c>
      <c r="I73">
        <v>430873.13500000001</v>
      </c>
      <c r="J73">
        <v>3.75</v>
      </c>
      <c r="K73">
        <v>1615774.2562500001</v>
      </c>
      <c r="L73">
        <v>386882.11667999998</v>
      </c>
      <c r="M73">
        <v>0</v>
      </c>
      <c r="N73">
        <v>1228892.1399999999</v>
      </c>
      <c r="O73" s="219">
        <v>46371</v>
      </c>
      <c r="P73" s="219">
        <v>46341</v>
      </c>
      <c r="Q73" t="s">
        <v>153</v>
      </c>
    </row>
    <row r="74" spans="1:18" x14ac:dyDescent="0.25">
      <c r="A74" t="s">
        <v>408</v>
      </c>
      <c r="B74" s="219">
        <v>46118</v>
      </c>
      <c r="C74" t="s">
        <v>329</v>
      </c>
      <c r="D74" t="s">
        <v>20</v>
      </c>
      <c r="E74" t="s">
        <v>152</v>
      </c>
      <c r="F74" t="s">
        <v>28</v>
      </c>
      <c r="G74" t="s">
        <v>19</v>
      </c>
      <c r="H74" t="s">
        <v>21</v>
      </c>
      <c r="I74">
        <v>150000</v>
      </c>
      <c r="J74">
        <v>1</v>
      </c>
      <c r="K74">
        <v>150000</v>
      </c>
      <c r="L74">
        <v>0</v>
      </c>
      <c r="M74">
        <v>150000</v>
      </c>
      <c r="N74">
        <v>0</v>
      </c>
      <c r="O74" s="219">
        <v>46203</v>
      </c>
      <c r="P74" s="219">
        <v>46203</v>
      </c>
      <c r="Q74" t="s">
        <v>381</v>
      </c>
      <c r="R74" t="s">
        <v>442</v>
      </c>
    </row>
    <row r="75" spans="1:18" x14ac:dyDescent="0.25">
      <c r="A75" t="s">
        <v>519</v>
      </c>
      <c r="B75" s="219">
        <v>46177</v>
      </c>
      <c r="C75" t="s">
        <v>487</v>
      </c>
      <c r="D75" t="s">
        <v>20</v>
      </c>
      <c r="E75" t="s">
        <v>152</v>
      </c>
      <c r="F75" t="s">
        <v>28</v>
      </c>
      <c r="G75" t="s">
        <v>19</v>
      </c>
      <c r="H75" t="s">
        <v>21</v>
      </c>
      <c r="I75">
        <v>300000</v>
      </c>
      <c r="J75">
        <v>1</v>
      </c>
      <c r="K75">
        <v>300000</v>
      </c>
      <c r="L75">
        <v>0</v>
      </c>
      <c r="M75">
        <v>0</v>
      </c>
      <c r="N75">
        <v>300000</v>
      </c>
      <c r="O75" s="219">
        <v>46265</v>
      </c>
      <c r="P75" s="219">
        <v>46265</v>
      </c>
      <c r="Q75" t="s">
        <v>472</v>
      </c>
    </row>
    <row r="76" spans="1:18" x14ac:dyDescent="0.25">
      <c r="A76" t="s">
        <v>376</v>
      </c>
      <c r="B76" s="219">
        <v>46097</v>
      </c>
      <c r="C76" t="s">
        <v>374</v>
      </c>
      <c r="D76" t="s">
        <v>24</v>
      </c>
      <c r="E76" t="s">
        <v>27</v>
      </c>
      <c r="F76" t="s">
        <v>28</v>
      </c>
      <c r="G76" t="s">
        <v>19</v>
      </c>
      <c r="H76" t="s">
        <v>21</v>
      </c>
      <c r="I76">
        <v>10000000</v>
      </c>
      <c r="J76">
        <v>1</v>
      </c>
      <c r="K76">
        <v>10000000</v>
      </c>
      <c r="L76">
        <v>0</v>
      </c>
      <c r="M76">
        <v>10000000</v>
      </c>
      <c r="N76">
        <v>0</v>
      </c>
      <c r="O76" s="219">
        <v>46203</v>
      </c>
      <c r="P76" s="219">
        <v>46203</v>
      </c>
      <c r="Q76" t="s">
        <v>375</v>
      </c>
      <c r="R76" t="s">
        <v>419</v>
      </c>
    </row>
    <row r="77" spans="1:18" x14ac:dyDescent="0.25">
      <c r="A77" t="s">
        <v>420</v>
      </c>
      <c r="B77" s="219">
        <v>46120</v>
      </c>
      <c r="C77" t="s">
        <v>374</v>
      </c>
      <c r="D77" t="s">
        <v>24</v>
      </c>
      <c r="E77" t="s">
        <v>27</v>
      </c>
      <c r="F77" t="s">
        <v>18</v>
      </c>
      <c r="G77" t="s">
        <v>19</v>
      </c>
      <c r="H77" t="s">
        <v>21</v>
      </c>
      <c r="I77">
        <v>21481033</v>
      </c>
      <c r="J77">
        <v>1</v>
      </c>
      <c r="K77">
        <v>21481033</v>
      </c>
      <c r="L77">
        <v>0</v>
      </c>
      <c r="M77">
        <v>21481033</v>
      </c>
      <c r="N77">
        <v>0</v>
      </c>
      <c r="O77" s="219">
        <v>46203</v>
      </c>
      <c r="P77" s="219">
        <v>46203</v>
      </c>
      <c r="Q77" t="s">
        <v>142</v>
      </c>
      <c r="R77" t="s">
        <v>464</v>
      </c>
    </row>
    <row r="78" spans="1:18" x14ac:dyDescent="0.25">
      <c r="A78" t="s">
        <v>434</v>
      </c>
      <c r="B78" s="219">
        <v>46127</v>
      </c>
      <c r="C78" t="s">
        <v>428</v>
      </c>
      <c r="D78" t="s">
        <v>183</v>
      </c>
      <c r="E78" t="s">
        <v>105</v>
      </c>
      <c r="F78" t="s">
        <v>18</v>
      </c>
      <c r="G78" t="s">
        <v>19</v>
      </c>
      <c r="H78" t="s">
        <v>21</v>
      </c>
      <c r="I78">
        <v>15724333.939999999</v>
      </c>
      <c r="J78">
        <v>1</v>
      </c>
      <c r="K78">
        <v>15724333.939999999</v>
      </c>
      <c r="L78">
        <v>0</v>
      </c>
      <c r="M78">
        <v>15724333.939999999</v>
      </c>
      <c r="N78">
        <v>0</v>
      </c>
      <c r="O78" s="219">
        <v>46203</v>
      </c>
      <c r="P78" s="219">
        <v>46193</v>
      </c>
      <c r="Q78" t="s">
        <v>244</v>
      </c>
      <c r="R78" t="s">
        <v>559</v>
      </c>
    </row>
    <row r="79" spans="1:18" x14ac:dyDescent="0.25">
      <c r="A79" t="s">
        <v>327</v>
      </c>
      <c r="B79" s="219">
        <v>46050</v>
      </c>
      <c r="C79" t="s">
        <v>306</v>
      </c>
      <c r="D79" t="s">
        <v>20</v>
      </c>
      <c r="E79" t="s">
        <v>152</v>
      </c>
      <c r="F79" t="s">
        <v>28</v>
      </c>
      <c r="G79" t="s">
        <v>19</v>
      </c>
      <c r="H79" t="s">
        <v>21</v>
      </c>
      <c r="I79">
        <v>397090</v>
      </c>
      <c r="J79">
        <v>1</v>
      </c>
      <c r="K79">
        <v>397090</v>
      </c>
      <c r="L79">
        <v>0</v>
      </c>
      <c r="M79">
        <v>397090</v>
      </c>
      <c r="N79">
        <v>0</v>
      </c>
      <c r="O79" s="219">
        <v>46142</v>
      </c>
      <c r="P79" s="219">
        <v>46142</v>
      </c>
      <c r="Q79" t="s">
        <v>244</v>
      </c>
      <c r="R79" t="s">
        <v>425</v>
      </c>
    </row>
    <row r="80" spans="1:18" x14ac:dyDescent="0.25">
      <c r="A80" t="s">
        <v>308</v>
      </c>
      <c r="B80" s="219">
        <v>46033</v>
      </c>
      <c r="C80" t="s">
        <v>304</v>
      </c>
      <c r="D80" t="s">
        <v>20</v>
      </c>
      <c r="E80" t="s">
        <v>75</v>
      </c>
      <c r="F80" t="s">
        <v>69</v>
      </c>
      <c r="G80" t="s">
        <v>19</v>
      </c>
      <c r="H80" t="s">
        <v>21</v>
      </c>
      <c r="I80">
        <v>739450</v>
      </c>
      <c r="J80">
        <v>1</v>
      </c>
      <c r="K80">
        <v>739450</v>
      </c>
      <c r="L80">
        <v>0</v>
      </c>
      <c r="M80">
        <v>0</v>
      </c>
      <c r="N80">
        <v>739450</v>
      </c>
      <c r="O80" s="219">
        <v>46265</v>
      </c>
      <c r="P80" s="219">
        <v>46265</v>
      </c>
      <c r="Q80" t="s">
        <v>244</v>
      </c>
    </row>
    <row r="81" spans="1:18" x14ac:dyDescent="0.25">
      <c r="A81" t="s">
        <v>469</v>
      </c>
      <c r="B81" s="219">
        <v>46153</v>
      </c>
      <c r="C81" t="s">
        <v>463</v>
      </c>
      <c r="D81" t="s">
        <v>24</v>
      </c>
      <c r="E81" t="s">
        <v>31</v>
      </c>
      <c r="F81" t="s">
        <v>28</v>
      </c>
      <c r="G81" t="s">
        <v>19</v>
      </c>
      <c r="H81" t="s">
        <v>21</v>
      </c>
      <c r="I81">
        <v>1325316</v>
      </c>
      <c r="J81">
        <v>1</v>
      </c>
      <c r="K81">
        <v>1325316</v>
      </c>
      <c r="L81">
        <v>0</v>
      </c>
      <c r="M81">
        <v>0</v>
      </c>
      <c r="N81">
        <v>1325316</v>
      </c>
      <c r="O81" s="219">
        <v>46235</v>
      </c>
      <c r="P81" s="219">
        <v>46235</v>
      </c>
      <c r="Q81" t="s">
        <v>282</v>
      </c>
    </row>
    <row r="82" spans="1:18" x14ac:dyDescent="0.25">
      <c r="A82" t="s">
        <v>294</v>
      </c>
      <c r="B82" s="219">
        <v>46023</v>
      </c>
      <c r="C82" t="s">
        <v>283</v>
      </c>
      <c r="D82" t="s">
        <v>20</v>
      </c>
      <c r="E82" t="s">
        <v>117</v>
      </c>
      <c r="F82" t="s">
        <v>25</v>
      </c>
      <c r="G82" t="s">
        <v>19</v>
      </c>
      <c r="H82" t="s">
        <v>21</v>
      </c>
      <c r="I82">
        <v>500000</v>
      </c>
      <c r="J82">
        <v>1</v>
      </c>
      <c r="K82">
        <v>500000</v>
      </c>
      <c r="L82">
        <v>0</v>
      </c>
      <c r="M82">
        <v>500000</v>
      </c>
      <c r="N82">
        <v>0</v>
      </c>
      <c r="O82" s="219">
        <v>46142</v>
      </c>
      <c r="P82" s="219">
        <v>46142</v>
      </c>
      <c r="Q82" t="s">
        <v>282</v>
      </c>
      <c r="R82" t="s">
        <v>440</v>
      </c>
    </row>
    <row r="83" spans="1:18" x14ac:dyDescent="0.25">
      <c r="A83" t="s">
        <v>202</v>
      </c>
      <c r="B83" s="219">
        <v>45869</v>
      </c>
      <c r="C83" t="s">
        <v>199</v>
      </c>
      <c r="D83" t="s">
        <v>20</v>
      </c>
      <c r="E83" t="s">
        <v>27</v>
      </c>
      <c r="F83" t="s">
        <v>28</v>
      </c>
      <c r="G83" t="s">
        <v>19</v>
      </c>
      <c r="H83" t="s">
        <v>21</v>
      </c>
      <c r="I83">
        <v>1400000</v>
      </c>
      <c r="J83">
        <v>1</v>
      </c>
      <c r="K83">
        <v>1400000</v>
      </c>
      <c r="L83">
        <v>1385426.0200000003</v>
      </c>
      <c r="M83">
        <v>0</v>
      </c>
      <c r="N83">
        <v>14573.98</v>
      </c>
      <c r="O83" s="219">
        <v>46203</v>
      </c>
      <c r="P83" s="219">
        <v>46203</v>
      </c>
      <c r="Q83" t="s">
        <v>197</v>
      </c>
    </row>
    <row r="84" spans="1:18" x14ac:dyDescent="0.25">
      <c r="A84" t="s">
        <v>520</v>
      </c>
      <c r="B84" s="219">
        <v>46177</v>
      </c>
      <c r="C84" t="s">
        <v>500</v>
      </c>
      <c r="D84" t="s">
        <v>20</v>
      </c>
      <c r="E84" t="s">
        <v>152</v>
      </c>
      <c r="F84" t="s">
        <v>28</v>
      </c>
      <c r="G84" t="s">
        <v>19</v>
      </c>
      <c r="H84" t="s">
        <v>21</v>
      </c>
      <c r="I84">
        <v>500000</v>
      </c>
      <c r="J84">
        <v>1</v>
      </c>
      <c r="K84">
        <v>500000</v>
      </c>
      <c r="L84">
        <v>0</v>
      </c>
      <c r="M84">
        <v>0</v>
      </c>
      <c r="N84">
        <v>500000</v>
      </c>
      <c r="O84" s="219">
        <v>46265</v>
      </c>
      <c r="P84" s="219">
        <v>46265</v>
      </c>
      <c r="Q84" t="s">
        <v>472</v>
      </c>
    </row>
    <row r="85" spans="1:18" x14ac:dyDescent="0.25">
      <c r="A85" t="s">
        <v>409</v>
      </c>
      <c r="B85" s="219">
        <v>46118</v>
      </c>
      <c r="C85" t="s">
        <v>390</v>
      </c>
      <c r="D85" t="s">
        <v>20</v>
      </c>
      <c r="E85" t="s">
        <v>152</v>
      </c>
      <c r="F85" t="s">
        <v>28</v>
      </c>
      <c r="G85" t="s">
        <v>19</v>
      </c>
      <c r="H85" t="s">
        <v>21</v>
      </c>
      <c r="I85">
        <v>1000000</v>
      </c>
      <c r="J85">
        <v>1</v>
      </c>
      <c r="K85">
        <v>1000000</v>
      </c>
      <c r="L85">
        <v>0</v>
      </c>
      <c r="M85">
        <v>0</v>
      </c>
      <c r="N85">
        <v>1000000</v>
      </c>
      <c r="O85" s="219">
        <v>46203</v>
      </c>
      <c r="P85" s="219">
        <v>46203</v>
      </c>
      <c r="Q85" t="s">
        <v>381</v>
      </c>
    </row>
    <row r="86" spans="1:18" x14ac:dyDescent="0.25">
      <c r="A86" t="s">
        <v>410</v>
      </c>
      <c r="B86" s="219">
        <v>46118</v>
      </c>
      <c r="C86" t="s">
        <v>387</v>
      </c>
      <c r="D86" t="s">
        <v>20</v>
      </c>
      <c r="E86" t="s">
        <v>152</v>
      </c>
      <c r="F86" t="s">
        <v>28</v>
      </c>
      <c r="G86" t="s">
        <v>19</v>
      </c>
      <c r="H86" t="s">
        <v>21</v>
      </c>
      <c r="I86">
        <v>300000.73</v>
      </c>
      <c r="J86">
        <v>1</v>
      </c>
      <c r="K86">
        <v>300000.73</v>
      </c>
      <c r="L86">
        <v>0</v>
      </c>
      <c r="M86">
        <v>299758.8</v>
      </c>
      <c r="N86">
        <v>241.93</v>
      </c>
      <c r="O86" s="219">
        <v>46203</v>
      </c>
      <c r="P86" s="219">
        <v>46203</v>
      </c>
      <c r="Q86" t="s">
        <v>381</v>
      </c>
      <c r="R86" t="s">
        <v>542</v>
      </c>
    </row>
    <row r="87" spans="1:18" x14ac:dyDescent="0.25">
      <c r="A87" t="s">
        <v>521</v>
      </c>
      <c r="B87" s="219">
        <v>46177</v>
      </c>
      <c r="C87" t="s">
        <v>496</v>
      </c>
      <c r="D87" t="s">
        <v>20</v>
      </c>
      <c r="E87" t="s">
        <v>152</v>
      </c>
      <c r="F87" t="s">
        <v>28</v>
      </c>
      <c r="G87" t="s">
        <v>19</v>
      </c>
      <c r="H87" t="s">
        <v>21</v>
      </c>
      <c r="I87">
        <v>250000</v>
      </c>
      <c r="J87">
        <v>1</v>
      </c>
      <c r="K87">
        <v>250000</v>
      </c>
      <c r="L87">
        <v>0</v>
      </c>
      <c r="M87">
        <v>0</v>
      </c>
      <c r="N87">
        <v>250000</v>
      </c>
      <c r="O87" s="219">
        <v>46265</v>
      </c>
      <c r="P87" s="219">
        <v>46265</v>
      </c>
      <c r="Q87" t="s">
        <v>472</v>
      </c>
    </row>
    <row r="88" spans="1:18" x14ac:dyDescent="0.25">
      <c r="A88" t="s">
        <v>334</v>
      </c>
      <c r="B88" s="219">
        <v>46057</v>
      </c>
      <c r="C88" t="s">
        <v>330</v>
      </c>
      <c r="D88" t="s">
        <v>20</v>
      </c>
      <c r="E88" t="s">
        <v>117</v>
      </c>
      <c r="F88" t="s">
        <v>25</v>
      </c>
      <c r="G88" t="s">
        <v>19</v>
      </c>
      <c r="H88" t="s">
        <v>21</v>
      </c>
      <c r="I88">
        <v>1000000</v>
      </c>
      <c r="J88">
        <v>1</v>
      </c>
      <c r="K88">
        <v>1000000</v>
      </c>
      <c r="L88">
        <v>0</v>
      </c>
      <c r="M88">
        <v>1000000</v>
      </c>
      <c r="N88">
        <v>0</v>
      </c>
      <c r="O88" s="219">
        <v>46142</v>
      </c>
      <c r="P88" s="219">
        <v>46142</v>
      </c>
      <c r="Q88" t="s">
        <v>282</v>
      </c>
      <c r="R88" t="s">
        <v>440</v>
      </c>
    </row>
    <row r="89" spans="1:18" x14ac:dyDescent="0.25">
      <c r="A89" t="s">
        <v>354</v>
      </c>
      <c r="B89" s="219">
        <v>46082</v>
      </c>
      <c r="C89" t="s">
        <v>348</v>
      </c>
      <c r="D89" t="s">
        <v>219</v>
      </c>
      <c r="E89" t="s">
        <v>151</v>
      </c>
      <c r="F89" t="s">
        <v>22</v>
      </c>
      <c r="G89" t="s">
        <v>19</v>
      </c>
      <c r="H89" t="s">
        <v>21</v>
      </c>
      <c r="I89">
        <v>400000</v>
      </c>
      <c r="J89">
        <v>1</v>
      </c>
      <c r="K89">
        <v>400000</v>
      </c>
      <c r="L89">
        <v>0</v>
      </c>
      <c r="M89">
        <v>0</v>
      </c>
      <c r="N89">
        <v>400000</v>
      </c>
      <c r="O89" s="219">
        <v>46204</v>
      </c>
      <c r="P89" s="219">
        <v>46188</v>
      </c>
      <c r="Q89" t="s">
        <v>323</v>
      </c>
    </row>
    <row r="90" spans="1:18" x14ac:dyDescent="0.25">
      <c r="A90" t="s">
        <v>277</v>
      </c>
      <c r="B90" s="219">
        <v>46016</v>
      </c>
      <c r="C90" t="s">
        <v>108</v>
      </c>
      <c r="D90" t="s">
        <v>183</v>
      </c>
      <c r="E90" t="s">
        <v>17</v>
      </c>
      <c r="F90" t="s">
        <v>18</v>
      </c>
      <c r="G90" t="s">
        <v>19</v>
      </c>
      <c r="H90" t="s">
        <v>109</v>
      </c>
      <c r="I90">
        <v>1534181.67</v>
      </c>
      <c r="J90">
        <v>4.6399999999999997</v>
      </c>
      <c r="K90">
        <v>7118602.9487999994</v>
      </c>
      <c r="L90">
        <v>363328.54672888498</v>
      </c>
      <c r="M90">
        <v>0</v>
      </c>
      <c r="N90">
        <v>6755274.4000000004</v>
      </c>
      <c r="O90" s="219">
        <v>46295</v>
      </c>
      <c r="P90" s="219">
        <v>46295</v>
      </c>
      <c r="Q90" t="s">
        <v>23</v>
      </c>
    </row>
    <row r="91" spans="1:18" x14ac:dyDescent="0.25">
      <c r="A91" t="s">
        <v>269</v>
      </c>
      <c r="B91" s="219">
        <v>45995</v>
      </c>
      <c r="C91" t="s">
        <v>108</v>
      </c>
      <c r="D91" t="s">
        <v>183</v>
      </c>
      <c r="E91" t="s">
        <v>17</v>
      </c>
      <c r="F91" t="s">
        <v>18</v>
      </c>
      <c r="G91" t="s">
        <v>19</v>
      </c>
      <c r="H91" t="s">
        <v>109</v>
      </c>
      <c r="I91">
        <v>72830.59</v>
      </c>
      <c r="J91">
        <v>4.6399999999999997</v>
      </c>
      <c r="K91">
        <v>337933.93759999995</v>
      </c>
      <c r="L91">
        <v>0</v>
      </c>
      <c r="M91">
        <v>0</v>
      </c>
      <c r="N91">
        <v>337933.94</v>
      </c>
      <c r="O91" s="219">
        <v>46295</v>
      </c>
      <c r="P91" s="219">
        <v>46295</v>
      </c>
      <c r="Q91" t="s">
        <v>153</v>
      </c>
    </row>
    <row r="92" spans="1:18" x14ac:dyDescent="0.25">
      <c r="A92" t="s">
        <v>522</v>
      </c>
      <c r="B92" s="219">
        <v>46177</v>
      </c>
      <c r="C92" t="s">
        <v>488</v>
      </c>
      <c r="D92" t="s">
        <v>20</v>
      </c>
      <c r="E92" t="s">
        <v>152</v>
      </c>
      <c r="F92" t="s">
        <v>28</v>
      </c>
      <c r="G92" t="s">
        <v>19</v>
      </c>
      <c r="H92" t="s">
        <v>21</v>
      </c>
      <c r="I92">
        <v>300000</v>
      </c>
      <c r="J92">
        <v>1</v>
      </c>
      <c r="K92">
        <v>300000</v>
      </c>
      <c r="L92">
        <v>0</v>
      </c>
      <c r="M92">
        <v>0</v>
      </c>
      <c r="N92">
        <v>300000</v>
      </c>
      <c r="O92" s="219">
        <v>46265</v>
      </c>
      <c r="P92" s="219">
        <v>46265</v>
      </c>
      <c r="Q92" t="s">
        <v>472</v>
      </c>
    </row>
    <row r="93" spans="1:18" x14ac:dyDescent="0.25">
      <c r="A93" t="s">
        <v>467</v>
      </c>
      <c r="B93" s="219">
        <v>46149</v>
      </c>
      <c r="C93" t="s">
        <v>460</v>
      </c>
      <c r="D93" t="s">
        <v>24</v>
      </c>
      <c r="E93" t="s">
        <v>151</v>
      </c>
      <c r="F93" t="s">
        <v>22</v>
      </c>
      <c r="G93" t="s">
        <v>19</v>
      </c>
      <c r="H93" t="s">
        <v>21</v>
      </c>
      <c r="I93">
        <v>2896770</v>
      </c>
      <c r="J93">
        <v>1</v>
      </c>
      <c r="K93">
        <v>2896770</v>
      </c>
      <c r="L93">
        <v>0</v>
      </c>
      <c r="M93">
        <v>386858.95</v>
      </c>
      <c r="N93">
        <v>2509911.0499999998</v>
      </c>
      <c r="O93" s="219">
        <v>46265</v>
      </c>
      <c r="P93" s="219">
        <v>46265</v>
      </c>
      <c r="Q93" t="s">
        <v>23</v>
      </c>
      <c r="R93" t="s">
        <v>571</v>
      </c>
    </row>
    <row r="94" spans="1:18" x14ac:dyDescent="0.25">
      <c r="A94" t="s">
        <v>523</v>
      </c>
      <c r="B94" s="219">
        <v>46177</v>
      </c>
      <c r="C94" t="s">
        <v>501</v>
      </c>
      <c r="D94" t="s">
        <v>20</v>
      </c>
      <c r="E94" t="s">
        <v>152</v>
      </c>
      <c r="F94" t="s">
        <v>28</v>
      </c>
      <c r="G94" t="s">
        <v>19</v>
      </c>
      <c r="H94" t="s">
        <v>21</v>
      </c>
      <c r="I94">
        <v>200000</v>
      </c>
      <c r="J94">
        <v>1</v>
      </c>
      <c r="K94">
        <v>200000</v>
      </c>
      <c r="L94">
        <v>0</v>
      </c>
      <c r="M94">
        <v>0</v>
      </c>
      <c r="N94">
        <v>200000</v>
      </c>
      <c r="O94" s="219">
        <v>46265</v>
      </c>
      <c r="P94" s="219">
        <v>46265</v>
      </c>
      <c r="Q94" t="s">
        <v>472</v>
      </c>
    </row>
    <row r="95" spans="1:18" x14ac:dyDescent="0.25">
      <c r="A95" t="s">
        <v>539</v>
      </c>
      <c r="B95" s="219">
        <v>46180</v>
      </c>
      <c r="C95" t="s">
        <v>483</v>
      </c>
      <c r="D95" t="s">
        <v>219</v>
      </c>
      <c r="E95" t="s">
        <v>151</v>
      </c>
      <c r="F95" t="s">
        <v>22</v>
      </c>
      <c r="G95" t="s">
        <v>19</v>
      </c>
      <c r="H95" t="s">
        <v>21</v>
      </c>
      <c r="I95">
        <v>5000000</v>
      </c>
      <c r="J95">
        <v>1</v>
      </c>
      <c r="K95">
        <v>5000000</v>
      </c>
      <c r="L95">
        <v>0</v>
      </c>
      <c r="M95">
        <v>0</v>
      </c>
      <c r="N95">
        <v>5000000</v>
      </c>
      <c r="O95" s="219">
        <v>46303</v>
      </c>
      <c r="P95" s="219">
        <v>46303</v>
      </c>
      <c r="Q95" t="s">
        <v>280</v>
      </c>
    </row>
    <row r="96" spans="1:18" x14ac:dyDescent="0.25">
      <c r="A96" t="s">
        <v>316</v>
      </c>
      <c r="B96" s="219">
        <v>46036</v>
      </c>
      <c r="C96" t="s">
        <v>301</v>
      </c>
      <c r="D96" t="s">
        <v>20</v>
      </c>
      <c r="E96" t="s">
        <v>152</v>
      </c>
      <c r="F96" t="s">
        <v>28</v>
      </c>
      <c r="G96" t="s">
        <v>19</v>
      </c>
      <c r="H96" t="s">
        <v>21</v>
      </c>
      <c r="I96">
        <v>500000</v>
      </c>
      <c r="J96">
        <v>1</v>
      </c>
      <c r="K96">
        <v>500000</v>
      </c>
      <c r="L96">
        <v>0</v>
      </c>
      <c r="M96">
        <v>500000</v>
      </c>
      <c r="N96">
        <v>0</v>
      </c>
      <c r="O96" s="219">
        <v>46203</v>
      </c>
      <c r="P96" s="219">
        <v>46203</v>
      </c>
      <c r="Q96" t="s">
        <v>244</v>
      </c>
      <c r="R96" t="s">
        <v>542</v>
      </c>
    </row>
    <row r="97" spans="1:18" x14ac:dyDescent="0.25">
      <c r="A97" t="s">
        <v>411</v>
      </c>
      <c r="B97" s="219">
        <v>46118</v>
      </c>
      <c r="C97" t="s">
        <v>301</v>
      </c>
      <c r="D97" t="s">
        <v>20</v>
      </c>
      <c r="E97" t="s">
        <v>152</v>
      </c>
      <c r="F97" t="s">
        <v>28</v>
      </c>
      <c r="G97" t="s">
        <v>19</v>
      </c>
      <c r="H97" t="s">
        <v>21</v>
      </c>
      <c r="I97">
        <v>200000</v>
      </c>
      <c r="J97">
        <v>1</v>
      </c>
      <c r="K97">
        <v>200000</v>
      </c>
      <c r="L97">
        <v>0</v>
      </c>
      <c r="M97">
        <v>200000</v>
      </c>
      <c r="N97">
        <v>0</v>
      </c>
      <c r="O97" s="219">
        <v>46203</v>
      </c>
      <c r="P97" s="219">
        <v>46203</v>
      </c>
      <c r="Q97" t="s">
        <v>381</v>
      </c>
      <c r="R97" t="s">
        <v>560</v>
      </c>
    </row>
    <row r="98" spans="1:18" x14ac:dyDescent="0.25">
      <c r="A98" t="s">
        <v>524</v>
      </c>
      <c r="B98" s="219">
        <v>46177</v>
      </c>
      <c r="C98" t="s">
        <v>301</v>
      </c>
      <c r="D98" t="s">
        <v>20</v>
      </c>
      <c r="E98" t="s">
        <v>152</v>
      </c>
      <c r="F98" t="s">
        <v>28</v>
      </c>
      <c r="G98" t="s">
        <v>19</v>
      </c>
      <c r="H98" t="s">
        <v>21</v>
      </c>
      <c r="I98">
        <v>300000</v>
      </c>
      <c r="J98">
        <v>1</v>
      </c>
      <c r="K98">
        <v>300000</v>
      </c>
      <c r="L98">
        <v>0</v>
      </c>
      <c r="M98">
        <v>0</v>
      </c>
      <c r="N98">
        <v>300000</v>
      </c>
      <c r="O98" s="219">
        <v>46265</v>
      </c>
      <c r="P98" s="219">
        <v>46265</v>
      </c>
      <c r="Q98" t="s">
        <v>472</v>
      </c>
    </row>
    <row r="99" spans="1:18" x14ac:dyDescent="0.25">
      <c r="A99" t="s">
        <v>318</v>
      </c>
      <c r="B99" s="219">
        <v>46037</v>
      </c>
      <c r="C99" t="s">
        <v>300</v>
      </c>
      <c r="D99" t="s">
        <v>20</v>
      </c>
      <c r="E99" t="s">
        <v>152</v>
      </c>
      <c r="F99" t="s">
        <v>28</v>
      </c>
      <c r="G99" t="s">
        <v>19</v>
      </c>
      <c r="H99" t="s">
        <v>21</v>
      </c>
      <c r="I99">
        <v>500000</v>
      </c>
      <c r="J99">
        <v>1</v>
      </c>
      <c r="K99">
        <v>500000</v>
      </c>
      <c r="L99">
        <v>0</v>
      </c>
      <c r="M99">
        <v>0</v>
      </c>
      <c r="N99">
        <v>500000</v>
      </c>
      <c r="O99" s="219">
        <v>46203</v>
      </c>
      <c r="P99" s="219">
        <v>46203</v>
      </c>
      <c r="Q99" t="s">
        <v>244</v>
      </c>
    </row>
    <row r="100" spans="1:18" x14ac:dyDescent="0.25">
      <c r="A100" t="s">
        <v>278</v>
      </c>
      <c r="B100" s="219">
        <v>46019</v>
      </c>
      <c r="C100" t="s">
        <v>191</v>
      </c>
      <c r="D100" t="s">
        <v>20</v>
      </c>
      <c r="E100" t="s">
        <v>152</v>
      </c>
      <c r="F100" t="s">
        <v>28</v>
      </c>
      <c r="G100" t="s">
        <v>19</v>
      </c>
      <c r="H100" t="s">
        <v>21</v>
      </c>
      <c r="I100">
        <v>8790001.0999999996</v>
      </c>
      <c r="J100">
        <v>1</v>
      </c>
      <c r="K100">
        <v>8790001.0999999996</v>
      </c>
      <c r="L100">
        <v>650518.46</v>
      </c>
      <c r="M100">
        <v>0</v>
      </c>
      <c r="N100">
        <v>8139482.6399999997</v>
      </c>
      <c r="O100" s="219">
        <v>46203</v>
      </c>
      <c r="P100" s="219">
        <v>46203</v>
      </c>
      <c r="Q100" t="s">
        <v>142</v>
      </c>
    </row>
    <row r="101" spans="1:18" x14ac:dyDescent="0.25">
      <c r="A101" t="s">
        <v>245</v>
      </c>
      <c r="B101" s="219">
        <v>45904</v>
      </c>
      <c r="C101" t="s">
        <v>206</v>
      </c>
      <c r="D101" t="s">
        <v>24</v>
      </c>
      <c r="E101" t="s">
        <v>117</v>
      </c>
      <c r="F101" t="s">
        <v>25</v>
      </c>
      <c r="G101" t="s">
        <v>19</v>
      </c>
      <c r="H101" t="s">
        <v>21</v>
      </c>
      <c r="I101">
        <v>25907203.759999998</v>
      </c>
      <c r="J101">
        <v>1</v>
      </c>
      <c r="K101">
        <v>25907203.759999998</v>
      </c>
      <c r="L101">
        <v>16605181.220000001</v>
      </c>
      <c r="M101">
        <v>752616.68</v>
      </c>
      <c r="N101">
        <v>8549405.8599999994</v>
      </c>
      <c r="O101" s="219">
        <v>46310</v>
      </c>
      <c r="P101" s="219">
        <v>46289</v>
      </c>
      <c r="Q101" t="s">
        <v>38</v>
      </c>
      <c r="R101" t="s">
        <v>572</v>
      </c>
    </row>
    <row r="102" spans="1:18" x14ac:dyDescent="0.25">
      <c r="A102" t="s">
        <v>257</v>
      </c>
      <c r="B102" s="219">
        <v>45904</v>
      </c>
      <c r="C102" t="s">
        <v>206</v>
      </c>
      <c r="D102" t="s">
        <v>24</v>
      </c>
      <c r="E102" t="s">
        <v>117</v>
      </c>
      <c r="F102" t="s">
        <v>25</v>
      </c>
      <c r="G102" t="s">
        <v>32</v>
      </c>
      <c r="H102" t="s">
        <v>21</v>
      </c>
      <c r="I102">
        <v>4092796.2399999998</v>
      </c>
      <c r="J102">
        <v>1</v>
      </c>
      <c r="K102">
        <v>4092796.2399999998</v>
      </c>
      <c r="L102">
        <v>4079312.29</v>
      </c>
      <c r="M102">
        <v>0</v>
      </c>
      <c r="N102">
        <v>13483.95</v>
      </c>
      <c r="O102" s="219">
        <v>46310</v>
      </c>
      <c r="P102" s="219">
        <v>46289</v>
      </c>
      <c r="Q102" t="s">
        <v>38</v>
      </c>
    </row>
    <row r="103" spans="1:18" x14ac:dyDescent="0.25">
      <c r="A103" t="s">
        <v>379</v>
      </c>
      <c r="B103" s="219">
        <v>46105</v>
      </c>
      <c r="C103" t="s">
        <v>206</v>
      </c>
      <c r="D103" t="s">
        <v>24</v>
      </c>
      <c r="E103" t="s">
        <v>117</v>
      </c>
      <c r="F103" t="s">
        <v>25</v>
      </c>
      <c r="G103" t="s">
        <v>19</v>
      </c>
      <c r="H103" t="s">
        <v>21</v>
      </c>
      <c r="I103">
        <v>17932603.559999999</v>
      </c>
      <c r="J103">
        <v>1</v>
      </c>
      <c r="K103">
        <v>17932603.559999999</v>
      </c>
      <c r="L103">
        <v>4576500</v>
      </c>
      <c r="M103">
        <v>735540</v>
      </c>
      <c r="N103">
        <v>12620563.560000001</v>
      </c>
      <c r="O103" s="219">
        <v>46264</v>
      </c>
      <c r="P103" s="219">
        <v>46243</v>
      </c>
      <c r="Q103" t="s">
        <v>368</v>
      </c>
      <c r="R103" t="s">
        <v>425</v>
      </c>
    </row>
    <row r="104" spans="1:18" x14ac:dyDescent="0.25">
      <c r="A104" t="s">
        <v>193</v>
      </c>
      <c r="B104" s="219">
        <v>45862</v>
      </c>
      <c r="C104" t="s">
        <v>189</v>
      </c>
      <c r="D104" t="s">
        <v>24</v>
      </c>
      <c r="E104" t="s">
        <v>75</v>
      </c>
      <c r="F104" t="s">
        <v>69</v>
      </c>
      <c r="G104" t="s">
        <v>19</v>
      </c>
      <c r="H104" t="s">
        <v>21</v>
      </c>
      <c r="I104">
        <v>12956001.199999999</v>
      </c>
      <c r="J104">
        <v>1</v>
      </c>
      <c r="K104">
        <v>12956001.199999999</v>
      </c>
      <c r="L104">
        <v>1509410.02</v>
      </c>
      <c r="M104">
        <v>0</v>
      </c>
      <c r="N104">
        <v>11446591.18</v>
      </c>
      <c r="O104" s="219">
        <v>46203</v>
      </c>
      <c r="P104" s="219">
        <v>46203</v>
      </c>
      <c r="Q104" t="s">
        <v>30</v>
      </c>
    </row>
    <row r="105" spans="1:18" x14ac:dyDescent="0.25">
      <c r="A105" t="s">
        <v>319</v>
      </c>
      <c r="B105" s="219">
        <v>46037</v>
      </c>
      <c r="C105" t="s">
        <v>299</v>
      </c>
      <c r="D105" t="s">
        <v>20</v>
      </c>
      <c r="E105" t="s">
        <v>152</v>
      </c>
      <c r="F105" t="s">
        <v>28</v>
      </c>
      <c r="G105" t="s">
        <v>19</v>
      </c>
      <c r="H105" t="s">
        <v>21</v>
      </c>
      <c r="I105">
        <v>900000</v>
      </c>
      <c r="J105">
        <v>1</v>
      </c>
      <c r="K105">
        <v>900000</v>
      </c>
      <c r="L105">
        <v>0</v>
      </c>
      <c r="M105">
        <v>900000</v>
      </c>
      <c r="N105">
        <v>0</v>
      </c>
      <c r="O105" s="219">
        <v>46203</v>
      </c>
      <c r="P105" s="219">
        <v>46203</v>
      </c>
      <c r="Q105" t="s">
        <v>244</v>
      </c>
      <c r="R105" t="s">
        <v>419</v>
      </c>
    </row>
    <row r="106" spans="1:18" x14ac:dyDescent="0.25">
      <c r="A106" t="s">
        <v>364</v>
      </c>
      <c r="B106" s="219">
        <v>46086</v>
      </c>
      <c r="C106" t="s">
        <v>356</v>
      </c>
      <c r="D106" t="s">
        <v>20</v>
      </c>
      <c r="E106" t="s">
        <v>152</v>
      </c>
      <c r="F106" t="s">
        <v>28</v>
      </c>
      <c r="G106" t="s">
        <v>19</v>
      </c>
      <c r="H106" t="s">
        <v>21</v>
      </c>
      <c r="I106">
        <v>398652.54</v>
      </c>
      <c r="J106">
        <v>1</v>
      </c>
      <c r="K106">
        <v>398652.54</v>
      </c>
      <c r="L106">
        <v>0</v>
      </c>
      <c r="M106">
        <v>0</v>
      </c>
      <c r="N106">
        <v>398652.54</v>
      </c>
      <c r="O106" s="219">
        <v>46265</v>
      </c>
      <c r="P106" s="219">
        <v>46265</v>
      </c>
      <c r="Q106" t="s">
        <v>244</v>
      </c>
    </row>
    <row r="107" spans="1:18" x14ac:dyDescent="0.25">
      <c r="A107" t="s">
        <v>412</v>
      </c>
      <c r="B107" s="219">
        <v>46118</v>
      </c>
      <c r="C107" t="s">
        <v>262</v>
      </c>
      <c r="D107" t="s">
        <v>20</v>
      </c>
      <c r="E107" t="s">
        <v>152</v>
      </c>
      <c r="F107" t="s">
        <v>28</v>
      </c>
      <c r="G107" t="s">
        <v>19</v>
      </c>
      <c r="H107" t="s">
        <v>21</v>
      </c>
      <c r="I107">
        <v>450000</v>
      </c>
      <c r="J107">
        <v>1</v>
      </c>
      <c r="K107">
        <v>450000</v>
      </c>
      <c r="L107">
        <v>0</v>
      </c>
      <c r="M107">
        <v>312768.11</v>
      </c>
      <c r="N107">
        <v>137231.89000000001</v>
      </c>
      <c r="O107" s="219">
        <v>46203</v>
      </c>
      <c r="P107" s="219">
        <v>46203</v>
      </c>
      <c r="Q107" t="s">
        <v>381</v>
      </c>
      <c r="R107" t="s">
        <v>446</v>
      </c>
    </row>
    <row r="108" spans="1:18" x14ac:dyDescent="0.25">
      <c r="A108" t="s">
        <v>259</v>
      </c>
      <c r="B108" s="219">
        <v>45973</v>
      </c>
      <c r="C108" t="s">
        <v>256</v>
      </c>
      <c r="D108" t="s">
        <v>20</v>
      </c>
      <c r="E108" t="s">
        <v>17</v>
      </c>
      <c r="F108" t="s">
        <v>18</v>
      </c>
      <c r="G108" t="s">
        <v>19</v>
      </c>
      <c r="H108" t="s">
        <v>21</v>
      </c>
      <c r="I108">
        <v>565057.47</v>
      </c>
      <c r="J108">
        <v>1</v>
      </c>
      <c r="K108">
        <v>565057.47</v>
      </c>
      <c r="L108">
        <v>332244.19</v>
      </c>
      <c r="M108">
        <v>0</v>
      </c>
      <c r="N108">
        <v>232813.28</v>
      </c>
      <c r="O108" s="219">
        <v>46203</v>
      </c>
      <c r="P108" s="219">
        <v>46203</v>
      </c>
      <c r="Q108" t="s">
        <v>244</v>
      </c>
    </row>
    <row r="109" spans="1:18" x14ac:dyDescent="0.25">
      <c r="A109" t="s">
        <v>196</v>
      </c>
      <c r="B109" s="219">
        <v>45867</v>
      </c>
      <c r="C109" t="s">
        <v>195</v>
      </c>
      <c r="D109" t="s">
        <v>24</v>
      </c>
      <c r="E109" t="s">
        <v>106</v>
      </c>
      <c r="F109" t="s">
        <v>22</v>
      </c>
      <c r="G109" t="s">
        <v>19</v>
      </c>
      <c r="H109" t="s">
        <v>21</v>
      </c>
      <c r="I109">
        <v>2826301.05</v>
      </c>
      <c r="J109">
        <v>1</v>
      </c>
      <c r="K109">
        <v>2826301.05</v>
      </c>
      <c r="L109">
        <v>1261168.18</v>
      </c>
      <c r="M109">
        <v>0</v>
      </c>
      <c r="N109">
        <v>1565132.87</v>
      </c>
      <c r="O109" s="219">
        <v>46234</v>
      </c>
      <c r="P109" s="219">
        <v>46234</v>
      </c>
      <c r="Q109" t="s">
        <v>182</v>
      </c>
    </row>
    <row r="110" spans="1:18" x14ac:dyDescent="0.25">
      <c r="A110" t="s">
        <v>309</v>
      </c>
      <c r="B110" s="219">
        <v>46033</v>
      </c>
      <c r="C110" t="s">
        <v>303</v>
      </c>
      <c r="D110" t="s">
        <v>20</v>
      </c>
      <c r="E110" t="s">
        <v>75</v>
      </c>
      <c r="F110" t="s">
        <v>69</v>
      </c>
      <c r="G110" t="s">
        <v>19</v>
      </c>
      <c r="H110" t="s">
        <v>21</v>
      </c>
      <c r="I110">
        <v>424699.6</v>
      </c>
      <c r="J110">
        <v>1</v>
      </c>
      <c r="K110">
        <v>424699.6</v>
      </c>
      <c r="L110">
        <v>212349.8</v>
      </c>
      <c r="M110">
        <v>0</v>
      </c>
      <c r="N110">
        <v>212349.8</v>
      </c>
      <c r="O110" s="219">
        <v>46265</v>
      </c>
      <c r="P110" s="219">
        <v>46265</v>
      </c>
      <c r="Q110" t="s">
        <v>244</v>
      </c>
    </row>
    <row r="111" spans="1:18" x14ac:dyDescent="0.25">
      <c r="A111" t="s">
        <v>221</v>
      </c>
      <c r="B111" s="219">
        <v>45895</v>
      </c>
      <c r="C111" t="s">
        <v>214</v>
      </c>
      <c r="D111" t="s">
        <v>20</v>
      </c>
      <c r="E111" t="s">
        <v>75</v>
      </c>
      <c r="F111" t="s">
        <v>69</v>
      </c>
      <c r="G111" t="s">
        <v>19</v>
      </c>
      <c r="H111" t="s">
        <v>21</v>
      </c>
      <c r="I111">
        <v>501144.18</v>
      </c>
      <c r="J111">
        <v>1</v>
      </c>
      <c r="K111">
        <v>501144.18</v>
      </c>
      <c r="L111">
        <v>42591.07</v>
      </c>
      <c r="M111">
        <v>199393.9</v>
      </c>
      <c r="N111">
        <v>259159.21</v>
      </c>
      <c r="O111" s="219">
        <v>46265</v>
      </c>
      <c r="P111" s="219">
        <v>46265</v>
      </c>
      <c r="Q111" t="s">
        <v>23</v>
      </c>
      <c r="R111" t="s">
        <v>447</v>
      </c>
    </row>
    <row r="112" spans="1:18" x14ac:dyDescent="0.25">
      <c r="A112" t="s">
        <v>424</v>
      </c>
      <c r="B112" s="219">
        <v>46124</v>
      </c>
      <c r="C112" t="s">
        <v>394</v>
      </c>
      <c r="D112" t="s">
        <v>20</v>
      </c>
      <c r="E112" t="s">
        <v>152</v>
      </c>
      <c r="F112" t="s">
        <v>28</v>
      </c>
      <c r="G112" t="s">
        <v>19</v>
      </c>
      <c r="H112" t="s">
        <v>21</v>
      </c>
      <c r="I112">
        <v>175000</v>
      </c>
      <c r="J112">
        <v>1</v>
      </c>
      <c r="K112">
        <v>175000</v>
      </c>
      <c r="L112">
        <v>0</v>
      </c>
      <c r="M112">
        <v>0</v>
      </c>
      <c r="N112">
        <v>175000</v>
      </c>
      <c r="O112" s="219">
        <v>46203</v>
      </c>
      <c r="P112" s="219">
        <v>46203</v>
      </c>
      <c r="Q112" t="s">
        <v>381</v>
      </c>
    </row>
    <row r="113" spans="1:18" x14ac:dyDescent="0.25">
      <c r="A113" t="s">
        <v>413</v>
      </c>
      <c r="B113" s="219">
        <v>46118</v>
      </c>
      <c r="C113" t="s">
        <v>385</v>
      </c>
      <c r="D113" t="s">
        <v>20</v>
      </c>
      <c r="E113" t="s">
        <v>152</v>
      </c>
      <c r="F113" t="s">
        <v>28</v>
      </c>
      <c r="G113" t="s">
        <v>19</v>
      </c>
      <c r="H113" t="s">
        <v>21</v>
      </c>
      <c r="I113">
        <v>500000</v>
      </c>
      <c r="J113">
        <v>1</v>
      </c>
      <c r="K113">
        <v>500000</v>
      </c>
      <c r="L113">
        <v>0</v>
      </c>
      <c r="M113">
        <v>500000</v>
      </c>
      <c r="N113">
        <v>0</v>
      </c>
      <c r="O113" s="219">
        <v>46203</v>
      </c>
      <c r="P113" s="219">
        <v>46203</v>
      </c>
      <c r="Q113" t="s">
        <v>381</v>
      </c>
      <c r="R113" t="s">
        <v>440</v>
      </c>
    </row>
    <row r="114" spans="1:18" x14ac:dyDescent="0.25">
      <c r="A114" t="s">
        <v>525</v>
      </c>
      <c r="B114" s="219">
        <v>46177</v>
      </c>
      <c r="C114" t="s">
        <v>503</v>
      </c>
      <c r="D114" t="s">
        <v>20</v>
      </c>
      <c r="E114" t="s">
        <v>152</v>
      </c>
      <c r="F114" t="s">
        <v>28</v>
      </c>
      <c r="G114" t="s">
        <v>19</v>
      </c>
      <c r="H114" t="s">
        <v>21</v>
      </c>
      <c r="I114">
        <v>500000</v>
      </c>
      <c r="J114">
        <v>1</v>
      </c>
      <c r="K114">
        <v>500000</v>
      </c>
      <c r="L114">
        <v>0</v>
      </c>
      <c r="M114">
        <v>0</v>
      </c>
      <c r="N114">
        <v>500000</v>
      </c>
      <c r="O114" s="219">
        <v>46265</v>
      </c>
      <c r="P114" s="219">
        <v>46265</v>
      </c>
      <c r="Q114" t="s">
        <v>472</v>
      </c>
    </row>
    <row r="115" spans="1:18" x14ac:dyDescent="0.25">
      <c r="A115" t="s">
        <v>414</v>
      </c>
      <c r="B115" s="219">
        <v>46118</v>
      </c>
      <c r="C115" t="s">
        <v>284</v>
      </c>
      <c r="D115" t="s">
        <v>20</v>
      </c>
      <c r="E115" t="s">
        <v>152</v>
      </c>
      <c r="F115" t="s">
        <v>28</v>
      </c>
      <c r="G115" t="s">
        <v>19</v>
      </c>
      <c r="H115" t="s">
        <v>21</v>
      </c>
      <c r="I115">
        <v>275000</v>
      </c>
      <c r="J115">
        <v>1</v>
      </c>
      <c r="K115">
        <v>275000</v>
      </c>
      <c r="L115">
        <v>0</v>
      </c>
      <c r="M115">
        <v>0</v>
      </c>
      <c r="N115">
        <v>275000</v>
      </c>
      <c r="O115" s="219">
        <v>46203</v>
      </c>
      <c r="P115" s="219">
        <v>46203</v>
      </c>
      <c r="Q115" t="s">
        <v>381</v>
      </c>
    </row>
    <row r="116" spans="1:18" x14ac:dyDescent="0.25">
      <c r="A116" t="s">
        <v>526</v>
      </c>
      <c r="B116" s="219">
        <v>46177</v>
      </c>
      <c r="C116" t="s">
        <v>495</v>
      </c>
      <c r="D116" t="s">
        <v>20</v>
      </c>
      <c r="E116" t="s">
        <v>152</v>
      </c>
      <c r="F116" t="s">
        <v>28</v>
      </c>
      <c r="G116" t="s">
        <v>19</v>
      </c>
      <c r="H116" t="s">
        <v>21</v>
      </c>
      <c r="I116">
        <v>500000</v>
      </c>
      <c r="J116">
        <v>1</v>
      </c>
      <c r="K116">
        <v>500000</v>
      </c>
      <c r="L116">
        <v>0</v>
      </c>
      <c r="M116">
        <v>0</v>
      </c>
      <c r="N116">
        <v>500000</v>
      </c>
      <c r="O116" s="219">
        <v>46265</v>
      </c>
      <c r="P116" s="219">
        <v>46265</v>
      </c>
      <c r="Q116" t="s">
        <v>472</v>
      </c>
    </row>
    <row r="117" spans="1:18" x14ac:dyDescent="0.25">
      <c r="A117" t="s">
        <v>274</v>
      </c>
      <c r="B117" s="219">
        <v>46012</v>
      </c>
      <c r="C117" t="s">
        <v>270</v>
      </c>
      <c r="D117" t="s">
        <v>24</v>
      </c>
      <c r="E117" t="s">
        <v>105</v>
      </c>
      <c r="F117" t="s">
        <v>18</v>
      </c>
      <c r="G117" t="s">
        <v>19</v>
      </c>
      <c r="H117" t="s">
        <v>33</v>
      </c>
      <c r="I117">
        <v>5000000</v>
      </c>
      <c r="J117">
        <v>4.4400000000000004</v>
      </c>
      <c r="K117">
        <v>22200000.000000004</v>
      </c>
      <c r="L117">
        <v>20908277</v>
      </c>
      <c r="M117">
        <v>1198665</v>
      </c>
      <c r="N117">
        <v>93058</v>
      </c>
      <c r="O117" s="219">
        <v>46286</v>
      </c>
      <c r="P117" s="219">
        <v>46265</v>
      </c>
      <c r="Q117" t="s">
        <v>313</v>
      </c>
      <c r="R117" t="s">
        <v>537</v>
      </c>
    </row>
    <row r="118" spans="1:18" x14ac:dyDescent="0.25">
      <c r="A118" t="s">
        <v>266</v>
      </c>
      <c r="B118" s="219">
        <v>45992</v>
      </c>
      <c r="C118" t="s">
        <v>224</v>
      </c>
      <c r="D118" t="s">
        <v>20</v>
      </c>
      <c r="E118" t="s">
        <v>152</v>
      </c>
      <c r="F118" t="s">
        <v>28</v>
      </c>
      <c r="G118" t="s">
        <v>19</v>
      </c>
      <c r="H118" t="s">
        <v>21</v>
      </c>
      <c r="I118">
        <v>4000000</v>
      </c>
      <c r="J118">
        <v>1</v>
      </c>
      <c r="K118">
        <v>4000000</v>
      </c>
      <c r="L118">
        <v>0</v>
      </c>
      <c r="M118">
        <v>4000000</v>
      </c>
      <c r="N118">
        <v>0</v>
      </c>
      <c r="O118" s="219">
        <v>46203</v>
      </c>
      <c r="P118" s="219">
        <v>46203</v>
      </c>
      <c r="Q118" t="s">
        <v>142</v>
      </c>
      <c r="R118" t="s">
        <v>482</v>
      </c>
    </row>
    <row r="119" spans="1:18" x14ac:dyDescent="0.25">
      <c r="A119" t="s">
        <v>415</v>
      </c>
      <c r="B119" s="219">
        <v>46118</v>
      </c>
      <c r="C119" t="s">
        <v>392</v>
      </c>
      <c r="D119" t="s">
        <v>20</v>
      </c>
      <c r="E119" t="s">
        <v>152</v>
      </c>
      <c r="F119" t="s">
        <v>28</v>
      </c>
      <c r="G119" t="s">
        <v>19</v>
      </c>
      <c r="H119" t="s">
        <v>21</v>
      </c>
      <c r="I119">
        <v>900000</v>
      </c>
      <c r="J119">
        <v>1</v>
      </c>
      <c r="K119">
        <v>900000</v>
      </c>
      <c r="L119">
        <v>0</v>
      </c>
      <c r="M119">
        <v>0</v>
      </c>
      <c r="N119">
        <v>900000</v>
      </c>
      <c r="O119" s="219">
        <v>46203</v>
      </c>
      <c r="P119" s="219">
        <v>46203</v>
      </c>
      <c r="Q119" t="s">
        <v>381</v>
      </c>
    </row>
    <row r="120" spans="1:18" x14ac:dyDescent="0.25">
      <c r="A120" t="s">
        <v>527</v>
      </c>
      <c r="B120" s="219">
        <v>46177</v>
      </c>
      <c r="C120" t="s">
        <v>498</v>
      </c>
      <c r="D120" t="s">
        <v>20</v>
      </c>
      <c r="E120" t="s">
        <v>152</v>
      </c>
      <c r="F120" t="s">
        <v>28</v>
      </c>
      <c r="G120" t="s">
        <v>19</v>
      </c>
      <c r="H120" t="s">
        <v>21</v>
      </c>
      <c r="I120">
        <v>500000</v>
      </c>
      <c r="J120">
        <v>1</v>
      </c>
      <c r="K120">
        <v>500000</v>
      </c>
      <c r="L120">
        <v>0</v>
      </c>
      <c r="M120">
        <v>0</v>
      </c>
      <c r="N120">
        <v>500000</v>
      </c>
      <c r="O120" s="219">
        <v>46265</v>
      </c>
      <c r="P120" s="219">
        <v>46265</v>
      </c>
      <c r="Q120" t="s">
        <v>472</v>
      </c>
    </row>
    <row r="121" spans="1:18" x14ac:dyDescent="0.25">
      <c r="A121" t="s">
        <v>528</v>
      </c>
      <c r="B121" s="219">
        <v>46177</v>
      </c>
      <c r="C121" t="s">
        <v>491</v>
      </c>
      <c r="D121" t="s">
        <v>20</v>
      </c>
      <c r="E121" t="s">
        <v>152</v>
      </c>
      <c r="F121" t="s">
        <v>28</v>
      </c>
      <c r="G121" t="s">
        <v>19</v>
      </c>
      <c r="H121" t="s">
        <v>21</v>
      </c>
      <c r="I121">
        <v>190080.6</v>
      </c>
      <c r="J121">
        <v>1</v>
      </c>
      <c r="K121">
        <v>190080.6</v>
      </c>
      <c r="L121">
        <v>0</v>
      </c>
      <c r="M121">
        <v>0</v>
      </c>
      <c r="N121">
        <v>190080.6</v>
      </c>
      <c r="O121" s="219">
        <v>46265</v>
      </c>
      <c r="P121" s="219">
        <v>46265</v>
      </c>
      <c r="Q121" t="s">
        <v>472</v>
      </c>
    </row>
    <row r="122" spans="1:18" x14ac:dyDescent="0.25">
      <c r="A122" t="s">
        <v>172</v>
      </c>
      <c r="B122" s="219">
        <v>45760</v>
      </c>
      <c r="C122" t="s">
        <v>169</v>
      </c>
      <c r="D122" t="s">
        <v>20</v>
      </c>
      <c r="E122" t="s">
        <v>152</v>
      </c>
      <c r="F122" t="s">
        <v>28</v>
      </c>
      <c r="G122" t="s">
        <v>19</v>
      </c>
      <c r="H122" t="s">
        <v>21</v>
      </c>
      <c r="I122">
        <v>1000000</v>
      </c>
      <c r="J122">
        <v>1</v>
      </c>
      <c r="K122">
        <v>1000000</v>
      </c>
      <c r="L122">
        <v>732234.90999999992</v>
      </c>
      <c r="M122">
        <v>0</v>
      </c>
      <c r="N122">
        <v>267765.09000000003</v>
      </c>
      <c r="O122" s="219">
        <v>46203</v>
      </c>
      <c r="P122" s="219">
        <v>46203</v>
      </c>
      <c r="Q122" t="s">
        <v>30</v>
      </c>
    </row>
    <row r="123" spans="1:18" x14ac:dyDescent="0.25">
      <c r="A123" t="s">
        <v>529</v>
      </c>
      <c r="B123" s="219">
        <v>46177</v>
      </c>
      <c r="C123" t="s">
        <v>490</v>
      </c>
      <c r="D123" t="s">
        <v>20</v>
      </c>
      <c r="E123" t="s">
        <v>152</v>
      </c>
      <c r="F123" t="s">
        <v>28</v>
      </c>
      <c r="G123" t="s">
        <v>19</v>
      </c>
      <c r="H123" t="s">
        <v>21</v>
      </c>
      <c r="I123">
        <v>200000</v>
      </c>
      <c r="J123">
        <v>1</v>
      </c>
      <c r="K123">
        <v>200000</v>
      </c>
      <c r="L123">
        <v>0</v>
      </c>
      <c r="M123">
        <v>0</v>
      </c>
      <c r="N123">
        <v>200000</v>
      </c>
      <c r="O123" s="219">
        <v>46265</v>
      </c>
      <c r="P123" s="219">
        <v>46265</v>
      </c>
      <c r="Q123" t="s">
        <v>472</v>
      </c>
    </row>
    <row r="124" spans="1:18" x14ac:dyDescent="0.25">
      <c r="A124" t="s">
        <v>397</v>
      </c>
      <c r="B124" s="219">
        <v>46092</v>
      </c>
      <c r="C124" t="s">
        <v>361</v>
      </c>
      <c r="D124" t="s">
        <v>24</v>
      </c>
      <c r="E124" t="s">
        <v>267</v>
      </c>
      <c r="F124" t="s">
        <v>68</v>
      </c>
      <c r="G124" t="s">
        <v>19</v>
      </c>
      <c r="H124" t="s">
        <v>21</v>
      </c>
      <c r="I124">
        <v>5000000</v>
      </c>
      <c r="J124">
        <v>1</v>
      </c>
      <c r="K124">
        <v>5000000</v>
      </c>
      <c r="L124">
        <v>2707269.5</v>
      </c>
      <c r="M124">
        <v>949900</v>
      </c>
      <c r="N124">
        <v>1342830.5</v>
      </c>
      <c r="O124" s="219">
        <v>46203</v>
      </c>
      <c r="P124" s="219">
        <v>46203</v>
      </c>
      <c r="Q124" t="s">
        <v>30</v>
      </c>
      <c r="R124" t="s">
        <v>442</v>
      </c>
    </row>
    <row r="125" spans="1:18" x14ac:dyDescent="0.25">
      <c r="A125" t="s">
        <v>295</v>
      </c>
      <c r="B125" s="219">
        <v>46023</v>
      </c>
      <c r="C125" t="s">
        <v>200</v>
      </c>
      <c r="D125" t="s">
        <v>20</v>
      </c>
      <c r="E125" t="s">
        <v>117</v>
      </c>
      <c r="F125" t="s">
        <v>25</v>
      </c>
      <c r="G125" t="s">
        <v>19</v>
      </c>
      <c r="H125" t="s">
        <v>21</v>
      </c>
      <c r="I125">
        <v>500000</v>
      </c>
      <c r="J125">
        <v>1</v>
      </c>
      <c r="K125">
        <v>500000</v>
      </c>
      <c r="L125">
        <v>326709.94</v>
      </c>
      <c r="M125">
        <v>0</v>
      </c>
      <c r="N125">
        <v>173290.06</v>
      </c>
      <c r="O125" s="219">
        <v>46296</v>
      </c>
      <c r="P125" s="219">
        <v>46296</v>
      </c>
      <c r="Q125" t="s">
        <v>282</v>
      </c>
    </row>
    <row r="126" spans="1:18" x14ac:dyDescent="0.25">
      <c r="A126" t="s">
        <v>367</v>
      </c>
      <c r="B126" s="219">
        <v>46089</v>
      </c>
      <c r="C126" t="s">
        <v>351</v>
      </c>
      <c r="D126" t="s">
        <v>219</v>
      </c>
      <c r="E126" t="s">
        <v>151</v>
      </c>
      <c r="F126" t="s">
        <v>22</v>
      </c>
      <c r="G126" t="s">
        <v>19</v>
      </c>
      <c r="H126" t="s">
        <v>21</v>
      </c>
      <c r="I126">
        <v>500000</v>
      </c>
      <c r="J126">
        <v>1</v>
      </c>
      <c r="K126">
        <v>500000</v>
      </c>
      <c r="L126">
        <v>0</v>
      </c>
      <c r="M126">
        <v>500000</v>
      </c>
      <c r="N126">
        <v>0</v>
      </c>
      <c r="O126" s="219">
        <v>46203</v>
      </c>
      <c r="P126" s="219">
        <v>46193</v>
      </c>
      <c r="Q126" t="s">
        <v>323</v>
      </c>
      <c r="R126" t="s">
        <v>442</v>
      </c>
    </row>
    <row r="127" spans="1:18" x14ac:dyDescent="0.25">
      <c r="A127" t="s">
        <v>548</v>
      </c>
      <c r="B127" s="219">
        <v>46190</v>
      </c>
      <c r="C127" t="s">
        <v>504</v>
      </c>
      <c r="D127" t="s">
        <v>24</v>
      </c>
      <c r="E127" t="s">
        <v>75</v>
      </c>
      <c r="F127" t="s">
        <v>69</v>
      </c>
      <c r="G127" t="s">
        <v>19</v>
      </c>
      <c r="H127" t="s">
        <v>21</v>
      </c>
      <c r="I127">
        <v>5000000</v>
      </c>
      <c r="J127">
        <v>1</v>
      </c>
      <c r="K127">
        <v>5000000</v>
      </c>
      <c r="L127">
        <v>0</v>
      </c>
      <c r="M127">
        <v>0</v>
      </c>
      <c r="N127">
        <v>5000000</v>
      </c>
      <c r="O127" s="219">
        <v>46326</v>
      </c>
      <c r="P127" s="219">
        <v>46326</v>
      </c>
      <c r="Q127" t="s">
        <v>547</v>
      </c>
    </row>
    <row r="128" spans="1:18" x14ac:dyDescent="0.25">
      <c r="A128" t="s">
        <v>416</v>
      </c>
      <c r="B128" s="219">
        <v>46118</v>
      </c>
      <c r="C128" t="s">
        <v>388</v>
      </c>
      <c r="D128" t="s">
        <v>20</v>
      </c>
      <c r="E128" t="s">
        <v>152</v>
      </c>
      <c r="F128" t="s">
        <v>28</v>
      </c>
      <c r="G128" t="s">
        <v>19</v>
      </c>
      <c r="H128" t="s">
        <v>21</v>
      </c>
      <c r="I128">
        <v>1000000</v>
      </c>
      <c r="J128">
        <v>1</v>
      </c>
      <c r="K128">
        <v>1000000</v>
      </c>
      <c r="L128">
        <v>0</v>
      </c>
      <c r="M128">
        <v>1000000</v>
      </c>
      <c r="N128">
        <v>0</v>
      </c>
      <c r="O128" s="219">
        <v>46203</v>
      </c>
      <c r="P128" s="219">
        <v>46203</v>
      </c>
      <c r="Q128" t="s">
        <v>381</v>
      </c>
      <c r="R128" t="s">
        <v>446</v>
      </c>
    </row>
    <row r="129" spans="1:18" x14ac:dyDescent="0.25">
      <c r="A129" t="s">
        <v>417</v>
      </c>
      <c r="B129" s="219">
        <v>46119</v>
      </c>
      <c r="C129" t="s">
        <v>396</v>
      </c>
      <c r="D129" t="s">
        <v>219</v>
      </c>
      <c r="E129" t="s">
        <v>151</v>
      </c>
      <c r="F129" t="s">
        <v>22</v>
      </c>
      <c r="G129" t="s">
        <v>19</v>
      </c>
      <c r="H129" t="s">
        <v>21</v>
      </c>
      <c r="I129">
        <v>650000</v>
      </c>
      <c r="J129">
        <v>1</v>
      </c>
      <c r="K129">
        <v>650000</v>
      </c>
      <c r="L129">
        <v>0</v>
      </c>
      <c r="M129">
        <v>0</v>
      </c>
      <c r="N129">
        <v>650000</v>
      </c>
      <c r="O129" s="219">
        <v>46182</v>
      </c>
      <c r="P129" s="219">
        <v>46151</v>
      </c>
      <c r="Q129" t="s">
        <v>323</v>
      </c>
    </row>
    <row r="130" spans="1:18" x14ac:dyDescent="0.25">
      <c r="A130" t="s">
        <v>530</v>
      </c>
      <c r="B130" s="219">
        <v>46177</v>
      </c>
      <c r="C130" t="s">
        <v>492</v>
      </c>
      <c r="D130" t="s">
        <v>20</v>
      </c>
      <c r="E130" t="s">
        <v>152</v>
      </c>
      <c r="F130" t="s">
        <v>28</v>
      </c>
      <c r="G130" t="s">
        <v>19</v>
      </c>
      <c r="H130" t="s">
        <v>21</v>
      </c>
      <c r="I130">
        <v>500000</v>
      </c>
      <c r="J130">
        <v>1</v>
      </c>
      <c r="K130">
        <v>500000</v>
      </c>
      <c r="L130">
        <v>0</v>
      </c>
      <c r="M130">
        <v>0</v>
      </c>
      <c r="N130">
        <v>500000</v>
      </c>
      <c r="O130" s="219">
        <v>46265</v>
      </c>
      <c r="P130" s="219">
        <v>46265</v>
      </c>
      <c r="Q130" t="s">
        <v>472</v>
      </c>
    </row>
    <row r="131" spans="1:18" x14ac:dyDescent="0.25">
      <c r="A131" t="s">
        <v>222</v>
      </c>
      <c r="B131" s="219">
        <v>45895</v>
      </c>
      <c r="C131" t="s">
        <v>213</v>
      </c>
      <c r="D131" t="s">
        <v>20</v>
      </c>
      <c r="E131" t="s">
        <v>75</v>
      </c>
      <c r="F131" t="s">
        <v>69</v>
      </c>
      <c r="G131" t="s">
        <v>19</v>
      </c>
      <c r="H131" t="s">
        <v>21</v>
      </c>
      <c r="I131">
        <v>250000</v>
      </c>
      <c r="J131">
        <v>1</v>
      </c>
      <c r="K131">
        <v>250000</v>
      </c>
      <c r="L131">
        <v>0</v>
      </c>
      <c r="M131">
        <v>0</v>
      </c>
      <c r="N131">
        <v>250000</v>
      </c>
      <c r="O131" s="219">
        <v>46265</v>
      </c>
      <c r="P131" s="219">
        <v>46265</v>
      </c>
      <c r="Q131" t="s">
        <v>23</v>
      </c>
    </row>
    <row r="132" spans="1:18" x14ac:dyDescent="0.25">
      <c r="A132" t="s">
        <v>155</v>
      </c>
      <c r="B132" s="219">
        <v>45715</v>
      </c>
      <c r="C132" t="s">
        <v>150</v>
      </c>
      <c r="D132" t="s">
        <v>20</v>
      </c>
      <c r="E132" t="s">
        <v>75</v>
      </c>
      <c r="F132" t="s">
        <v>69</v>
      </c>
      <c r="G132" t="s">
        <v>19</v>
      </c>
      <c r="H132" t="s">
        <v>21</v>
      </c>
      <c r="I132">
        <v>863693.45</v>
      </c>
      <c r="J132">
        <v>1</v>
      </c>
      <c r="K132">
        <v>863693.45</v>
      </c>
      <c r="L132">
        <v>0</v>
      </c>
      <c r="M132">
        <v>0</v>
      </c>
      <c r="N132">
        <v>863693.45</v>
      </c>
      <c r="O132" s="219">
        <v>46203</v>
      </c>
      <c r="P132" s="219">
        <v>46203</v>
      </c>
      <c r="Q132" t="s">
        <v>23</v>
      </c>
    </row>
    <row r="133" spans="1:18" x14ac:dyDescent="0.25">
      <c r="A133" t="s">
        <v>240</v>
      </c>
      <c r="B133" s="219">
        <v>45928</v>
      </c>
      <c r="C133" t="s">
        <v>235</v>
      </c>
      <c r="D133" t="s">
        <v>24</v>
      </c>
      <c r="E133" t="s">
        <v>106</v>
      </c>
      <c r="F133" t="s">
        <v>18</v>
      </c>
      <c r="G133" t="s">
        <v>19</v>
      </c>
      <c r="H133" t="s">
        <v>21</v>
      </c>
      <c r="I133">
        <v>7670500</v>
      </c>
      <c r="J133">
        <v>1</v>
      </c>
      <c r="K133">
        <v>7670500</v>
      </c>
      <c r="L133">
        <v>4347795.32</v>
      </c>
      <c r="M133">
        <v>412500</v>
      </c>
      <c r="N133">
        <v>2910204.68</v>
      </c>
      <c r="O133" s="219">
        <v>46173</v>
      </c>
      <c r="P133" s="219">
        <v>46173</v>
      </c>
      <c r="Q133" t="s">
        <v>236</v>
      </c>
      <c r="R133" t="s">
        <v>544</v>
      </c>
    </row>
    <row r="134" spans="1:18" x14ac:dyDescent="0.25">
      <c r="A134" t="s">
        <v>531</v>
      </c>
      <c r="B134" s="219">
        <v>46177</v>
      </c>
      <c r="C134" t="s">
        <v>471</v>
      </c>
      <c r="D134" t="s">
        <v>219</v>
      </c>
      <c r="E134" t="s">
        <v>151</v>
      </c>
      <c r="F134" t="s">
        <v>22</v>
      </c>
      <c r="G134" t="s">
        <v>19</v>
      </c>
      <c r="H134" t="s">
        <v>21</v>
      </c>
      <c r="I134">
        <v>700000</v>
      </c>
      <c r="J134">
        <v>1</v>
      </c>
      <c r="K134">
        <v>700000</v>
      </c>
      <c r="L134">
        <v>0</v>
      </c>
      <c r="M134">
        <v>0</v>
      </c>
      <c r="N134">
        <v>700000</v>
      </c>
      <c r="O134" s="219">
        <v>46236</v>
      </c>
      <c r="P134" s="219">
        <v>46236</v>
      </c>
      <c r="Q134" t="s">
        <v>472</v>
      </c>
    </row>
    <row r="135" spans="1:18" x14ac:dyDescent="0.25">
      <c r="A135" t="s">
        <v>171</v>
      </c>
      <c r="B135" s="219">
        <v>45756</v>
      </c>
      <c r="C135" t="s">
        <v>170</v>
      </c>
      <c r="D135" t="s">
        <v>20</v>
      </c>
      <c r="E135" t="s">
        <v>75</v>
      </c>
      <c r="F135" t="s">
        <v>69</v>
      </c>
      <c r="G135" t="s">
        <v>19</v>
      </c>
      <c r="H135" t="s">
        <v>21</v>
      </c>
      <c r="I135">
        <v>1033453.25</v>
      </c>
      <c r="J135">
        <v>1</v>
      </c>
      <c r="K135">
        <v>1033453.25</v>
      </c>
      <c r="L135">
        <v>391176.24</v>
      </c>
      <c r="M135">
        <v>0</v>
      </c>
      <c r="N135">
        <v>642277.01</v>
      </c>
      <c r="O135" s="219">
        <v>46203</v>
      </c>
      <c r="P135" s="219">
        <v>46203</v>
      </c>
      <c r="Q135" t="s">
        <v>23</v>
      </c>
    </row>
    <row r="136" spans="1:18" x14ac:dyDescent="0.25">
      <c r="A136" t="s">
        <v>296</v>
      </c>
      <c r="B136" s="219">
        <v>46023</v>
      </c>
      <c r="C136" t="s">
        <v>285</v>
      </c>
      <c r="D136" t="s">
        <v>20</v>
      </c>
      <c r="E136" t="s">
        <v>117</v>
      </c>
      <c r="F136" t="s">
        <v>25</v>
      </c>
      <c r="G136" t="s">
        <v>19</v>
      </c>
      <c r="H136" t="s">
        <v>21</v>
      </c>
      <c r="I136">
        <v>1350790.07</v>
      </c>
      <c r="J136">
        <v>1</v>
      </c>
      <c r="K136">
        <v>1350790.07</v>
      </c>
      <c r="L136">
        <v>0</v>
      </c>
      <c r="M136">
        <v>0</v>
      </c>
      <c r="N136">
        <v>1350790.07</v>
      </c>
      <c r="O136" s="219">
        <v>46296</v>
      </c>
      <c r="P136" s="219">
        <v>46296</v>
      </c>
      <c r="Q136" t="s">
        <v>282</v>
      </c>
    </row>
    <row r="137" spans="1:18" x14ac:dyDescent="0.25">
      <c r="A137" t="s">
        <v>335</v>
      </c>
      <c r="B137" s="219">
        <v>46057</v>
      </c>
      <c r="C137" t="s">
        <v>331</v>
      </c>
      <c r="D137" t="s">
        <v>20</v>
      </c>
      <c r="E137" t="s">
        <v>117</v>
      </c>
      <c r="F137" t="s">
        <v>25</v>
      </c>
      <c r="G137" t="s">
        <v>19</v>
      </c>
      <c r="H137" t="s">
        <v>21</v>
      </c>
      <c r="I137">
        <v>750000</v>
      </c>
      <c r="J137">
        <v>1</v>
      </c>
      <c r="K137">
        <v>750000</v>
      </c>
      <c r="L137">
        <v>0</v>
      </c>
      <c r="M137">
        <v>710700</v>
      </c>
      <c r="N137">
        <v>39300</v>
      </c>
      <c r="O137" s="219">
        <v>46142</v>
      </c>
      <c r="P137" s="219">
        <v>46142</v>
      </c>
      <c r="Q137" t="s">
        <v>282</v>
      </c>
      <c r="R137" t="s">
        <v>440</v>
      </c>
    </row>
    <row r="138" spans="1:18" x14ac:dyDescent="0.25">
      <c r="A138" t="s">
        <v>223</v>
      </c>
      <c r="B138" s="219">
        <v>45895</v>
      </c>
      <c r="C138" t="s">
        <v>217</v>
      </c>
      <c r="D138" t="s">
        <v>24</v>
      </c>
      <c r="E138" t="s">
        <v>31</v>
      </c>
      <c r="F138" t="s">
        <v>28</v>
      </c>
      <c r="G138" t="s">
        <v>19</v>
      </c>
      <c r="H138" t="s">
        <v>21</v>
      </c>
      <c r="I138">
        <v>2741025</v>
      </c>
      <c r="J138">
        <v>1</v>
      </c>
      <c r="K138">
        <v>2741025</v>
      </c>
      <c r="L138">
        <v>1641337.5</v>
      </c>
      <c r="M138">
        <v>1099687.5</v>
      </c>
      <c r="N138">
        <v>0</v>
      </c>
      <c r="O138" s="219">
        <v>46203</v>
      </c>
      <c r="P138" s="219">
        <v>46188</v>
      </c>
      <c r="Q138" t="s">
        <v>218</v>
      </c>
      <c r="R138" t="s">
        <v>561</v>
      </c>
    </row>
    <row r="139" spans="1:18" x14ac:dyDescent="0.25">
      <c r="A139" t="s">
        <v>229</v>
      </c>
      <c r="B139" s="219">
        <v>45914</v>
      </c>
      <c r="C139" t="s">
        <v>226</v>
      </c>
      <c r="D139" t="s">
        <v>20</v>
      </c>
      <c r="E139" t="s">
        <v>152</v>
      </c>
      <c r="F139" t="s">
        <v>28</v>
      </c>
      <c r="G139" t="s">
        <v>19</v>
      </c>
      <c r="H139" t="s">
        <v>21</v>
      </c>
      <c r="I139">
        <v>300000</v>
      </c>
      <c r="J139">
        <v>1</v>
      </c>
      <c r="K139">
        <v>300000</v>
      </c>
      <c r="L139">
        <v>0</v>
      </c>
      <c r="M139">
        <v>0</v>
      </c>
      <c r="N139">
        <v>300000</v>
      </c>
      <c r="O139" s="219">
        <v>46203</v>
      </c>
      <c r="P139" s="219">
        <v>46203</v>
      </c>
      <c r="Q139" t="s">
        <v>142</v>
      </c>
    </row>
    <row r="140" spans="1:18" x14ac:dyDescent="0.25">
      <c r="A140" t="s">
        <v>157</v>
      </c>
      <c r="B140" s="219">
        <v>45722</v>
      </c>
      <c r="C140" t="s">
        <v>154</v>
      </c>
      <c r="D140" t="s">
        <v>20</v>
      </c>
      <c r="E140" t="s">
        <v>75</v>
      </c>
      <c r="F140" t="s">
        <v>69</v>
      </c>
      <c r="G140" t="s">
        <v>19</v>
      </c>
      <c r="H140" t="s">
        <v>21</v>
      </c>
      <c r="I140">
        <v>527850.01</v>
      </c>
      <c r="J140">
        <v>1</v>
      </c>
      <c r="K140">
        <v>527850.01</v>
      </c>
      <c r="L140">
        <v>263925</v>
      </c>
      <c r="M140">
        <v>0</v>
      </c>
      <c r="N140">
        <v>263925.01</v>
      </c>
      <c r="O140" s="219">
        <v>46203</v>
      </c>
      <c r="P140" s="219">
        <v>46203</v>
      </c>
      <c r="Q140" t="s">
        <v>30</v>
      </c>
    </row>
    <row r="141" spans="1:18" x14ac:dyDescent="0.25">
      <c r="A141" t="s">
        <v>185</v>
      </c>
      <c r="B141" s="219">
        <v>45831</v>
      </c>
      <c r="C141" t="s">
        <v>160</v>
      </c>
      <c r="D141" t="s">
        <v>20</v>
      </c>
      <c r="E141" t="s">
        <v>103</v>
      </c>
      <c r="F141" t="s">
        <v>18</v>
      </c>
      <c r="G141" t="s">
        <v>19</v>
      </c>
      <c r="H141" t="s">
        <v>21</v>
      </c>
      <c r="I141">
        <v>922106.57</v>
      </c>
      <c r="J141">
        <v>1</v>
      </c>
      <c r="K141">
        <v>922106.57</v>
      </c>
      <c r="L141">
        <v>207691.38</v>
      </c>
      <c r="M141">
        <v>702587.67</v>
      </c>
      <c r="N141">
        <v>11827.52</v>
      </c>
      <c r="O141" s="219">
        <v>46196</v>
      </c>
      <c r="P141" s="219">
        <v>46196</v>
      </c>
      <c r="Q141" t="s">
        <v>142</v>
      </c>
      <c r="R141" t="s">
        <v>465</v>
      </c>
    </row>
    <row r="142" spans="1:18" x14ac:dyDescent="0.25">
      <c r="A142" t="s">
        <v>297</v>
      </c>
      <c r="B142" s="219">
        <v>46023</v>
      </c>
      <c r="C142" t="s">
        <v>286</v>
      </c>
      <c r="D142" t="s">
        <v>20</v>
      </c>
      <c r="E142" t="s">
        <v>117</v>
      </c>
      <c r="F142" t="s">
        <v>25</v>
      </c>
      <c r="G142" t="s">
        <v>19</v>
      </c>
      <c r="H142" t="s">
        <v>21</v>
      </c>
      <c r="I142">
        <v>500000</v>
      </c>
      <c r="J142">
        <v>1</v>
      </c>
      <c r="K142">
        <v>500000</v>
      </c>
      <c r="L142">
        <v>0</v>
      </c>
      <c r="M142">
        <v>500000</v>
      </c>
      <c r="N142">
        <v>0</v>
      </c>
      <c r="O142" s="219">
        <v>46142</v>
      </c>
      <c r="P142" s="219">
        <v>46142</v>
      </c>
      <c r="Q142" t="s">
        <v>282</v>
      </c>
      <c r="R142" t="s">
        <v>446</v>
      </c>
    </row>
    <row r="143" spans="1:18" x14ac:dyDescent="0.25">
      <c r="A143" t="s">
        <v>336</v>
      </c>
      <c r="B143" s="219">
        <v>46057</v>
      </c>
      <c r="C143" t="s">
        <v>286</v>
      </c>
      <c r="D143" t="s">
        <v>20</v>
      </c>
      <c r="E143" t="s">
        <v>117</v>
      </c>
      <c r="F143" t="s">
        <v>25</v>
      </c>
      <c r="G143" t="s">
        <v>19</v>
      </c>
      <c r="H143" t="s">
        <v>21</v>
      </c>
      <c r="I143">
        <v>500000</v>
      </c>
      <c r="J143">
        <v>1</v>
      </c>
      <c r="K143">
        <v>500000</v>
      </c>
      <c r="L143">
        <v>0</v>
      </c>
      <c r="M143">
        <v>500000</v>
      </c>
      <c r="N143">
        <v>0</v>
      </c>
      <c r="O143" s="219">
        <v>46142</v>
      </c>
      <c r="P143" s="219">
        <v>46142</v>
      </c>
      <c r="Q143" t="s">
        <v>282</v>
      </c>
      <c r="R143" t="s">
        <v>425</v>
      </c>
    </row>
    <row r="144" spans="1:18" x14ac:dyDescent="0.25">
      <c r="A144" t="s">
        <v>532</v>
      </c>
      <c r="B144" s="219">
        <v>46177</v>
      </c>
      <c r="C144" t="s">
        <v>497</v>
      </c>
      <c r="D144" t="s">
        <v>20</v>
      </c>
      <c r="E144" t="s">
        <v>152</v>
      </c>
      <c r="F144" t="s">
        <v>28</v>
      </c>
      <c r="G144" t="s">
        <v>19</v>
      </c>
      <c r="H144" t="s">
        <v>21</v>
      </c>
      <c r="I144">
        <v>250000</v>
      </c>
      <c r="J144">
        <v>1</v>
      </c>
      <c r="K144">
        <v>250000</v>
      </c>
      <c r="L144">
        <v>0</v>
      </c>
      <c r="M144">
        <v>0</v>
      </c>
      <c r="N144">
        <v>250000</v>
      </c>
      <c r="O144" s="219">
        <v>46265</v>
      </c>
      <c r="P144" s="219">
        <v>46265</v>
      </c>
      <c r="Q144" t="s">
        <v>472</v>
      </c>
    </row>
    <row r="145" spans="1:18" x14ac:dyDescent="0.25">
      <c r="A145" t="s">
        <v>186</v>
      </c>
      <c r="B145" s="219">
        <v>45834</v>
      </c>
      <c r="C145" t="s">
        <v>184</v>
      </c>
      <c r="D145" t="s">
        <v>20</v>
      </c>
      <c r="E145" t="s">
        <v>103</v>
      </c>
      <c r="F145" t="s">
        <v>18</v>
      </c>
      <c r="G145" t="s">
        <v>19</v>
      </c>
      <c r="H145" t="s">
        <v>21</v>
      </c>
      <c r="I145">
        <v>250000</v>
      </c>
      <c r="J145">
        <v>1</v>
      </c>
      <c r="K145">
        <v>250000</v>
      </c>
      <c r="L145">
        <v>0</v>
      </c>
      <c r="M145">
        <v>0</v>
      </c>
      <c r="N145">
        <v>250000</v>
      </c>
      <c r="O145" s="219">
        <v>46199</v>
      </c>
      <c r="P145" s="219">
        <v>46199</v>
      </c>
      <c r="Q145" t="s">
        <v>142</v>
      </c>
    </row>
    <row r="146" spans="1:18" x14ac:dyDescent="0.25">
      <c r="A146" t="s">
        <v>337</v>
      </c>
      <c r="B146" s="219">
        <v>46057</v>
      </c>
      <c r="C146" t="s">
        <v>328</v>
      </c>
      <c r="D146" t="s">
        <v>20</v>
      </c>
      <c r="E146" t="s">
        <v>117</v>
      </c>
      <c r="F146" t="s">
        <v>25</v>
      </c>
      <c r="G146" t="s">
        <v>19</v>
      </c>
      <c r="H146" t="s">
        <v>21</v>
      </c>
      <c r="I146">
        <v>500000</v>
      </c>
      <c r="J146">
        <v>1</v>
      </c>
      <c r="K146">
        <v>500000</v>
      </c>
      <c r="L146">
        <v>0</v>
      </c>
      <c r="M146">
        <v>0</v>
      </c>
      <c r="N146">
        <v>500000</v>
      </c>
      <c r="O146" s="219">
        <v>46296</v>
      </c>
      <c r="P146" s="219">
        <v>46296</v>
      </c>
      <c r="Q146" t="s">
        <v>282</v>
      </c>
    </row>
    <row r="147" spans="1:18" x14ac:dyDescent="0.25">
      <c r="A147" t="s">
        <v>533</v>
      </c>
      <c r="B147" s="219">
        <v>46177</v>
      </c>
      <c r="C147" t="s">
        <v>328</v>
      </c>
      <c r="D147" t="s">
        <v>20</v>
      </c>
      <c r="E147" t="s">
        <v>152</v>
      </c>
      <c r="F147" t="s">
        <v>28</v>
      </c>
      <c r="G147" t="s">
        <v>19</v>
      </c>
      <c r="H147" t="s">
        <v>21</v>
      </c>
      <c r="I147">
        <v>300000</v>
      </c>
      <c r="J147">
        <v>1</v>
      </c>
      <c r="K147">
        <v>300000</v>
      </c>
      <c r="L147">
        <v>0</v>
      </c>
      <c r="M147">
        <v>0</v>
      </c>
      <c r="N147">
        <v>300000</v>
      </c>
      <c r="O147" s="219">
        <v>46265</v>
      </c>
      <c r="P147" s="219">
        <v>46265</v>
      </c>
      <c r="Q147" t="s">
        <v>472</v>
      </c>
    </row>
    <row r="148" spans="1:18" x14ac:dyDescent="0.25">
      <c r="A148" t="s">
        <v>248</v>
      </c>
      <c r="B148" s="219">
        <v>45946</v>
      </c>
      <c r="C148" t="s">
        <v>243</v>
      </c>
      <c r="D148" t="s">
        <v>20</v>
      </c>
      <c r="E148" t="s">
        <v>152</v>
      </c>
      <c r="F148" t="s">
        <v>28</v>
      </c>
      <c r="G148" t="s">
        <v>19</v>
      </c>
      <c r="H148" t="s">
        <v>21</v>
      </c>
      <c r="I148">
        <v>500000</v>
      </c>
      <c r="J148">
        <v>1</v>
      </c>
      <c r="K148">
        <v>500000</v>
      </c>
      <c r="L148">
        <v>336122.53</v>
      </c>
      <c r="M148">
        <v>99498</v>
      </c>
      <c r="N148">
        <v>64379.47</v>
      </c>
      <c r="O148" s="219">
        <v>46203</v>
      </c>
      <c r="P148" s="219">
        <v>46203</v>
      </c>
      <c r="Q148" t="s">
        <v>142</v>
      </c>
      <c r="R148" t="s">
        <v>454</v>
      </c>
    </row>
    <row r="149" spans="1:18" x14ac:dyDescent="0.25">
      <c r="A149" t="s">
        <v>534</v>
      </c>
      <c r="B149" s="219">
        <v>46177</v>
      </c>
      <c r="C149" t="s">
        <v>493</v>
      </c>
      <c r="D149" t="s">
        <v>20</v>
      </c>
      <c r="E149" t="s">
        <v>152</v>
      </c>
      <c r="F149" t="s">
        <v>28</v>
      </c>
      <c r="G149" t="s">
        <v>19</v>
      </c>
      <c r="H149" t="s">
        <v>21</v>
      </c>
      <c r="I149">
        <v>200000</v>
      </c>
      <c r="J149">
        <v>1</v>
      </c>
      <c r="K149">
        <v>200000</v>
      </c>
      <c r="L149">
        <v>0</v>
      </c>
      <c r="M149">
        <v>0</v>
      </c>
      <c r="N149">
        <v>200000</v>
      </c>
      <c r="O149" s="219">
        <v>46265</v>
      </c>
      <c r="P149" s="219">
        <v>46265</v>
      </c>
      <c r="Q149" t="s">
        <v>472</v>
      </c>
    </row>
    <row r="150" spans="1:18" x14ac:dyDescent="0.25">
      <c r="A150" t="s">
        <v>535</v>
      </c>
      <c r="B150" s="219">
        <v>46177</v>
      </c>
      <c r="C150" t="s">
        <v>494</v>
      </c>
      <c r="D150" t="s">
        <v>20</v>
      </c>
      <c r="E150" t="s">
        <v>152</v>
      </c>
      <c r="F150" t="s">
        <v>28</v>
      </c>
      <c r="G150" t="s">
        <v>19</v>
      </c>
      <c r="H150" t="s">
        <v>21</v>
      </c>
      <c r="I150">
        <v>450000</v>
      </c>
      <c r="J150">
        <v>1</v>
      </c>
      <c r="K150">
        <v>450000</v>
      </c>
      <c r="L150">
        <v>0</v>
      </c>
      <c r="M150">
        <v>0</v>
      </c>
      <c r="N150">
        <v>450000</v>
      </c>
      <c r="O150" s="219">
        <v>46265</v>
      </c>
      <c r="P150" s="219">
        <v>46265</v>
      </c>
      <c r="Q150" t="s">
        <v>472</v>
      </c>
    </row>
    <row r="151" spans="1:18" x14ac:dyDescent="0.25">
      <c r="A151" t="s">
        <v>298</v>
      </c>
      <c r="B151" s="219">
        <v>46023</v>
      </c>
      <c r="C151" t="s">
        <v>287</v>
      </c>
      <c r="D151" t="s">
        <v>20</v>
      </c>
      <c r="E151" t="s">
        <v>117</v>
      </c>
      <c r="F151" t="s">
        <v>25</v>
      </c>
      <c r="G151" t="s">
        <v>19</v>
      </c>
      <c r="H151" t="s">
        <v>21</v>
      </c>
      <c r="I151">
        <v>500000</v>
      </c>
      <c r="J151">
        <v>1</v>
      </c>
      <c r="K151">
        <v>500000</v>
      </c>
      <c r="L151">
        <v>0</v>
      </c>
      <c r="M151">
        <v>489669.97</v>
      </c>
      <c r="N151">
        <v>10330.030000000001</v>
      </c>
      <c r="O151" s="219">
        <v>46203</v>
      </c>
      <c r="P151" s="219">
        <v>46203</v>
      </c>
      <c r="Q151" t="s">
        <v>282</v>
      </c>
      <c r="R151" t="s">
        <v>419</v>
      </c>
    </row>
    <row r="152" spans="1:18" x14ac:dyDescent="0.25">
      <c r="A152" t="s">
        <v>347</v>
      </c>
      <c r="B152" s="219">
        <v>46064</v>
      </c>
      <c r="C152" t="s">
        <v>366</v>
      </c>
      <c r="D152" t="s">
        <v>20</v>
      </c>
      <c r="E152" t="s">
        <v>105</v>
      </c>
      <c r="F152" t="s">
        <v>18</v>
      </c>
      <c r="G152" t="s">
        <v>19</v>
      </c>
      <c r="H152" t="s">
        <v>21</v>
      </c>
      <c r="I152">
        <v>19000000</v>
      </c>
      <c r="J152">
        <v>1</v>
      </c>
      <c r="K152">
        <v>19000000</v>
      </c>
      <c r="L152">
        <v>13000000</v>
      </c>
      <c r="M152">
        <v>6000000</v>
      </c>
      <c r="N152">
        <v>0</v>
      </c>
      <c r="O152" s="219">
        <v>46203</v>
      </c>
      <c r="P152" s="219">
        <v>46203</v>
      </c>
      <c r="Q152" t="s">
        <v>23</v>
      </c>
      <c r="R152" t="s">
        <v>475</v>
      </c>
    </row>
    <row r="153" spans="1:18" x14ac:dyDescent="0.25">
      <c r="A153" t="s">
        <v>371</v>
      </c>
      <c r="B153" s="219">
        <v>46091</v>
      </c>
      <c r="C153" t="s">
        <v>366</v>
      </c>
      <c r="D153" t="s">
        <v>20</v>
      </c>
      <c r="E153" t="s">
        <v>27</v>
      </c>
      <c r="F153" t="s">
        <v>69</v>
      </c>
      <c r="G153" t="s">
        <v>19</v>
      </c>
      <c r="H153" t="s">
        <v>21</v>
      </c>
      <c r="I153">
        <v>67000000</v>
      </c>
      <c r="J153">
        <v>1</v>
      </c>
      <c r="K153">
        <v>67000000</v>
      </c>
      <c r="L153">
        <v>25000000</v>
      </c>
      <c r="M153">
        <v>42000000</v>
      </c>
      <c r="N153">
        <v>0</v>
      </c>
      <c r="O153" s="219">
        <v>46203</v>
      </c>
      <c r="P153" s="219">
        <v>46203</v>
      </c>
      <c r="Q153" t="s">
        <v>23</v>
      </c>
      <c r="R153" t="s">
        <v>475</v>
      </c>
    </row>
    <row r="154" spans="1:18" x14ac:dyDescent="0.25">
      <c r="A154" t="s">
        <v>377</v>
      </c>
      <c r="B154" s="219">
        <v>46097</v>
      </c>
      <c r="C154" t="s">
        <v>366</v>
      </c>
      <c r="D154" t="s">
        <v>20</v>
      </c>
      <c r="E154" t="s">
        <v>152</v>
      </c>
      <c r="F154" t="s">
        <v>28</v>
      </c>
      <c r="G154" t="s">
        <v>19</v>
      </c>
      <c r="H154" t="s">
        <v>21</v>
      </c>
      <c r="I154">
        <v>14000000</v>
      </c>
      <c r="J154">
        <v>1</v>
      </c>
      <c r="K154">
        <v>14000000</v>
      </c>
      <c r="L154">
        <v>10000000</v>
      </c>
      <c r="M154">
        <v>4000000</v>
      </c>
      <c r="N154">
        <v>0</v>
      </c>
      <c r="O154" s="219">
        <v>46265</v>
      </c>
      <c r="P154" s="219">
        <v>46265</v>
      </c>
      <c r="Q154" t="s">
        <v>23</v>
      </c>
      <c r="R154" t="s">
        <v>545</v>
      </c>
    </row>
    <row r="155" spans="1:18" x14ac:dyDescent="0.25">
      <c r="A155" t="s">
        <v>481</v>
      </c>
      <c r="B155" s="219">
        <v>46161</v>
      </c>
      <c r="C155" t="s">
        <v>473</v>
      </c>
      <c r="D155" t="s">
        <v>219</v>
      </c>
      <c r="E155" t="s">
        <v>31</v>
      </c>
      <c r="F155" t="s">
        <v>28</v>
      </c>
      <c r="G155" t="s">
        <v>19</v>
      </c>
      <c r="H155" t="s">
        <v>21</v>
      </c>
      <c r="I155">
        <v>772046</v>
      </c>
      <c r="J155">
        <v>1</v>
      </c>
      <c r="K155">
        <v>772046</v>
      </c>
      <c r="L155">
        <v>0</v>
      </c>
      <c r="M155">
        <v>0</v>
      </c>
      <c r="N155">
        <v>772046</v>
      </c>
      <c r="O155" s="219">
        <v>46234</v>
      </c>
      <c r="P155" s="219">
        <v>46213</v>
      </c>
      <c r="Q155" t="s">
        <v>282</v>
      </c>
    </row>
    <row r="156" spans="1:18" x14ac:dyDescent="0.25">
      <c r="A156" t="s">
        <v>34</v>
      </c>
      <c r="B156" s="219">
        <v>45529</v>
      </c>
      <c r="C156" t="s">
        <v>101</v>
      </c>
      <c r="D156" t="s">
        <v>24</v>
      </c>
      <c r="E156" t="s">
        <v>168</v>
      </c>
      <c r="F156" t="s">
        <v>25</v>
      </c>
      <c r="G156" t="s">
        <v>32</v>
      </c>
      <c r="H156" t="s">
        <v>21</v>
      </c>
      <c r="I156">
        <v>16327500.880000001</v>
      </c>
      <c r="J156">
        <v>1</v>
      </c>
      <c r="K156">
        <v>16327500.880000001</v>
      </c>
      <c r="L156">
        <v>15446722.59</v>
      </c>
      <c r="M156">
        <v>0</v>
      </c>
      <c r="N156">
        <v>880778.29</v>
      </c>
      <c r="O156" s="219">
        <v>46203</v>
      </c>
      <c r="P156" s="219">
        <v>45657</v>
      </c>
      <c r="Q156" t="s">
        <v>110</v>
      </c>
    </row>
  </sheetData>
  <phoneticPr fontId="16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240104A-2E1C-4860-A8D0-5147A8AE4B2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Main</vt:lpstr>
      <vt:lpstr>PQ-Detailed_report</vt:lpstr>
      <vt:lpstr>PQ-Due Dates</vt:lpstr>
      <vt:lpstr>PQ-FacilitySpace_Under Process</vt:lpstr>
      <vt:lpstr>V_Summary</vt:lpstr>
      <vt:lpstr>PT-Facility Space</vt:lpstr>
      <vt:lpstr>M_Facility Space</vt:lpstr>
      <vt:lpstr>PT-Required Facility Space</vt:lpstr>
      <vt:lpstr>PQ-Facility_Space</vt:lpstr>
      <vt:lpstr>PT_Due Date_Bankwise</vt:lpstr>
      <vt:lpstr>V_Due Date_Bankwise</vt:lpstr>
      <vt:lpstr>M_Loans</vt:lpstr>
      <vt:lpstr>PT_Detailed Report</vt:lpstr>
      <vt:lpstr>V_Detailed_Report</vt:lpstr>
      <vt:lpstr>PT-Project-wise Summary</vt:lpstr>
      <vt:lpstr>V_Project-wise Summary</vt:lpstr>
      <vt:lpstr>PT-Bankwise-Credit</vt:lpstr>
      <vt:lpstr>M_LC 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Farhan Amanulla Shaikh</dc:creator>
  <cp:lastModifiedBy>Farhan Amanulla Shaikh</cp:lastModifiedBy>
  <dcterms:created xsi:type="dcterms:W3CDTF">2024-10-21T09:49:59Z</dcterms:created>
  <dcterms:modified xsi:type="dcterms:W3CDTF">2026-06-24T10:31:33Z</dcterms:modified>
</cp:coreProperties>
</file>